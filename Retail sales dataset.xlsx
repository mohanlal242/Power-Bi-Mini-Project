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chrome downloads ML\"/>
    </mc:Choice>
  </mc:AlternateContent>
  <bookViews>
    <workbookView xWindow="0" yWindow="0" windowWidth="23040" windowHeight="9072" activeTab="1"/>
  </bookViews>
  <sheets>
    <sheet name="Raw RetailSalesData" sheetId="1" r:id="rId1"/>
    <sheet name="Imputed Retail sales data " sheetId="4" r:id="rId2"/>
    <sheet name="Piovt Table" sheetId="5" r:id="rId3"/>
  </sheets>
  <definedNames>
    <definedName name="_xlnm._FilterDatabase" localSheetId="1" hidden="1">'Imputed Retail sales data '!$A$1:$L$918</definedName>
    <definedName name="_xlnm._FilterDatabase" localSheetId="0" hidden="1">'Imputed Retail sales data '!$H$1:$H$918</definedName>
  </definedNames>
  <calcPr calcId="162913"/>
  <pivotCaches>
    <pivotCache cacheId="0" r:id="rId4"/>
  </pivotCaches>
</workbook>
</file>

<file path=xl/calcChain.xml><?xml version="1.0" encoding="utf-8"?>
<calcChain xmlns="http://schemas.openxmlformats.org/spreadsheetml/2006/main">
  <c r="B36" i="4" l="1"/>
  <c r="K918" i="4"/>
  <c r="K917" i="4"/>
  <c r="K916" i="4"/>
  <c r="K915" i="4"/>
  <c r="K914" i="4"/>
  <c r="K913" i="4"/>
  <c r="K912" i="4"/>
  <c r="K911" i="4"/>
  <c r="K910" i="4"/>
  <c r="K909" i="4"/>
  <c r="K908" i="4"/>
  <c r="K907" i="4"/>
  <c r="K906" i="4"/>
  <c r="K905" i="4"/>
  <c r="K904" i="4"/>
  <c r="K903" i="4"/>
  <c r="K902" i="4"/>
  <c r="K901" i="4"/>
  <c r="K900" i="4"/>
  <c r="K899" i="4"/>
  <c r="K898" i="4"/>
  <c r="K897" i="4"/>
  <c r="K896" i="4"/>
  <c r="K895" i="4"/>
  <c r="K894" i="4"/>
  <c r="K893" i="4"/>
  <c r="K892" i="4"/>
  <c r="K891" i="4"/>
  <c r="K890" i="4"/>
  <c r="K889" i="4"/>
  <c r="K888" i="4"/>
  <c r="K887" i="4"/>
  <c r="K886" i="4"/>
  <c r="K885" i="4"/>
  <c r="K884" i="4"/>
  <c r="K883" i="4"/>
  <c r="K882" i="4"/>
  <c r="K881" i="4"/>
  <c r="K880" i="4"/>
  <c r="K879" i="4"/>
  <c r="K878" i="4"/>
  <c r="K877" i="4"/>
  <c r="K876" i="4"/>
  <c r="K875" i="4"/>
  <c r="K874" i="4"/>
  <c r="K873" i="4"/>
  <c r="K872" i="4"/>
  <c r="K871" i="4"/>
  <c r="K870" i="4"/>
  <c r="K869" i="4"/>
  <c r="K868" i="4"/>
  <c r="K867" i="4"/>
  <c r="K866" i="4"/>
  <c r="K865" i="4"/>
  <c r="K864" i="4"/>
  <c r="K863" i="4"/>
  <c r="K862" i="4"/>
  <c r="K861" i="4"/>
  <c r="K860" i="4"/>
  <c r="K859" i="4"/>
  <c r="K858" i="4"/>
  <c r="K857" i="4"/>
  <c r="K856" i="4"/>
  <c r="K855" i="4"/>
  <c r="K854" i="4"/>
  <c r="K853" i="4"/>
  <c r="K852" i="4"/>
  <c r="K851" i="4"/>
  <c r="K850" i="4"/>
  <c r="K849" i="4"/>
  <c r="K848" i="4"/>
  <c r="K847" i="4"/>
  <c r="K846" i="4"/>
  <c r="K845" i="4"/>
  <c r="K844" i="4"/>
  <c r="K843" i="4"/>
  <c r="K842" i="4"/>
  <c r="K841" i="4"/>
  <c r="K840" i="4"/>
  <c r="K839" i="4"/>
  <c r="K838" i="4"/>
  <c r="K837" i="4"/>
  <c r="K836" i="4"/>
  <c r="K835" i="4"/>
  <c r="K834" i="4"/>
  <c r="K833" i="4"/>
  <c r="K832" i="4"/>
  <c r="K831" i="4"/>
  <c r="K830" i="4"/>
  <c r="K829" i="4"/>
  <c r="K828" i="4"/>
  <c r="K827" i="4"/>
  <c r="K826" i="4"/>
  <c r="K825" i="4"/>
  <c r="K824" i="4"/>
  <c r="K823" i="4"/>
  <c r="K822" i="4"/>
  <c r="K821" i="4"/>
  <c r="K820" i="4"/>
  <c r="K819" i="4"/>
  <c r="K818" i="4"/>
  <c r="K817" i="4"/>
  <c r="K816" i="4"/>
  <c r="K815" i="4"/>
  <c r="K814" i="4"/>
  <c r="K813" i="4"/>
  <c r="K812" i="4"/>
  <c r="K811" i="4"/>
  <c r="K810" i="4"/>
  <c r="K809" i="4"/>
  <c r="K808" i="4"/>
  <c r="K807" i="4"/>
  <c r="K806" i="4"/>
  <c r="K805" i="4"/>
  <c r="K804" i="4"/>
  <c r="K803" i="4"/>
  <c r="K802" i="4"/>
  <c r="K801" i="4"/>
  <c r="K800" i="4"/>
  <c r="K799" i="4"/>
  <c r="K798" i="4"/>
  <c r="K797" i="4"/>
  <c r="K796" i="4"/>
  <c r="K795" i="4"/>
  <c r="K794" i="4"/>
  <c r="K793" i="4"/>
  <c r="K792" i="4"/>
  <c r="K791" i="4"/>
  <c r="K790" i="4"/>
  <c r="K789" i="4"/>
  <c r="K788" i="4"/>
  <c r="K787" i="4"/>
  <c r="K786" i="4"/>
  <c r="K785" i="4"/>
  <c r="K784" i="4"/>
  <c r="K783" i="4"/>
  <c r="K782" i="4"/>
  <c r="K781" i="4"/>
  <c r="K780" i="4"/>
  <c r="K779" i="4"/>
  <c r="K778" i="4"/>
  <c r="K777" i="4"/>
  <c r="K776" i="4"/>
  <c r="K775" i="4"/>
  <c r="K774" i="4"/>
  <c r="K773" i="4"/>
  <c r="K772" i="4"/>
  <c r="K771" i="4"/>
  <c r="K770" i="4"/>
  <c r="K769" i="4"/>
  <c r="K768" i="4"/>
  <c r="K767" i="4"/>
  <c r="K766" i="4"/>
  <c r="K765" i="4"/>
  <c r="K764" i="4"/>
  <c r="K763" i="4"/>
  <c r="K762" i="4"/>
  <c r="K761" i="4"/>
  <c r="K760" i="4"/>
  <c r="K759" i="4"/>
  <c r="K758" i="4"/>
  <c r="K757" i="4"/>
  <c r="K756" i="4"/>
  <c r="K755" i="4"/>
  <c r="K754" i="4"/>
  <c r="K753" i="4"/>
  <c r="K752" i="4"/>
  <c r="K751" i="4"/>
  <c r="K750" i="4"/>
  <c r="K749" i="4"/>
  <c r="K748" i="4"/>
  <c r="K747" i="4"/>
  <c r="K746" i="4"/>
  <c r="K745" i="4"/>
  <c r="K744" i="4"/>
  <c r="K743" i="4"/>
  <c r="K742" i="4"/>
  <c r="K741" i="4"/>
  <c r="K740" i="4"/>
  <c r="K739" i="4"/>
  <c r="K738" i="4"/>
  <c r="K737" i="4"/>
  <c r="K736" i="4"/>
  <c r="K735" i="4"/>
  <c r="K734" i="4"/>
  <c r="K733" i="4"/>
  <c r="K732" i="4"/>
  <c r="K731" i="4"/>
  <c r="K730" i="4"/>
  <c r="K729" i="4"/>
  <c r="K728" i="4"/>
  <c r="K727" i="4"/>
  <c r="K726" i="4"/>
  <c r="K725" i="4"/>
  <c r="K724" i="4"/>
  <c r="K723" i="4"/>
  <c r="K722" i="4"/>
  <c r="K721" i="4"/>
  <c r="K720" i="4"/>
  <c r="K719" i="4"/>
  <c r="K718" i="4"/>
  <c r="K717" i="4"/>
  <c r="K716" i="4"/>
  <c r="K715" i="4"/>
  <c r="K714" i="4"/>
  <c r="K713" i="4"/>
  <c r="K712" i="4"/>
  <c r="K711" i="4"/>
  <c r="K710" i="4"/>
  <c r="K709" i="4"/>
  <c r="K708" i="4"/>
  <c r="K707" i="4"/>
  <c r="K706" i="4"/>
  <c r="K705" i="4"/>
  <c r="K704" i="4"/>
  <c r="K703" i="4"/>
  <c r="K702" i="4"/>
  <c r="K701" i="4"/>
  <c r="K700" i="4"/>
  <c r="K699" i="4"/>
  <c r="K698" i="4"/>
  <c r="K697" i="4"/>
  <c r="K696" i="4"/>
  <c r="K695" i="4"/>
  <c r="K694" i="4"/>
  <c r="K693" i="4"/>
  <c r="K692" i="4"/>
  <c r="K691" i="4"/>
  <c r="K690" i="4"/>
  <c r="K689" i="4"/>
  <c r="K688" i="4"/>
  <c r="K687" i="4"/>
  <c r="K686" i="4"/>
  <c r="K685" i="4"/>
  <c r="K684" i="4"/>
  <c r="K683" i="4"/>
  <c r="K682" i="4"/>
  <c r="K681" i="4"/>
  <c r="K680" i="4"/>
  <c r="K679" i="4"/>
  <c r="K678" i="4"/>
  <c r="K677" i="4"/>
  <c r="K676" i="4"/>
  <c r="K675" i="4"/>
  <c r="K674" i="4"/>
  <c r="K673" i="4"/>
  <c r="K672" i="4"/>
  <c r="K671" i="4"/>
  <c r="K670" i="4"/>
  <c r="K669" i="4"/>
  <c r="K668" i="4"/>
  <c r="K667" i="4"/>
  <c r="K666" i="4"/>
  <c r="K665" i="4"/>
  <c r="K664" i="4"/>
  <c r="K663" i="4"/>
  <c r="K662" i="4"/>
  <c r="K661" i="4"/>
  <c r="K660" i="4"/>
  <c r="K659" i="4"/>
  <c r="K658" i="4"/>
  <c r="K657" i="4"/>
  <c r="K656" i="4"/>
  <c r="K655" i="4"/>
  <c r="K654" i="4"/>
  <c r="K653" i="4"/>
  <c r="K652" i="4"/>
  <c r="K651" i="4"/>
  <c r="K650" i="4"/>
  <c r="K649" i="4"/>
  <c r="K648" i="4"/>
  <c r="K647" i="4"/>
  <c r="K646" i="4"/>
  <c r="K645" i="4"/>
  <c r="K644" i="4"/>
  <c r="K643" i="4"/>
  <c r="K642" i="4"/>
  <c r="K641" i="4"/>
  <c r="K640" i="4"/>
  <c r="K639" i="4"/>
  <c r="K638" i="4"/>
  <c r="K637" i="4"/>
  <c r="K636" i="4"/>
  <c r="K635" i="4"/>
  <c r="K634" i="4"/>
  <c r="K633" i="4"/>
  <c r="K632" i="4"/>
  <c r="K631" i="4"/>
  <c r="K630" i="4"/>
  <c r="K629" i="4"/>
  <c r="K628" i="4"/>
  <c r="K627" i="4"/>
  <c r="K626" i="4"/>
  <c r="K625" i="4"/>
  <c r="K624" i="4"/>
  <c r="K623" i="4"/>
  <c r="K622" i="4"/>
  <c r="K621" i="4"/>
  <c r="K620" i="4"/>
  <c r="K619" i="4"/>
  <c r="K618" i="4"/>
  <c r="K617" i="4"/>
  <c r="K616" i="4"/>
  <c r="K615" i="4"/>
  <c r="K614" i="4"/>
  <c r="K613" i="4"/>
  <c r="K612" i="4"/>
  <c r="K611" i="4"/>
  <c r="K610" i="4"/>
  <c r="K609" i="4"/>
  <c r="K608" i="4"/>
  <c r="K607" i="4"/>
  <c r="K606" i="4"/>
  <c r="K605" i="4"/>
  <c r="K604" i="4"/>
  <c r="K603" i="4"/>
  <c r="K602" i="4"/>
  <c r="K601" i="4"/>
  <c r="K600" i="4"/>
  <c r="K599" i="4"/>
  <c r="K598" i="4"/>
  <c r="K597" i="4"/>
  <c r="K596" i="4"/>
  <c r="K595" i="4"/>
  <c r="K594" i="4"/>
  <c r="K593" i="4"/>
  <c r="K592" i="4"/>
  <c r="K591" i="4"/>
  <c r="K590" i="4"/>
  <c r="K589" i="4"/>
  <c r="K588" i="4"/>
  <c r="K587" i="4"/>
  <c r="K586" i="4"/>
  <c r="K585" i="4"/>
  <c r="K584" i="4"/>
  <c r="K583" i="4"/>
  <c r="K582" i="4"/>
  <c r="K581" i="4"/>
  <c r="K580" i="4"/>
  <c r="K579" i="4"/>
  <c r="K578" i="4"/>
  <c r="K577" i="4"/>
  <c r="K576" i="4"/>
  <c r="K575" i="4"/>
  <c r="K574" i="4"/>
  <c r="K573" i="4"/>
  <c r="K572" i="4"/>
  <c r="K571" i="4"/>
  <c r="K570" i="4"/>
  <c r="K569" i="4"/>
  <c r="K568" i="4"/>
  <c r="K567" i="4"/>
  <c r="K566" i="4"/>
  <c r="K565" i="4"/>
  <c r="K564" i="4"/>
  <c r="K563" i="4"/>
  <c r="K562" i="4"/>
  <c r="K561" i="4"/>
  <c r="K560" i="4"/>
  <c r="K559" i="4"/>
  <c r="K558" i="4"/>
  <c r="K557" i="4"/>
  <c r="K556" i="4"/>
  <c r="K555" i="4"/>
  <c r="K554" i="4"/>
  <c r="K553" i="4"/>
  <c r="K552" i="4"/>
  <c r="K551" i="4"/>
  <c r="K550" i="4"/>
  <c r="K549" i="4"/>
  <c r="K548" i="4"/>
  <c r="K547" i="4"/>
  <c r="K546" i="4"/>
  <c r="K545" i="4"/>
  <c r="K544" i="4"/>
  <c r="K543" i="4"/>
  <c r="K542" i="4"/>
  <c r="K541" i="4"/>
  <c r="K540" i="4"/>
  <c r="K539" i="4"/>
  <c r="K538" i="4"/>
  <c r="K537" i="4"/>
  <c r="K536" i="4"/>
  <c r="K535" i="4"/>
  <c r="K534" i="4"/>
  <c r="K533" i="4"/>
  <c r="K532" i="4"/>
  <c r="K531" i="4"/>
  <c r="K530" i="4"/>
  <c r="K529" i="4"/>
  <c r="K528" i="4"/>
  <c r="K527" i="4"/>
  <c r="K526" i="4"/>
  <c r="K525" i="4"/>
  <c r="K524" i="4"/>
  <c r="K523" i="4"/>
  <c r="K522" i="4"/>
  <c r="K521" i="4"/>
  <c r="K520" i="4"/>
  <c r="K519" i="4"/>
  <c r="K518" i="4"/>
  <c r="K517" i="4"/>
  <c r="K516" i="4"/>
  <c r="K515" i="4"/>
  <c r="K514" i="4"/>
  <c r="K513" i="4"/>
  <c r="K512" i="4"/>
  <c r="K511" i="4"/>
  <c r="K510" i="4"/>
  <c r="K509" i="4"/>
  <c r="K508" i="4"/>
  <c r="K507" i="4"/>
  <c r="K506" i="4"/>
  <c r="K505" i="4"/>
  <c r="K504" i="4"/>
  <c r="K503" i="4"/>
  <c r="K502" i="4"/>
  <c r="K501" i="4"/>
  <c r="K500" i="4"/>
  <c r="K499" i="4"/>
  <c r="K498" i="4"/>
  <c r="K497" i="4"/>
  <c r="K496" i="4"/>
  <c r="K495" i="4"/>
  <c r="K494" i="4"/>
  <c r="K493" i="4"/>
  <c r="K492" i="4"/>
  <c r="K491" i="4"/>
  <c r="K490" i="4"/>
  <c r="K489" i="4"/>
  <c r="K488" i="4"/>
  <c r="K487" i="4"/>
  <c r="K486" i="4"/>
  <c r="K485" i="4"/>
  <c r="K484" i="4"/>
  <c r="K483" i="4"/>
  <c r="K482" i="4"/>
  <c r="K481" i="4"/>
  <c r="K480" i="4"/>
  <c r="K479" i="4"/>
  <c r="K478" i="4"/>
  <c r="K477" i="4"/>
  <c r="K476" i="4"/>
  <c r="K475" i="4"/>
  <c r="K474" i="4"/>
  <c r="K473" i="4"/>
  <c r="K472" i="4"/>
  <c r="K471" i="4"/>
  <c r="K470" i="4"/>
  <c r="K469" i="4"/>
  <c r="K468" i="4"/>
  <c r="K467" i="4"/>
  <c r="K466" i="4"/>
  <c r="K465" i="4"/>
  <c r="K464" i="4"/>
  <c r="K463" i="4"/>
  <c r="K462" i="4"/>
  <c r="K461" i="4"/>
  <c r="K460" i="4"/>
  <c r="K459" i="4"/>
  <c r="K458" i="4"/>
  <c r="K457" i="4"/>
  <c r="K456" i="4"/>
  <c r="K455" i="4"/>
  <c r="K454" i="4"/>
  <c r="K453" i="4"/>
  <c r="K452" i="4"/>
  <c r="K451" i="4"/>
  <c r="K450" i="4"/>
  <c r="K449" i="4"/>
  <c r="K448" i="4"/>
  <c r="K447" i="4"/>
  <c r="K446" i="4"/>
  <c r="K445" i="4"/>
  <c r="K444" i="4"/>
  <c r="K443" i="4"/>
  <c r="K442" i="4"/>
  <c r="K441" i="4"/>
  <c r="K440" i="4"/>
  <c r="K439" i="4"/>
  <c r="K438" i="4"/>
  <c r="K437" i="4"/>
  <c r="K436" i="4"/>
  <c r="K435" i="4"/>
  <c r="K434" i="4"/>
  <c r="K433" i="4"/>
  <c r="K432" i="4"/>
  <c r="K431" i="4"/>
  <c r="K430" i="4"/>
  <c r="K429" i="4"/>
  <c r="K428" i="4"/>
  <c r="K427" i="4"/>
  <c r="K426" i="4"/>
  <c r="K425" i="4"/>
  <c r="K424" i="4"/>
  <c r="K423" i="4"/>
  <c r="K422" i="4"/>
  <c r="K421" i="4"/>
  <c r="K420" i="4"/>
  <c r="K419" i="4"/>
  <c r="K418" i="4"/>
  <c r="K417" i="4"/>
  <c r="K416" i="4"/>
  <c r="K415" i="4"/>
  <c r="K414" i="4"/>
  <c r="K413" i="4"/>
  <c r="K412" i="4"/>
  <c r="K411" i="4"/>
  <c r="K410" i="4"/>
  <c r="K409" i="4"/>
  <c r="K408" i="4"/>
  <c r="K407" i="4"/>
  <c r="K406" i="4"/>
  <c r="K405" i="4"/>
  <c r="K404" i="4"/>
  <c r="K403" i="4"/>
  <c r="K402" i="4"/>
  <c r="K401" i="4"/>
  <c r="K400" i="4"/>
  <c r="K399" i="4"/>
  <c r="K398" i="4"/>
  <c r="K397" i="4"/>
  <c r="K396" i="4"/>
  <c r="K395" i="4"/>
  <c r="K394" i="4"/>
  <c r="K393" i="4"/>
  <c r="K392" i="4"/>
  <c r="K391" i="4"/>
  <c r="K390" i="4"/>
  <c r="K389" i="4"/>
  <c r="K388" i="4"/>
  <c r="K387" i="4"/>
  <c r="K386" i="4"/>
  <c r="K385" i="4"/>
  <c r="K384" i="4"/>
  <c r="K383" i="4"/>
  <c r="K382" i="4"/>
  <c r="K381" i="4"/>
  <c r="K380" i="4"/>
  <c r="K379" i="4"/>
  <c r="K378" i="4"/>
  <c r="K377" i="4"/>
  <c r="K376" i="4"/>
  <c r="K375" i="4"/>
  <c r="K374" i="4"/>
  <c r="K373" i="4"/>
  <c r="K372" i="4"/>
  <c r="K371" i="4"/>
  <c r="K370" i="4"/>
  <c r="K369" i="4"/>
  <c r="K368" i="4"/>
  <c r="K367" i="4"/>
  <c r="K366" i="4"/>
  <c r="K365" i="4"/>
  <c r="K364" i="4"/>
  <c r="K363" i="4"/>
  <c r="K362" i="4"/>
  <c r="K361" i="4"/>
  <c r="K360" i="4"/>
  <c r="K359" i="4"/>
  <c r="K358" i="4"/>
  <c r="K357" i="4"/>
  <c r="K356" i="4"/>
  <c r="K355" i="4"/>
  <c r="K354" i="4"/>
  <c r="K353" i="4"/>
  <c r="K352" i="4"/>
  <c r="K351" i="4"/>
  <c r="K350" i="4"/>
  <c r="K349" i="4"/>
  <c r="K348" i="4"/>
  <c r="K347" i="4"/>
  <c r="K346" i="4"/>
  <c r="K345" i="4"/>
  <c r="K344" i="4"/>
  <c r="K343" i="4"/>
  <c r="K342" i="4"/>
  <c r="K341" i="4"/>
  <c r="K340" i="4"/>
  <c r="K339" i="4"/>
  <c r="K338" i="4"/>
  <c r="K337" i="4"/>
  <c r="K336" i="4"/>
  <c r="K335" i="4"/>
  <c r="K334" i="4"/>
  <c r="K333" i="4"/>
  <c r="K332" i="4"/>
  <c r="K331" i="4"/>
  <c r="K330" i="4"/>
  <c r="K329" i="4"/>
  <c r="K328" i="4"/>
  <c r="K327" i="4"/>
  <c r="K326" i="4"/>
  <c r="K325" i="4"/>
  <c r="K324" i="4"/>
  <c r="K323" i="4"/>
  <c r="K322" i="4"/>
  <c r="K321" i="4"/>
  <c r="K320" i="4"/>
  <c r="K319" i="4"/>
  <c r="K318" i="4"/>
  <c r="K317" i="4"/>
  <c r="K316" i="4"/>
  <c r="K315" i="4"/>
  <c r="K314" i="4"/>
  <c r="K313" i="4"/>
  <c r="K312" i="4"/>
  <c r="K311" i="4"/>
  <c r="K310" i="4"/>
  <c r="K309" i="4"/>
  <c r="K308" i="4"/>
  <c r="K307" i="4"/>
  <c r="K306" i="4"/>
  <c r="K305" i="4"/>
  <c r="K304" i="4"/>
  <c r="K303" i="4"/>
  <c r="K302" i="4"/>
  <c r="K301" i="4"/>
  <c r="K300" i="4"/>
  <c r="K299" i="4"/>
  <c r="K298" i="4"/>
  <c r="K297" i="4"/>
  <c r="K296" i="4"/>
  <c r="K295" i="4"/>
  <c r="K294" i="4"/>
  <c r="K293" i="4"/>
  <c r="K292" i="4"/>
  <c r="K291" i="4"/>
  <c r="K290" i="4"/>
  <c r="K289" i="4"/>
  <c r="K288" i="4"/>
  <c r="K287" i="4"/>
  <c r="K286" i="4"/>
  <c r="K285" i="4"/>
  <c r="K284" i="4"/>
  <c r="K283" i="4"/>
  <c r="K282" i="4"/>
  <c r="K281" i="4"/>
  <c r="K280" i="4"/>
  <c r="K279" i="4"/>
  <c r="K278" i="4"/>
  <c r="K277" i="4"/>
  <c r="K276" i="4"/>
  <c r="K275" i="4"/>
  <c r="K274" i="4"/>
  <c r="K273" i="4"/>
  <c r="K272" i="4"/>
  <c r="K271" i="4"/>
  <c r="K270" i="4"/>
  <c r="K269" i="4"/>
  <c r="K268" i="4"/>
  <c r="K267" i="4"/>
  <c r="K266" i="4"/>
  <c r="K265" i="4"/>
  <c r="K264" i="4"/>
  <c r="K263" i="4"/>
  <c r="K262" i="4"/>
  <c r="K261" i="4"/>
  <c r="K260" i="4"/>
  <c r="K259" i="4"/>
  <c r="K258" i="4"/>
  <c r="K257" i="4"/>
  <c r="K256" i="4"/>
  <c r="K255" i="4"/>
  <c r="K254" i="4"/>
  <c r="K253" i="4"/>
  <c r="K252" i="4"/>
  <c r="K251" i="4"/>
  <c r="K250" i="4"/>
  <c r="K249" i="4"/>
  <c r="K248" i="4"/>
  <c r="K247" i="4"/>
  <c r="K246" i="4"/>
  <c r="K245" i="4"/>
  <c r="K244" i="4"/>
  <c r="K243" i="4"/>
  <c r="K242" i="4"/>
  <c r="K241" i="4"/>
  <c r="K240" i="4"/>
  <c r="K239" i="4"/>
  <c r="K238" i="4"/>
  <c r="K237" i="4"/>
  <c r="K236" i="4"/>
  <c r="K235" i="4"/>
  <c r="K234" i="4"/>
  <c r="K233" i="4"/>
  <c r="K232" i="4"/>
  <c r="K231" i="4"/>
  <c r="K230" i="4"/>
  <c r="K229" i="4"/>
  <c r="K228" i="4"/>
  <c r="K227" i="4"/>
  <c r="K226" i="4"/>
  <c r="K225" i="4"/>
  <c r="K224" i="4"/>
  <c r="K223" i="4"/>
  <c r="K222" i="4"/>
  <c r="K221" i="4"/>
  <c r="K220" i="4"/>
  <c r="K219" i="4"/>
  <c r="K218" i="4"/>
  <c r="K217" i="4"/>
  <c r="K216" i="4"/>
  <c r="K215" i="4"/>
  <c r="K214" i="4"/>
  <c r="K213" i="4"/>
  <c r="K212" i="4"/>
  <c r="K211" i="4"/>
  <c r="K210" i="4"/>
  <c r="K209" i="4"/>
  <c r="K208" i="4"/>
  <c r="K207" i="4"/>
  <c r="K206" i="4"/>
  <c r="K205" i="4"/>
  <c r="K204" i="4"/>
  <c r="K203" i="4"/>
  <c r="K202" i="4"/>
  <c r="K201" i="4"/>
  <c r="K200" i="4"/>
  <c r="K199" i="4"/>
  <c r="K198" i="4"/>
  <c r="K197" i="4"/>
  <c r="K196" i="4"/>
  <c r="K195" i="4"/>
  <c r="K194" i="4"/>
  <c r="K193" i="4"/>
  <c r="K192" i="4"/>
  <c r="K191" i="4"/>
  <c r="K190" i="4"/>
  <c r="K189" i="4"/>
  <c r="K188" i="4"/>
  <c r="K187" i="4"/>
  <c r="K186" i="4"/>
  <c r="K185" i="4"/>
  <c r="K184" i="4"/>
  <c r="K183" i="4"/>
  <c r="K182" i="4"/>
  <c r="K181" i="4"/>
  <c r="K180" i="4"/>
  <c r="K179" i="4"/>
  <c r="K178" i="4"/>
  <c r="K177" i="4"/>
  <c r="K176" i="4"/>
  <c r="K175" i="4"/>
  <c r="K174" i="4"/>
  <c r="K173" i="4"/>
  <c r="K172" i="4"/>
  <c r="K171" i="4"/>
  <c r="K170" i="4"/>
  <c r="K169" i="4"/>
  <c r="K168" i="4"/>
  <c r="K167" i="4"/>
  <c r="K166" i="4"/>
  <c r="K165" i="4"/>
  <c r="K164" i="4"/>
  <c r="K163" i="4"/>
  <c r="K162" i="4"/>
  <c r="K161" i="4"/>
  <c r="K160" i="4"/>
  <c r="K159" i="4"/>
  <c r="K158" i="4"/>
  <c r="K157" i="4"/>
  <c r="K156" i="4"/>
  <c r="K155" i="4"/>
  <c r="K154" i="4"/>
  <c r="K153" i="4"/>
  <c r="K152" i="4"/>
  <c r="K151" i="4"/>
  <c r="K150" i="4"/>
  <c r="K149" i="4"/>
  <c r="K148" i="4"/>
  <c r="K147" i="4"/>
  <c r="K146" i="4"/>
  <c r="K145" i="4"/>
  <c r="K144" i="4"/>
  <c r="K143" i="4"/>
  <c r="K142" i="4"/>
  <c r="K141" i="4"/>
  <c r="K140" i="4"/>
  <c r="K139" i="4"/>
  <c r="K138" i="4"/>
  <c r="K137" i="4"/>
  <c r="K136" i="4"/>
  <c r="K135" i="4"/>
  <c r="K134" i="4"/>
  <c r="K133" i="4"/>
  <c r="K132" i="4"/>
  <c r="K131" i="4"/>
  <c r="K130" i="4"/>
  <c r="K129" i="4"/>
  <c r="K128" i="4"/>
  <c r="K127" i="4"/>
  <c r="K126" i="4"/>
  <c r="K125" i="4"/>
  <c r="K124" i="4"/>
  <c r="K123" i="4"/>
  <c r="K122" i="4"/>
  <c r="K121" i="4"/>
  <c r="K120" i="4"/>
  <c r="K119" i="4"/>
  <c r="K118" i="4"/>
  <c r="K117" i="4"/>
  <c r="K116" i="4"/>
  <c r="K115" i="4"/>
  <c r="K114" i="4"/>
  <c r="K113" i="4"/>
  <c r="K112" i="4"/>
  <c r="K111" i="4"/>
  <c r="K110" i="4"/>
  <c r="K109" i="4"/>
  <c r="K108" i="4"/>
  <c r="K107" i="4"/>
  <c r="K106" i="4"/>
  <c r="K105" i="4"/>
  <c r="K104" i="4"/>
  <c r="K103" i="4"/>
  <c r="K102" i="4"/>
  <c r="K101" i="4"/>
  <c r="K100" i="4"/>
  <c r="K99" i="4"/>
  <c r="K98" i="4"/>
  <c r="K97" i="4"/>
  <c r="K96" i="4"/>
  <c r="K95" i="4"/>
  <c r="K94" i="4"/>
  <c r="K93" i="4"/>
  <c r="K92" i="4"/>
  <c r="K91" i="4"/>
  <c r="K90" i="4"/>
  <c r="K89" i="4"/>
  <c r="K88" i="4"/>
  <c r="K87" i="4"/>
  <c r="K86" i="4"/>
  <c r="K85" i="4"/>
  <c r="K84" i="4"/>
  <c r="K83" i="4"/>
  <c r="K82" i="4"/>
  <c r="K81" i="4"/>
  <c r="K80" i="4"/>
  <c r="K79" i="4"/>
  <c r="K78" i="4"/>
  <c r="K77" i="4"/>
  <c r="K76" i="4"/>
  <c r="K75" i="4"/>
  <c r="K74" i="4"/>
  <c r="K73" i="4"/>
  <c r="K72" i="4"/>
  <c r="K71" i="4"/>
  <c r="K70" i="4"/>
  <c r="K69" i="4"/>
  <c r="K68" i="4"/>
  <c r="K67" i="4"/>
  <c r="K66" i="4"/>
  <c r="K65" i="4"/>
  <c r="K64" i="4"/>
  <c r="K63" i="4"/>
  <c r="K62" i="4"/>
  <c r="K61" i="4"/>
  <c r="K60" i="4"/>
  <c r="K59" i="4"/>
  <c r="K58" i="4"/>
  <c r="K57" i="4"/>
  <c r="K56" i="4"/>
  <c r="K55" i="4"/>
  <c r="K54" i="4"/>
  <c r="K53" i="4"/>
  <c r="K52" i="4"/>
  <c r="K51" i="4"/>
  <c r="K50" i="4"/>
  <c r="K49" i="4"/>
  <c r="K48" i="4"/>
  <c r="K47" i="4"/>
  <c r="K46" i="4"/>
  <c r="K45" i="4"/>
  <c r="K44" i="4"/>
  <c r="K43" i="4"/>
  <c r="K42" i="4"/>
  <c r="K41" i="4"/>
  <c r="K40" i="4"/>
  <c r="K39" i="4"/>
  <c r="K38" i="4"/>
  <c r="K37" i="4"/>
  <c r="K36" i="4"/>
  <c r="K35" i="4"/>
  <c r="K34" i="4"/>
  <c r="K33" i="4"/>
  <c r="K32" i="4"/>
  <c r="K31" i="4"/>
  <c r="K30" i="4"/>
  <c r="K29" i="4"/>
  <c r="K28" i="4"/>
  <c r="K27" i="4"/>
  <c r="K26" i="4"/>
  <c r="K25" i="4"/>
  <c r="K24" i="4"/>
  <c r="K23" i="4"/>
  <c r="K22" i="4"/>
  <c r="K21" i="4"/>
  <c r="K20" i="4"/>
  <c r="K19" i="4"/>
  <c r="K18" i="4"/>
  <c r="K17" i="4"/>
  <c r="K16" i="4"/>
  <c r="K15" i="4"/>
  <c r="K14" i="4"/>
  <c r="K13" i="4"/>
  <c r="K12" i="4"/>
  <c r="K11" i="4"/>
  <c r="K10" i="4"/>
  <c r="K9" i="4"/>
  <c r="K8" i="4"/>
  <c r="K7" i="4"/>
  <c r="K6" i="4"/>
  <c r="K5" i="4"/>
  <c r="K4" i="4"/>
  <c r="K3" i="4"/>
  <c r="K2" i="4"/>
  <c r="F2" i="4"/>
  <c r="G3" i="4"/>
  <c r="F918" i="4"/>
  <c r="F917" i="4"/>
  <c r="F916" i="4"/>
  <c r="F915" i="4"/>
  <c r="F914" i="4"/>
  <c r="F913" i="4"/>
  <c r="F912" i="4"/>
  <c r="F911" i="4"/>
  <c r="F910" i="4"/>
  <c r="F909" i="4"/>
  <c r="F908" i="4"/>
  <c r="F907" i="4"/>
  <c r="F906" i="4"/>
  <c r="F905" i="4"/>
  <c r="F904" i="4"/>
  <c r="F903" i="4"/>
  <c r="F902" i="4"/>
  <c r="F901" i="4"/>
  <c r="F900" i="4"/>
  <c r="F899" i="4"/>
  <c r="F898" i="4"/>
  <c r="F897" i="4"/>
  <c r="F896" i="4"/>
  <c r="F895" i="4"/>
  <c r="F894" i="4"/>
  <c r="F893" i="4"/>
  <c r="F892" i="4"/>
  <c r="F891" i="4"/>
  <c r="F890" i="4"/>
  <c r="F889" i="4"/>
  <c r="F888" i="4"/>
  <c r="F887" i="4"/>
  <c r="F886" i="4"/>
  <c r="F885" i="4"/>
  <c r="F884" i="4"/>
  <c r="F883" i="4"/>
  <c r="F882" i="4"/>
  <c r="F881" i="4"/>
  <c r="F880" i="4"/>
  <c r="F879" i="4"/>
  <c r="F878" i="4"/>
  <c r="F877" i="4"/>
  <c r="F876" i="4"/>
  <c r="F875" i="4"/>
  <c r="F874" i="4"/>
  <c r="F873" i="4"/>
  <c r="F872" i="4"/>
  <c r="F871" i="4"/>
  <c r="F870" i="4"/>
  <c r="F869" i="4"/>
  <c r="F868" i="4"/>
  <c r="F867" i="4"/>
  <c r="F866" i="4"/>
  <c r="F865" i="4"/>
  <c r="F864" i="4"/>
  <c r="F863" i="4"/>
  <c r="F862" i="4"/>
  <c r="F861" i="4"/>
  <c r="F860" i="4"/>
  <c r="F859" i="4"/>
  <c r="F858" i="4"/>
  <c r="F857" i="4"/>
  <c r="F856" i="4"/>
  <c r="F855" i="4"/>
  <c r="F854" i="4"/>
  <c r="F853" i="4"/>
  <c r="F852" i="4"/>
  <c r="F851" i="4"/>
  <c r="F850" i="4"/>
  <c r="F849" i="4"/>
  <c r="F848" i="4"/>
  <c r="F847" i="4"/>
  <c r="F846" i="4"/>
  <c r="F845" i="4"/>
  <c r="F844" i="4"/>
  <c r="F843" i="4"/>
  <c r="F842" i="4"/>
  <c r="F841" i="4"/>
  <c r="F840" i="4"/>
  <c r="F839" i="4"/>
  <c r="F838" i="4"/>
  <c r="F837" i="4"/>
  <c r="F836" i="4"/>
  <c r="F835" i="4"/>
  <c r="F834" i="4"/>
  <c r="F833" i="4"/>
  <c r="F832" i="4"/>
  <c r="F831" i="4"/>
  <c r="F830" i="4"/>
  <c r="F829" i="4"/>
  <c r="F828" i="4"/>
  <c r="F827" i="4"/>
  <c r="F826" i="4"/>
  <c r="F825" i="4"/>
  <c r="F824" i="4"/>
  <c r="F823" i="4"/>
  <c r="F822" i="4"/>
  <c r="F821" i="4"/>
  <c r="F820" i="4"/>
  <c r="F819" i="4"/>
  <c r="F818" i="4"/>
  <c r="F817" i="4"/>
  <c r="F816" i="4"/>
  <c r="F815" i="4"/>
  <c r="F814" i="4"/>
  <c r="F813" i="4"/>
  <c r="F812" i="4"/>
  <c r="F811" i="4"/>
  <c r="F810" i="4"/>
  <c r="F809" i="4"/>
  <c r="F808" i="4"/>
  <c r="F807" i="4"/>
  <c r="F806" i="4"/>
  <c r="F805" i="4"/>
  <c r="F804" i="4"/>
  <c r="F803" i="4"/>
  <c r="F802" i="4"/>
  <c r="F801" i="4"/>
  <c r="F800" i="4"/>
  <c r="F799" i="4"/>
  <c r="F798" i="4"/>
  <c r="F797" i="4"/>
  <c r="F796" i="4"/>
  <c r="F795" i="4"/>
  <c r="F794" i="4"/>
  <c r="F793" i="4"/>
  <c r="F792" i="4"/>
  <c r="F791" i="4"/>
  <c r="F790" i="4"/>
  <c r="F789" i="4"/>
  <c r="F788" i="4"/>
  <c r="F787" i="4"/>
  <c r="F786" i="4"/>
  <c r="F785" i="4"/>
  <c r="F784" i="4"/>
  <c r="F783" i="4"/>
  <c r="F782" i="4"/>
  <c r="F781" i="4"/>
  <c r="F780" i="4"/>
  <c r="F779" i="4"/>
  <c r="F778" i="4"/>
  <c r="F777" i="4"/>
  <c r="F776" i="4"/>
  <c r="F775" i="4"/>
  <c r="F774" i="4"/>
  <c r="F773" i="4"/>
  <c r="F772" i="4"/>
  <c r="F771" i="4"/>
  <c r="F770" i="4"/>
  <c r="F769" i="4"/>
  <c r="F768" i="4"/>
  <c r="F767" i="4"/>
  <c r="F766" i="4"/>
  <c r="F765" i="4"/>
  <c r="F764" i="4"/>
  <c r="F763" i="4"/>
  <c r="F762" i="4"/>
  <c r="F761" i="4"/>
  <c r="F760" i="4"/>
  <c r="F759" i="4"/>
  <c r="F758" i="4"/>
  <c r="F757" i="4"/>
  <c r="F756" i="4"/>
  <c r="F755" i="4"/>
  <c r="F754" i="4"/>
  <c r="F753" i="4"/>
  <c r="F752" i="4"/>
  <c r="F751" i="4"/>
  <c r="F750" i="4"/>
  <c r="F749" i="4"/>
  <c r="F748" i="4"/>
  <c r="F747" i="4"/>
  <c r="F746" i="4"/>
  <c r="F745" i="4"/>
  <c r="F744" i="4"/>
  <c r="F743" i="4"/>
  <c r="F742" i="4"/>
  <c r="F741" i="4"/>
  <c r="F740" i="4"/>
  <c r="F739" i="4"/>
  <c r="F738" i="4"/>
  <c r="F737" i="4"/>
  <c r="F736" i="4"/>
  <c r="F735" i="4"/>
  <c r="F734" i="4"/>
  <c r="F733" i="4"/>
  <c r="F732" i="4"/>
  <c r="F731" i="4"/>
  <c r="F730" i="4"/>
  <c r="F729" i="4"/>
  <c r="F728" i="4"/>
  <c r="F727" i="4"/>
  <c r="F726" i="4"/>
  <c r="F725" i="4"/>
  <c r="F724" i="4"/>
  <c r="F723" i="4"/>
  <c r="F722" i="4"/>
  <c r="F721" i="4"/>
  <c r="F720" i="4"/>
  <c r="F719" i="4"/>
  <c r="F718" i="4"/>
  <c r="F717" i="4"/>
  <c r="F716" i="4"/>
  <c r="F715" i="4"/>
  <c r="F714" i="4"/>
  <c r="F713" i="4"/>
  <c r="F712" i="4"/>
  <c r="F711" i="4"/>
  <c r="F710" i="4"/>
  <c r="F709" i="4"/>
  <c r="F708" i="4"/>
  <c r="F707" i="4"/>
  <c r="F706" i="4"/>
  <c r="F705" i="4"/>
  <c r="F704" i="4"/>
  <c r="F703" i="4"/>
  <c r="F702" i="4"/>
  <c r="F701" i="4"/>
  <c r="F700" i="4"/>
  <c r="F699" i="4"/>
  <c r="F698" i="4"/>
  <c r="F697" i="4"/>
  <c r="F696" i="4"/>
  <c r="F695" i="4"/>
  <c r="F694" i="4"/>
  <c r="F693" i="4"/>
  <c r="F692" i="4"/>
  <c r="F691" i="4"/>
  <c r="F690" i="4"/>
  <c r="F689" i="4"/>
  <c r="F688" i="4"/>
  <c r="F687" i="4"/>
  <c r="F686" i="4"/>
  <c r="F685" i="4"/>
  <c r="F684" i="4"/>
  <c r="F683" i="4"/>
  <c r="F682" i="4"/>
  <c r="F681" i="4"/>
  <c r="F680" i="4"/>
  <c r="F679" i="4"/>
  <c r="F678" i="4"/>
  <c r="F677" i="4"/>
  <c r="F676" i="4"/>
  <c r="F675" i="4"/>
  <c r="F674" i="4"/>
  <c r="F673" i="4"/>
  <c r="F672" i="4"/>
  <c r="F671" i="4"/>
  <c r="F670" i="4"/>
  <c r="F669" i="4"/>
  <c r="F668" i="4"/>
  <c r="F667" i="4"/>
  <c r="F666" i="4"/>
  <c r="F665" i="4"/>
  <c r="F664" i="4"/>
  <c r="F663" i="4"/>
  <c r="F662" i="4"/>
  <c r="F661" i="4"/>
  <c r="F660" i="4"/>
  <c r="F659" i="4"/>
  <c r="F658" i="4"/>
  <c r="F657" i="4"/>
  <c r="F656" i="4"/>
  <c r="F655" i="4"/>
  <c r="F654" i="4"/>
  <c r="F653" i="4"/>
  <c r="F652" i="4"/>
  <c r="F651" i="4"/>
  <c r="F650" i="4"/>
  <c r="F649" i="4"/>
  <c r="F648" i="4"/>
  <c r="F647" i="4"/>
  <c r="F646" i="4"/>
  <c r="F645" i="4"/>
  <c r="F644" i="4"/>
  <c r="F643" i="4"/>
  <c r="F642" i="4"/>
  <c r="F641" i="4"/>
  <c r="F640" i="4"/>
  <c r="F639" i="4"/>
  <c r="F638" i="4"/>
  <c r="F637" i="4"/>
  <c r="F636" i="4"/>
  <c r="F635" i="4"/>
  <c r="F634" i="4"/>
  <c r="F633" i="4"/>
  <c r="F632" i="4"/>
  <c r="F631" i="4"/>
  <c r="F630" i="4"/>
  <c r="G630" i="4" s="1"/>
  <c r="F629" i="4"/>
  <c r="F628" i="4"/>
  <c r="F627" i="4"/>
  <c r="F626" i="4"/>
  <c r="F625" i="4"/>
  <c r="F624" i="4"/>
  <c r="F623" i="4"/>
  <c r="F622" i="4"/>
  <c r="G622" i="4" s="1"/>
  <c r="F621" i="4"/>
  <c r="F620" i="4"/>
  <c r="F619" i="4"/>
  <c r="F618" i="4"/>
  <c r="F617" i="4"/>
  <c r="F616" i="4"/>
  <c r="F615" i="4"/>
  <c r="F614" i="4"/>
  <c r="G614" i="4" s="1"/>
  <c r="F613" i="4"/>
  <c r="F612" i="4"/>
  <c r="F611" i="4"/>
  <c r="F610" i="4"/>
  <c r="F609" i="4"/>
  <c r="F608" i="4"/>
  <c r="F607" i="4"/>
  <c r="F606" i="4"/>
  <c r="G606" i="4" s="1"/>
  <c r="F605" i="4"/>
  <c r="F604" i="4"/>
  <c r="F603" i="4"/>
  <c r="F602" i="4"/>
  <c r="F601" i="4"/>
  <c r="F600" i="4"/>
  <c r="F599" i="4"/>
  <c r="F598" i="4"/>
  <c r="G598" i="4" s="1"/>
  <c r="F597" i="4"/>
  <c r="F596" i="4"/>
  <c r="F595" i="4"/>
  <c r="F594" i="4"/>
  <c r="F593" i="4"/>
  <c r="F592" i="4"/>
  <c r="F591" i="4"/>
  <c r="F590" i="4"/>
  <c r="G590" i="4" s="1"/>
  <c r="F589" i="4"/>
  <c r="F588" i="4"/>
  <c r="F587" i="4"/>
  <c r="F586" i="4"/>
  <c r="F585" i="4"/>
  <c r="F584" i="4"/>
  <c r="F583" i="4"/>
  <c r="F582" i="4"/>
  <c r="G582" i="4" s="1"/>
  <c r="F581" i="4"/>
  <c r="F580" i="4"/>
  <c r="F579" i="4"/>
  <c r="F578" i="4"/>
  <c r="F577" i="4"/>
  <c r="F576" i="4"/>
  <c r="F575" i="4"/>
  <c r="F574" i="4"/>
  <c r="G574" i="4" s="1"/>
  <c r="F573" i="4"/>
  <c r="F572" i="4"/>
  <c r="F571" i="4"/>
  <c r="F570" i="4"/>
  <c r="F569" i="4"/>
  <c r="F568" i="4"/>
  <c r="F567" i="4"/>
  <c r="F566" i="4"/>
  <c r="G566" i="4" s="1"/>
  <c r="F565" i="4"/>
  <c r="F564" i="4"/>
  <c r="F563" i="4"/>
  <c r="F562" i="4"/>
  <c r="F561" i="4"/>
  <c r="F560" i="4"/>
  <c r="F559" i="4"/>
  <c r="F558" i="4"/>
  <c r="G558" i="4" s="1"/>
  <c r="F557" i="4"/>
  <c r="F556" i="4"/>
  <c r="F555" i="4"/>
  <c r="F554" i="4"/>
  <c r="F553" i="4"/>
  <c r="F552" i="4"/>
  <c r="F551" i="4"/>
  <c r="F550" i="4"/>
  <c r="G550" i="4" s="1"/>
  <c r="F549" i="4"/>
  <c r="F548" i="4"/>
  <c r="F547" i="4"/>
  <c r="F546" i="4"/>
  <c r="F545" i="4"/>
  <c r="F544" i="4"/>
  <c r="F543" i="4"/>
  <c r="F542" i="4"/>
  <c r="G542" i="4" s="1"/>
  <c r="F541" i="4"/>
  <c r="F540" i="4"/>
  <c r="F539" i="4"/>
  <c r="F538" i="4"/>
  <c r="F537" i="4"/>
  <c r="F536" i="4"/>
  <c r="F535" i="4"/>
  <c r="F534" i="4"/>
  <c r="G534" i="4" s="1"/>
  <c r="F533" i="4"/>
  <c r="F532" i="4"/>
  <c r="F531" i="4"/>
  <c r="F530" i="4"/>
  <c r="F529" i="4"/>
  <c r="F528" i="4"/>
  <c r="F527" i="4"/>
  <c r="F526" i="4"/>
  <c r="G526" i="4" s="1"/>
  <c r="F525" i="4"/>
  <c r="F524" i="4"/>
  <c r="F523" i="4"/>
  <c r="F522" i="4"/>
  <c r="F521" i="4"/>
  <c r="F520" i="4"/>
  <c r="F519" i="4"/>
  <c r="F518" i="4"/>
  <c r="G518" i="4" s="1"/>
  <c r="F517" i="4"/>
  <c r="F516" i="4"/>
  <c r="F515" i="4"/>
  <c r="F514" i="4"/>
  <c r="F513" i="4"/>
  <c r="F512" i="4"/>
  <c r="F511" i="4"/>
  <c r="F510" i="4"/>
  <c r="G510" i="4" s="1"/>
  <c r="F509" i="4"/>
  <c r="F508" i="4"/>
  <c r="F507" i="4"/>
  <c r="F506" i="4"/>
  <c r="F505" i="4"/>
  <c r="F504" i="4"/>
  <c r="F503" i="4"/>
  <c r="F502" i="4"/>
  <c r="G502" i="4" s="1"/>
  <c r="F501" i="4"/>
  <c r="F500" i="4"/>
  <c r="F499" i="4"/>
  <c r="F498" i="4"/>
  <c r="F497" i="4"/>
  <c r="F496" i="4"/>
  <c r="F495" i="4"/>
  <c r="F494" i="4"/>
  <c r="G494" i="4" s="1"/>
  <c r="F493" i="4"/>
  <c r="F492" i="4"/>
  <c r="F491" i="4"/>
  <c r="F490" i="4"/>
  <c r="F489" i="4"/>
  <c r="F488" i="4"/>
  <c r="F487" i="4"/>
  <c r="F486" i="4"/>
  <c r="G486" i="4" s="1"/>
  <c r="F485" i="4"/>
  <c r="F484" i="4"/>
  <c r="F483" i="4"/>
  <c r="F482" i="4"/>
  <c r="F481" i="4"/>
  <c r="F480" i="4"/>
  <c r="F479" i="4"/>
  <c r="F478" i="4"/>
  <c r="G478" i="4" s="1"/>
  <c r="F477" i="4"/>
  <c r="F476" i="4"/>
  <c r="F475" i="4"/>
  <c r="F474" i="4"/>
  <c r="F473" i="4"/>
  <c r="F472" i="4"/>
  <c r="F471" i="4"/>
  <c r="F470" i="4"/>
  <c r="G470" i="4" s="1"/>
  <c r="F469" i="4"/>
  <c r="F468" i="4"/>
  <c r="F467" i="4"/>
  <c r="F466" i="4"/>
  <c r="F465" i="4"/>
  <c r="F464" i="4"/>
  <c r="F463" i="4"/>
  <c r="F462" i="4"/>
  <c r="G462" i="4" s="1"/>
  <c r="F461" i="4"/>
  <c r="F460" i="4"/>
  <c r="F459" i="4"/>
  <c r="F458" i="4"/>
  <c r="F457" i="4"/>
  <c r="F456" i="4"/>
  <c r="F455" i="4"/>
  <c r="F454" i="4"/>
  <c r="G454" i="4" s="1"/>
  <c r="F453" i="4"/>
  <c r="F452" i="4"/>
  <c r="F451" i="4"/>
  <c r="F450" i="4"/>
  <c r="F449" i="4"/>
  <c r="F448" i="4"/>
  <c r="F447" i="4"/>
  <c r="F446" i="4"/>
  <c r="G446" i="4" s="1"/>
  <c r="F445" i="4"/>
  <c r="F444" i="4"/>
  <c r="F443" i="4"/>
  <c r="F442" i="4"/>
  <c r="F441" i="4"/>
  <c r="F440" i="4"/>
  <c r="F439" i="4"/>
  <c r="F438" i="4"/>
  <c r="G438" i="4" s="1"/>
  <c r="F437" i="4"/>
  <c r="F436" i="4"/>
  <c r="F435" i="4"/>
  <c r="F434" i="4"/>
  <c r="F433" i="4"/>
  <c r="F432" i="4"/>
  <c r="F431" i="4"/>
  <c r="F430" i="4"/>
  <c r="G430" i="4" s="1"/>
  <c r="F429" i="4"/>
  <c r="F428" i="4"/>
  <c r="F427" i="4"/>
  <c r="F426" i="4"/>
  <c r="F425" i="4"/>
  <c r="F424" i="4"/>
  <c r="F423" i="4"/>
  <c r="F422" i="4"/>
  <c r="G422" i="4" s="1"/>
  <c r="F421" i="4"/>
  <c r="F420" i="4"/>
  <c r="F419" i="4"/>
  <c r="F418" i="4"/>
  <c r="F417" i="4"/>
  <c r="F416" i="4"/>
  <c r="F415" i="4"/>
  <c r="F414" i="4"/>
  <c r="G414" i="4" s="1"/>
  <c r="F413" i="4"/>
  <c r="F412" i="4"/>
  <c r="F411" i="4"/>
  <c r="F410" i="4"/>
  <c r="F409" i="4"/>
  <c r="F408" i="4"/>
  <c r="F407" i="4"/>
  <c r="F406" i="4"/>
  <c r="G406" i="4" s="1"/>
  <c r="F405" i="4"/>
  <c r="F404" i="4"/>
  <c r="F403" i="4"/>
  <c r="F402" i="4"/>
  <c r="F401" i="4"/>
  <c r="F400" i="4"/>
  <c r="F399" i="4"/>
  <c r="F398" i="4"/>
  <c r="G398" i="4" s="1"/>
  <c r="F397" i="4"/>
  <c r="F396" i="4"/>
  <c r="F395" i="4"/>
  <c r="F394" i="4"/>
  <c r="F393" i="4"/>
  <c r="F392" i="4"/>
  <c r="F391" i="4"/>
  <c r="F390" i="4"/>
  <c r="G390" i="4" s="1"/>
  <c r="F389" i="4"/>
  <c r="F388" i="4"/>
  <c r="F387" i="4"/>
  <c r="F386" i="4"/>
  <c r="F385" i="4"/>
  <c r="F384" i="4"/>
  <c r="F383" i="4"/>
  <c r="F382" i="4"/>
  <c r="G382" i="4" s="1"/>
  <c r="F381" i="4"/>
  <c r="F380" i="4"/>
  <c r="F379" i="4"/>
  <c r="F378" i="4"/>
  <c r="F377" i="4"/>
  <c r="F376" i="4"/>
  <c r="F375" i="4"/>
  <c r="F374" i="4"/>
  <c r="G374" i="4" s="1"/>
  <c r="F373" i="4"/>
  <c r="F372" i="4"/>
  <c r="F371" i="4"/>
  <c r="F370" i="4"/>
  <c r="F369" i="4"/>
  <c r="F368" i="4"/>
  <c r="F367" i="4"/>
  <c r="F366" i="4"/>
  <c r="G366" i="4" s="1"/>
  <c r="F365" i="4"/>
  <c r="F364" i="4"/>
  <c r="F363" i="4"/>
  <c r="F362" i="4"/>
  <c r="F361" i="4"/>
  <c r="F360" i="4"/>
  <c r="F359" i="4"/>
  <c r="F358" i="4"/>
  <c r="G358" i="4" s="1"/>
  <c r="F357" i="4"/>
  <c r="F356" i="4"/>
  <c r="F355" i="4"/>
  <c r="F354" i="4"/>
  <c r="F353" i="4"/>
  <c r="F352" i="4"/>
  <c r="F351" i="4"/>
  <c r="F350" i="4"/>
  <c r="G350" i="4" s="1"/>
  <c r="F349" i="4"/>
  <c r="F348" i="4"/>
  <c r="F347" i="4"/>
  <c r="F346" i="4"/>
  <c r="F345" i="4"/>
  <c r="F344" i="4"/>
  <c r="F343" i="4"/>
  <c r="F342" i="4"/>
  <c r="G342" i="4" s="1"/>
  <c r="F341" i="4"/>
  <c r="F340" i="4"/>
  <c r="F339" i="4"/>
  <c r="F338" i="4"/>
  <c r="F337" i="4"/>
  <c r="F336" i="4"/>
  <c r="F335" i="4"/>
  <c r="F334" i="4"/>
  <c r="G334" i="4" s="1"/>
  <c r="F333" i="4"/>
  <c r="F332" i="4"/>
  <c r="F331" i="4"/>
  <c r="F330" i="4"/>
  <c r="F329" i="4"/>
  <c r="F328" i="4"/>
  <c r="F327" i="4"/>
  <c r="F326" i="4"/>
  <c r="G326" i="4" s="1"/>
  <c r="F325" i="4"/>
  <c r="F324" i="4"/>
  <c r="F323" i="4"/>
  <c r="F322" i="4"/>
  <c r="F321" i="4"/>
  <c r="F320" i="4"/>
  <c r="F319" i="4"/>
  <c r="F318" i="4"/>
  <c r="G318" i="4" s="1"/>
  <c r="F317" i="4"/>
  <c r="F316" i="4"/>
  <c r="F315" i="4"/>
  <c r="F314" i="4"/>
  <c r="F313" i="4"/>
  <c r="F312" i="4"/>
  <c r="F311" i="4"/>
  <c r="F310" i="4"/>
  <c r="G310" i="4" s="1"/>
  <c r="F309" i="4"/>
  <c r="F308" i="4"/>
  <c r="F307" i="4"/>
  <c r="F306" i="4"/>
  <c r="F305" i="4"/>
  <c r="F304" i="4"/>
  <c r="F303" i="4"/>
  <c r="F302" i="4"/>
  <c r="G302" i="4" s="1"/>
  <c r="F301" i="4"/>
  <c r="F300" i="4"/>
  <c r="F299" i="4"/>
  <c r="F298" i="4"/>
  <c r="F297" i="4"/>
  <c r="F296" i="4"/>
  <c r="F295" i="4"/>
  <c r="F294" i="4"/>
  <c r="G294" i="4" s="1"/>
  <c r="F293" i="4"/>
  <c r="F292" i="4"/>
  <c r="F291" i="4"/>
  <c r="F290" i="4"/>
  <c r="F289" i="4"/>
  <c r="F288" i="4"/>
  <c r="F287" i="4"/>
  <c r="F286" i="4"/>
  <c r="G286" i="4" s="1"/>
  <c r="F285" i="4"/>
  <c r="F284" i="4"/>
  <c r="F283" i="4"/>
  <c r="F282" i="4"/>
  <c r="F281" i="4"/>
  <c r="F280" i="4"/>
  <c r="F279" i="4"/>
  <c r="F278" i="4"/>
  <c r="G278" i="4" s="1"/>
  <c r="F277" i="4"/>
  <c r="F276" i="4"/>
  <c r="F275" i="4"/>
  <c r="F274" i="4"/>
  <c r="F273" i="4"/>
  <c r="F272" i="4"/>
  <c r="F271" i="4"/>
  <c r="F270" i="4"/>
  <c r="G270" i="4" s="1"/>
  <c r="F269" i="4"/>
  <c r="F268" i="4"/>
  <c r="F267" i="4"/>
  <c r="F266" i="4"/>
  <c r="F265" i="4"/>
  <c r="F264" i="4"/>
  <c r="F263" i="4"/>
  <c r="F262" i="4"/>
  <c r="G262" i="4" s="1"/>
  <c r="F261" i="4"/>
  <c r="F260" i="4"/>
  <c r="F259" i="4"/>
  <c r="F258" i="4"/>
  <c r="F257" i="4"/>
  <c r="F256" i="4"/>
  <c r="F255" i="4"/>
  <c r="F254" i="4"/>
  <c r="G254" i="4" s="1"/>
  <c r="F253" i="4"/>
  <c r="F252" i="4"/>
  <c r="F251" i="4"/>
  <c r="F250" i="4"/>
  <c r="F249" i="4"/>
  <c r="F248" i="4"/>
  <c r="F247" i="4"/>
  <c r="F246" i="4"/>
  <c r="G246" i="4" s="1"/>
  <c r="F245" i="4"/>
  <c r="F244" i="4"/>
  <c r="F243" i="4"/>
  <c r="F242" i="4"/>
  <c r="F241" i="4"/>
  <c r="F240" i="4"/>
  <c r="F239" i="4"/>
  <c r="F238" i="4"/>
  <c r="G238" i="4" s="1"/>
  <c r="F237" i="4"/>
  <c r="F236" i="4"/>
  <c r="F235" i="4"/>
  <c r="F234" i="4"/>
  <c r="F233" i="4"/>
  <c r="F232" i="4"/>
  <c r="F231" i="4"/>
  <c r="F230" i="4"/>
  <c r="G230" i="4" s="1"/>
  <c r="F229" i="4"/>
  <c r="F228" i="4"/>
  <c r="F227" i="4"/>
  <c r="F226" i="4"/>
  <c r="F225" i="4"/>
  <c r="F224" i="4"/>
  <c r="F223" i="4"/>
  <c r="F222" i="4"/>
  <c r="G222" i="4" s="1"/>
  <c r="F221" i="4"/>
  <c r="F220" i="4"/>
  <c r="F219" i="4"/>
  <c r="F218" i="4"/>
  <c r="F217" i="4"/>
  <c r="F216" i="4"/>
  <c r="F215" i="4"/>
  <c r="F214" i="4"/>
  <c r="G214" i="4" s="1"/>
  <c r="F213" i="4"/>
  <c r="F212" i="4"/>
  <c r="F211" i="4"/>
  <c r="F210" i="4"/>
  <c r="F209" i="4"/>
  <c r="F208" i="4"/>
  <c r="F207" i="4"/>
  <c r="F206" i="4"/>
  <c r="G206" i="4" s="1"/>
  <c r="F205" i="4"/>
  <c r="F204" i="4"/>
  <c r="F203" i="4"/>
  <c r="F202" i="4"/>
  <c r="F201" i="4"/>
  <c r="F200" i="4"/>
  <c r="F199" i="4"/>
  <c r="F198" i="4"/>
  <c r="G198" i="4" s="1"/>
  <c r="F197" i="4"/>
  <c r="F196" i="4"/>
  <c r="F195" i="4"/>
  <c r="F194" i="4"/>
  <c r="F193" i="4"/>
  <c r="F192" i="4"/>
  <c r="F191" i="4"/>
  <c r="F190" i="4"/>
  <c r="G190" i="4" s="1"/>
  <c r="F189" i="4"/>
  <c r="F188" i="4"/>
  <c r="F187" i="4"/>
  <c r="F186" i="4"/>
  <c r="F185" i="4"/>
  <c r="F184" i="4"/>
  <c r="F183" i="4"/>
  <c r="F182" i="4"/>
  <c r="G182" i="4" s="1"/>
  <c r="F181" i="4"/>
  <c r="F180" i="4"/>
  <c r="F179" i="4"/>
  <c r="F178" i="4"/>
  <c r="F177" i="4"/>
  <c r="F176" i="4"/>
  <c r="F175" i="4"/>
  <c r="F174" i="4"/>
  <c r="G174" i="4" s="1"/>
  <c r="F173" i="4"/>
  <c r="F172" i="4"/>
  <c r="F171" i="4"/>
  <c r="F170" i="4"/>
  <c r="F169" i="4"/>
  <c r="F168" i="4"/>
  <c r="F167" i="4"/>
  <c r="F166" i="4"/>
  <c r="G166" i="4" s="1"/>
  <c r="F165" i="4"/>
  <c r="F164" i="4"/>
  <c r="F163" i="4"/>
  <c r="F162" i="4"/>
  <c r="F161" i="4"/>
  <c r="F160" i="4"/>
  <c r="F159" i="4"/>
  <c r="F158" i="4"/>
  <c r="G158" i="4" s="1"/>
  <c r="F157" i="4"/>
  <c r="F156" i="4"/>
  <c r="F155" i="4"/>
  <c r="F154" i="4"/>
  <c r="F153" i="4"/>
  <c r="F152" i="4"/>
  <c r="F151" i="4"/>
  <c r="F150" i="4"/>
  <c r="G150" i="4" s="1"/>
  <c r="F149" i="4"/>
  <c r="F148" i="4"/>
  <c r="F147" i="4"/>
  <c r="F146" i="4"/>
  <c r="F145" i="4"/>
  <c r="F144" i="4"/>
  <c r="F143" i="4"/>
  <c r="F142" i="4"/>
  <c r="G142" i="4" s="1"/>
  <c r="F141" i="4"/>
  <c r="F140" i="4"/>
  <c r="F139" i="4"/>
  <c r="F138" i="4"/>
  <c r="F137" i="4"/>
  <c r="F136" i="4"/>
  <c r="F135" i="4"/>
  <c r="F134" i="4"/>
  <c r="G134" i="4" s="1"/>
  <c r="F133" i="4"/>
  <c r="F132" i="4"/>
  <c r="F131" i="4"/>
  <c r="F130" i="4"/>
  <c r="F129" i="4"/>
  <c r="F128" i="4"/>
  <c r="F127" i="4"/>
  <c r="F126" i="4"/>
  <c r="G126" i="4" s="1"/>
  <c r="F125" i="4"/>
  <c r="F124" i="4"/>
  <c r="F123" i="4"/>
  <c r="F122" i="4"/>
  <c r="F121" i="4"/>
  <c r="F120" i="4"/>
  <c r="F119" i="4"/>
  <c r="F118" i="4"/>
  <c r="G118" i="4" s="1"/>
  <c r="F117" i="4"/>
  <c r="F116" i="4"/>
  <c r="F115" i="4"/>
  <c r="F114" i="4"/>
  <c r="F113" i="4"/>
  <c r="F112" i="4"/>
  <c r="F111" i="4"/>
  <c r="F110" i="4"/>
  <c r="G110" i="4" s="1"/>
  <c r="F109" i="4"/>
  <c r="F108" i="4"/>
  <c r="F107" i="4"/>
  <c r="F106" i="4"/>
  <c r="F105" i="4"/>
  <c r="F104" i="4"/>
  <c r="F103" i="4"/>
  <c r="F102" i="4"/>
  <c r="G102" i="4" s="1"/>
  <c r="F101" i="4"/>
  <c r="F100" i="4"/>
  <c r="F99" i="4"/>
  <c r="F98" i="4"/>
  <c r="F97" i="4"/>
  <c r="F96" i="4"/>
  <c r="F95" i="4"/>
  <c r="F94" i="4"/>
  <c r="G94" i="4" s="1"/>
  <c r="F93" i="4"/>
  <c r="F92" i="4"/>
  <c r="F91" i="4"/>
  <c r="F90" i="4"/>
  <c r="F89" i="4"/>
  <c r="F88" i="4"/>
  <c r="F87" i="4"/>
  <c r="F86" i="4"/>
  <c r="G86" i="4" s="1"/>
  <c r="F85" i="4"/>
  <c r="F84" i="4"/>
  <c r="F83" i="4"/>
  <c r="F82" i="4"/>
  <c r="F81" i="4"/>
  <c r="F80" i="4"/>
  <c r="F79" i="4"/>
  <c r="F78" i="4"/>
  <c r="G78" i="4" s="1"/>
  <c r="F77" i="4"/>
  <c r="F76" i="4"/>
  <c r="F75" i="4"/>
  <c r="F74" i="4"/>
  <c r="F73" i="4"/>
  <c r="F72" i="4"/>
  <c r="F71" i="4"/>
  <c r="F70" i="4"/>
  <c r="G70" i="4" s="1"/>
  <c r="F69" i="4"/>
  <c r="F68" i="4"/>
  <c r="F67" i="4"/>
  <c r="F66" i="4"/>
  <c r="F65" i="4"/>
  <c r="F64" i="4"/>
  <c r="F63" i="4"/>
  <c r="F62" i="4"/>
  <c r="G62" i="4" s="1"/>
  <c r="F61" i="4"/>
  <c r="F60" i="4"/>
  <c r="F59" i="4"/>
  <c r="F58" i="4"/>
  <c r="F57" i="4"/>
  <c r="F56" i="4"/>
  <c r="F55" i="4"/>
  <c r="F54" i="4"/>
  <c r="G54" i="4" s="1"/>
  <c r="F53" i="4"/>
  <c r="F52" i="4"/>
  <c r="F51" i="4"/>
  <c r="F50" i="4"/>
  <c r="F49" i="4"/>
  <c r="F48" i="4"/>
  <c r="F47" i="4"/>
  <c r="F46" i="4"/>
  <c r="G46" i="4" s="1"/>
  <c r="F45" i="4"/>
  <c r="F44" i="4"/>
  <c r="F43" i="4"/>
  <c r="F42" i="4"/>
  <c r="F41" i="4"/>
  <c r="F40" i="4"/>
  <c r="F39" i="4"/>
  <c r="F38" i="4"/>
  <c r="G38" i="4" s="1"/>
  <c r="F37" i="4"/>
  <c r="F36" i="4"/>
  <c r="F35" i="4"/>
  <c r="F34" i="4"/>
  <c r="F33" i="4"/>
  <c r="F32" i="4"/>
  <c r="F31" i="4"/>
  <c r="F30" i="4"/>
  <c r="G30" i="4" s="1"/>
  <c r="F29" i="4"/>
  <c r="F28" i="4"/>
  <c r="F27" i="4"/>
  <c r="F26" i="4"/>
  <c r="F25" i="4"/>
  <c r="F24" i="4"/>
  <c r="F23" i="4"/>
  <c r="F22" i="4"/>
  <c r="G22" i="4" s="1"/>
  <c r="F21" i="4"/>
  <c r="F20" i="4"/>
  <c r="F19" i="4"/>
  <c r="F18" i="4"/>
  <c r="F17" i="4"/>
  <c r="F16" i="4"/>
  <c r="F15" i="4"/>
  <c r="F14" i="4"/>
  <c r="G14" i="4" s="1"/>
  <c r="F13" i="4"/>
  <c r="F12" i="4"/>
  <c r="F11" i="4"/>
  <c r="F10" i="4"/>
  <c r="F9" i="4"/>
  <c r="F8" i="4"/>
  <c r="F7" i="4"/>
  <c r="F6" i="4"/>
  <c r="G6" i="4" s="1"/>
  <c r="F5" i="4"/>
  <c r="F4" i="4"/>
  <c r="F3" i="4"/>
  <c r="H918" i="4"/>
  <c r="H917" i="4"/>
  <c r="H916" i="4"/>
  <c r="H915" i="4"/>
  <c r="H914" i="4"/>
  <c r="H913" i="4"/>
  <c r="H912" i="4"/>
  <c r="H911" i="4"/>
  <c r="H910" i="4"/>
  <c r="H909" i="4"/>
  <c r="H908" i="4"/>
  <c r="H907" i="4"/>
  <c r="H906" i="4"/>
  <c r="H905" i="4"/>
  <c r="H904" i="4"/>
  <c r="H903" i="4"/>
  <c r="H902" i="4"/>
  <c r="H901" i="4"/>
  <c r="H900" i="4"/>
  <c r="H899" i="4"/>
  <c r="H898" i="4"/>
  <c r="H897" i="4"/>
  <c r="H896" i="4"/>
  <c r="H895" i="4"/>
  <c r="H894" i="4"/>
  <c r="H893" i="4"/>
  <c r="H892" i="4"/>
  <c r="H891" i="4"/>
  <c r="H890" i="4"/>
  <c r="H889" i="4"/>
  <c r="H888" i="4"/>
  <c r="H887" i="4"/>
  <c r="H886" i="4"/>
  <c r="H885" i="4"/>
  <c r="H884" i="4"/>
  <c r="H883" i="4"/>
  <c r="H882" i="4"/>
  <c r="H881" i="4"/>
  <c r="H880" i="4"/>
  <c r="H879" i="4"/>
  <c r="H878" i="4"/>
  <c r="H877" i="4"/>
  <c r="H876" i="4"/>
  <c r="H875" i="4"/>
  <c r="H874" i="4"/>
  <c r="H873" i="4"/>
  <c r="H872" i="4"/>
  <c r="H871" i="4"/>
  <c r="H870" i="4"/>
  <c r="H869" i="4"/>
  <c r="H868" i="4"/>
  <c r="H867" i="4"/>
  <c r="H866" i="4"/>
  <c r="H865" i="4"/>
  <c r="H864" i="4"/>
  <c r="H863" i="4"/>
  <c r="H862" i="4"/>
  <c r="H861" i="4"/>
  <c r="H860" i="4"/>
  <c r="H859" i="4"/>
  <c r="H858" i="4"/>
  <c r="H857" i="4"/>
  <c r="H856" i="4"/>
  <c r="H855" i="4"/>
  <c r="H854" i="4"/>
  <c r="H853" i="4"/>
  <c r="H852" i="4"/>
  <c r="H851" i="4"/>
  <c r="H850" i="4"/>
  <c r="H849" i="4"/>
  <c r="H848" i="4"/>
  <c r="H847" i="4"/>
  <c r="H846" i="4"/>
  <c r="H845" i="4"/>
  <c r="H844" i="4"/>
  <c r="H843" i="4"/>
  <c r="H842" i="4"/>
  <c r="H841" i="4"/>
  <c r="H840" i="4"/>
  <c r="H839" i="4"/>
  <c r="H838" i="4"/>
  <c r="H837" i="4"/>
  <c r="H836" i="4"/>
  <c r="H835" i="4"/>
  <c r="H834" i="4"/>
  <c r="H833" i="4"/>
  <c r="H832" i="4"/>
  <c r="H831" i="4"/>
  <c r="H830" i="4"/>
  <c r="H829" i="4"/>
  <c r="H828" i="4"/>
  <c r="H827" i="4"/>
  <c r="H826" i="4"/>
  <c r="H825" i="4"/>
  <c r="H824" i="4"/>
  <c r="H823" i="4"/>
  <c r="H822" i="4"/>
  <c r="H821" i="4"/>
  <c r="H820" i="4"/>
  <c r="H819" i="4"/>
  <c r="H818" i="4"/>
  <c r="H817" i="4"/>
  <c r="H816" i="4"/>
  <c r="H815" i="4"/>
  <c r="H814" i="4"/>
  <c r="H813" i="4"/>
  <c r="H812" i="4"/>
  <c r="H811" i="4"/>
  <c r="H810" i="4"/>
  <c r="H809" i="4"/>
  <c r="H808" i="4"/>
  <c r="H807" i="4"/>
  <c r="H806" i="4"/>
  <c r="H805" i="4"/>
  <c r="H804" i="4"/>
  <c r="H803" i="4"/>
  <c r="H802" i="4"/>
  <c r="H801" i="4"/>
  <c r="H800" i="4"/>
  <c r="H799" i="4"/>
  <c r="H798" i="4"/>
  <c r="H797" i="4"/>
  <c r="H796" i="4"/>
  <c r="H795" i="4"/>
  <c r="H794" i="4"/>
  <c r="H793" i="4"/>
  <c r="H792" i="4"/>
  <c r="H791" i="4"/>
  <c r="H790" i="4"/>
  <c r="H789" i="4"/>
  <c r="H788" i="4"/>
  <c r="H787" i="4"/>
  <c r="H786" i="4"/>
  <c r="H785" i="4"/>
  <c r="H784" i="4"/>
  <c r="H783" i="4"/>
  <c r="H782" i="4"/>
  <c r="H781" i="4"/>
  <c r="H780" i="4"/>
  <c r="H779" i="4"/>
  <c r="H778" i="4"/>
  <c r="H777" i="4"/>
  <c r="H776" i="4"/>
  <c r="H775" i="4"/>
  <c r="H774" i="4"/>
  <c r="H773" i="4"/>
  <c r="H772" i="4"/>
  <c r="H771" i="4"/>
  <c r="H770" i="4"/>
  <c r="H769" i="4"/>
  <c r="H768" i="4"/>
  <c r="H767" i="4"/>
  <c r="H766" i="4"/>
  <c r="H765" i="4"/>
  <c r="H764" i="4"/>
  <c r="H763" i="4"/>
  <c r="H762" i="4"/>
  <c r="H761" i="4"/>
  <c r="H760" i="4"/>
  <c r="H759" i="4"/>
  <c r="H758" i="4"/>
  <c r="H757" i="4"/>
  <c r="H756" i="4"/>
  <c r="H755" i="4"/>
  <c r="H754" i="4"/>
  <c r="H753" i="4"/>
  <c r="H752" i="4"/>
  <c r="H751" i="4"/>
  <c r="H750" i="4"/>
  <c r="H749" i="4"/>
  <c r="H748" i="4"/>
  <c r="H747" i="4"/>
  <c r="H746" i="4"/>
  <c r="H745" i="4"/>
  <c r="H744" i="4"/>
  <c r="H743" i="4"/>
  <c r="H742" i="4"/>
  <c r="H741" i="4"/>
  <c r="H740" i="4"/>
  <c r="H739" i="4"/>
  <c r="H738" i="4"/>
  <c r="H737" i="4"/>
  <c r="H736" i="4"/>
  <c r="H735" i="4"/>
  <c r="H734" i="4"/>
  <c r="H733" i="4"/>
  <c r="H732" i="4"/>
  <c r="H731" i="4"/>
  <c r="H730" i="4"/>
  <c r="H729" i="4"/>
  <c r="H728" i="4"/>
  <c r="H727" i="4"/>
  <c r="H726" i="4"/>
  <c r="H725" i="4"/>
  <c r="H724" i="4"/>
  <c r="H723" i="4"/>
  <c r="H722" i="4"/>
  <c r="H721" i="4"/>
  <c r="H720" i="4"/>
  <c r="H719" i="4"/>
  <c r="H718" i="4"/>
  <c r="H717" i="4"/>
  <c r="H716" i="4"/>
  <c r="H715" i="4"/>
  <c r="H714" i="4"/>
  <c r="H713" i="4"/>
  <c r="H712" i="4"/>
  <c r="H711" i="4"/>
  <c r="H710" i="4"/>
  <c r="H709" i="4"/>
  <c r="H708" i="4"/>
  <c r="H707" i="4"/>
  <c r="H706" i="4"/>
  <c r="H705" i="4"/>
  <c r="H704" i="4"/>
  <c r="H703" i="4"/>
  <c r="H702" i="4"/>
  <c r="H701" i="4"/>
  <c r="H700" i="4"/>
  <c r="H699" i="4"/>
  <c r="H698" i="4"/>
  <c r="H697" i="4"/>
  <c r="H696" i="4"/>
  <c r="H695" i="4"/>
  <c r="H694" i="4"/>
  <c r="H693" i="4"/>
  <c r="H692" i="4"/>
  <c r="H691" i="4"/>
  <c r="H690" i="4"/>
  <c r="H689" i="4"/>
  <c r="H688" i="4"/>
  <c r="H687" i="4"/>
  <c r="H686" i="4"/>
  <c r="H685" i="4"/>
  <c r="H684" i="4"/>
  <c r="H683" i="4"/>
  <c r="H682" i="4"/>
  <c r="H681" i="4"/>
  <c r="H680" i="4"/>
  <c r="H679" i="4"/>
  <c r="H678" i="4"/>
  <c r="H677" i="4"/>
  <c r="H676" i="4"/>
  <c r="H675" i="4"/>
  <c r="H674" i="4"/>
  <c r="H673" i="4"/>
  <c r="H672" i="4"/>
  <c r="H671" i="4"/>
  <c r="H670" i="4"/>
  <c r="H669" i="4"/>
  <c r="H668" i="4"/>
  <c r="H667" i="4"/>
  <c r="H666" i="4"/>
  <c r="H665" i="4"/>
  <c r="H664" i="4"/>
  <c r="H663" i="4"/>
  <c r="H662" i="4"/>
  <c r="H661" i="4"/>
  <c r="H660" i="4"/>
  <c r="H659" i="4"/>
  <c r="H658" i="4"/>
  <c r="H657" i="4"/>
  <c r="H656" i="4"/>
  <c r="H655" i="4"/>
  <c r="H654" i="4"/>
  <c r="H653" i="4"/>
  <c r="H652" i="4"/>
  <c r="H651" i="4"/>
  <c r="H650" i="4"/>
  <c r="H649" i="4"/>
  <c r="H648" i="4"/>
  <c r="H647" i="4"/>
  <c r="H646" i="4"/>
  <c r="H645" i="4"/>
  <c r="H644" i="4"/>
  <c r="H643" i="4"/>
  <c r="H642" i="4"/>
  <c r="H641" i="4"/>
  <c r="H640" i="4"/>
  <c r="H639" i="4"/>
  <c r="H638" i="4"/>
  <c r="H637" i="4"/>
  <c r="H636" i="4"/>
  <c r="H635" i="4"/>
  <c r="H634" i="4"/>
  <c r="H633" i="4"/>
  <c r="H632" i="4"/>
  <c r="H631" i="4"/>
  <c r="H630" i="4"/>
  <c r="H629" i="4"/>
  <c r="H628" i="4"/>
  <c r="H627" i="4"/>
  <c r="H626" i="4"/>
  <c r="H625" i="4"/>
  <c r="H624" i="4"/>
  <c r="H623" i="4"/>
  <c r="H622" i="4"/>
  <c r="H621" i="4"/>
  <c r="H620" i="4"/>
  <c r="H619" i="4"/>
  <c r="H618" i="4"/>
  <c r="H617" i="4"/>
  <c r="H616" i="4"/>
  <c r="H615" i="4"/>
  <c r="H614" i="4"/>
  <c r="H613" i="4"/>
  <c r="H612" i="4"/>
  <c r="H611" i="4"/>
  <c r="H610" i="4"/>
  <c r="H609" i="4"/>
  <c r="H608" i="4"/>
  <c r="H607" i="4"/>
  <c r="H606" i="4"/>
  <c r="H605" i="4"/>
  <c r="H604" i="4"/>
  <c r="H603" i="4"/>
  <c r="H602" i="4"/>
  <c r="H601" i="4"/>
  <c r="H600" i="4"/>
  <c r="H599" i="4"/>
  <c r="H598" i="4"/>
  <c r="H597" i="4"/>
  <c r="H596" i="4"/>
  <c r="H595" i="4"/>
  <c r="H594" i="4"/>
  <c r="H593" i="4"/>
  <c r="H592" i="4"/>
  <c r="H591" i="4"/>
  <c r="H590" i="4"/>
  <c r="H589" i="4"/>
  <c r="H588" i="4"/>
  <c r="H587" i="4"/>
  <c r="H586" i="4"/>
  <c r="H585" i="4"/>
  <c r="H584" i="4"/>
  <c r="H583" i="4"/>
  <c r="H582" i="4"/>
  <c r="H581" i="4"/>
  <c r="H580" i="4"/>
  <c r="H579" i="4"/>
  <c r="H578" i="4"/>
  <c r="H577" i="4"/>
  <c r="H576" i="4"/>
  <c r="H575" i="4"/>
  <c r="H574" i="4"/>
  <c r="H573" i="4"/>
  <c r="H572" i="4"/>
  <c r="H571" i="4"/>
  <c r="H570" i="4"/>
  <c r="H569" i="4"/>
  <c r="H568" i="4"/>
  <c r="H567" i="4"/>
  <c r="H566" i="4"/>
  <c r="H565" i="4"/>
  <c r="H564" i="4"/>
  <c r="H563" i="4"/>
  <c r="H562" i="4"/>
  <c r="H561" i="4"/>
  <c r="H560" i="4"/>
  <c r="H559" i="4"/>
  <c r="H558" i="4"/>
  <c r="H557" i="4"/>
  <c r="H556" i="4"/>
  <c r="H555" i="4"/>
  <c r="H554" i="4"/>
  <c r="H553" i="4"/>
  <c r="H552" i="4"/>
  <c r="H551" i="4"/>
  <c r="H550" i="4"/>
  <c r="H549" i="4"/>
  <c r="H548" i="4"/>
  <c r="H547" i="4"/>
  <c r="H546" i="4"/>
  <c r="H545" i="4"/>
  <c r="H544" i="4"/>
  <c r="H543" i="4"/>
  <c r="H542" i="4"/>
  <c r="H541" i="4"/>
  <c r="H540" i="4"/>
  <c r="H539" i="4"/>
  <c r="H538" i="4"/>
  <c r="H537" i="4"/>
  <c r="H536" i="4"/>
  <c r="H535" i="4"/>
  <c r="H534" i="4"/>
  <c r="H533" i="4"/>
  <c r="H532" i="4"/>
  <c r="H531" i="4"/>
  <c r="H530" i="4"/>
  <c r="H529" i="4"/>
  <c r="H528" i="4"/>
  <c r="H527" i="4"/>
  <c r="H526" i="4"/>
  <c r="H525" i="4"/>
  <c r="H524" i="4"/>
  <c r="H523" i="4"/>
  <c r="H522" i="4"/>
  <c r="H521" i="4"/>
  <c r="H520" i="4"/>
  <c r="H519" i="4"/>
  <c r="H518" i="4"/>
  <c r="H517" i="4"/>
  <c r="H516" i="4"/>
  <c r="H515" i="4"/>
  <c r="H514" i="4"/>
  <c r="H513" i="4"/>
  <c r="H512" i="4"/>
  <c r="H511" i="4"/>
  <c r="H510" i="4"/>
  <c r="H509" i="4"/>
  <c r="H508" i="4"/>
  <c r="H507" i="4"/>
  <c r="H506" i="4"/>
  <c r="H505" i="4"/>
  <c r="H504" i="4"/>
  <c r="H503" i="4"/>
  <c r="H502" i="4"/>
  <c r="H501" i="4"/>
  <c r="H500" i="4"/>
  <c r="H499" i="4"/>
  <c r="H498" i="4"/>
  <c r="H497" i="4"/>
  <c r="H496" i="4"/>
  <c r="H495" i="4"/>
  <c r="H494" i="4"/>
  <c r="H493" i="4"/>
  <c r="H492" i="4"/>
  <c r="H491" i="4"/>
  <c r="H490" i="4"/>
  <c r="H489" i="4"/>
  <c r="H488" i="4"/>
  <c r="H487" i="4"/>
  <c r="H486" i="4"/>
  <c r="H485" i="4"/>
  <c r="H484" i="4"/>
  <c r="H483" i="4"/>
  <c r="H482" i="4"/>
  <c r="H481" i="4"/>
  <c r="H480" i="4"/>
  <c r="H479" i="4"/>
  <c r="H478" i="4"/>
  <c r="H477" i="4"/>
  <c r="H476" i="4"/>
  <c r="H475" i="4"/>
  <c r="H474" i="4"/>
  <c r="H473" i="4"/>
  <c r="H472" i="4"/>
  <c r="H471" i="4"/>
  <c r="H470" i="4"/>
  <c r="H469" i="4"/>
  <c r="H468" i="4"/>
  <c r="H467" i="4"/>
  <c r="H466" i="4"/>
  <c r="H465" i="4"/>
  <c r="H464" i="4"/>
  <c r="H463" i="4"/>
  <c r="H462" i="4"/>
  <c r="H461" i="4"/>
  <c r="H460" i="4"/>
  <c r="H459" i="4"/>
  <c r="H458" i="4"/>
  <c r="H457" i="4"/>
  <c r="H456" i="4"/>
  <c r="H455" i="4"/>
  <c r="H454" i="4"/>
  <c r="H453" i="4"/>
  <c r="H452" i="4"/>
  <c r="H451" i="4"/>
  <c r="H450" i="4"/>
  <c r="H449" i="4"/>
  <c r="H448" i="4"/>
  <c r="H447" i="4"/>
  <c r="H446" i="4"/>
  <c r="H445" i="4"/>
  <c r="H444" i="4"/>
  <c r="H443" i="4"/>
  <c r="H442" i="4"/>
  <c r="H441" i="4"/>
  <c r="H440" i="4"/>
  <c r="H439" i="4"/>
  <c r="H438" i="4"/>
  <c r="H437" i="4"/>
  <c r="H436" i="4"/>
  <c r="H435" i="4"/>
  <c r="H434" i="4"/>
  <c r="H433" i="4"/>
  <c r="H432" i="4"/>
  <c r="H431" i="4"/>
  <c r="H430" i="4"/>
  <c r="H429" i="4"/>
  <c r="H428" i="4"/>
  <c r="H427" i="4"/>
  <c r="H426" i="4"/>
  <c r="H425" i="4"/>
  <c r="H424" i="4"/>
  <c r="H423" i="4"/>
  <c r="H422" i="4"/>
  <c r="H421" i="4"/>
  <c r="H420" i="4"/>
  <c r="H419" i="4"/>
  <c r="H418" i="4"/>
  <c r="H417" i="4"/>
  <c r="H416" i="4"/>
  <c r="H415" i="4"/>
  <c r="H414" i="4"/>
  <c r="H413" i="4"/>
  <c r="H412" i="4"/>
  <c r="H411" i="4"/>
  <c r="H410" i="4"/>
  <c r="H409" i="4"/>
  <c r="H408" i="4"/>
  <c r="H407" i="4"/>
  <c r="H406" i="4"/>
  <c r="H405" i="4"/>
  <c r="H404" i="4"/>
  <c r="H403" i="4"/>
  <c r="H402" i="4"/>
  <c r="H401" i="4"/>
  <c r="H400" i="4"/>
  <c r="H399" i="4"/>
  <c r="H398" i="4"/>
  <c r="H397" i="4"/>
  <c r="H396" i="4"/>
  <c r="H395" i="4"/>
  <c r="H394" i="4"/>
  <c r="H393" i="4"/>
  <c r="H392" i="4"/>
  <c r="H391" i="4"/>
  <c r="H390" i="4"/>
  <c r="H389" i="4"/>
  <c r="H388" i="4"/>
  <c r="H387" i="4"/>
  <c r="H386" i="4"/>
  <c r="H385" i="4"/>
  <c r="H384" i="4"/>
  <c r="H383" i="4"/>
  <c r="H382" i="4"/>
  <c r="H381" i="4"/>
  <c r="H380" i="4"/>
  <c r="H379" i="4"/>
  <c r="H378" i="4"/>
  <c r="H377" i="4"/>
  <c r="H376" i="4"/>
  <c r="H375" i="4"/>
  <c r="H374" i="4"/>
  <c r="H373" i="4"/>
  <c r="H372" i="4"/>
  <c r="H371" i="4"/>
  <c r="H370" i="4"/>
  <c r="H369" i="4"/>
  <c r="H368" i="4"/>
  <c r="H367" i="4"/>
  <c r="H366" i="4"/>
  <c r="H365" i="4"/>
  <c r="H364" i="4"/>
  <c r="H363" i="4"/>
  <c r="H362" i="4"/>
  <c r="H361" i="4"/>
  <c r="H360" i="4"/>
  <c r="H359" i="4"/>
  <c r="H358" i="4"/>
  <c r="H357" i="4"/>
  <c r="H356" i="4"/>
  <c r="H355" i="4"/>
  <c r="H354" i="4"/>
  <c r="H353" i="4"/>
  <c r="H352" i="4"/>
  <c r="H351" i="4"/>
  <c r="H350" i="4"/>
  <c r="H349" i="4"/>
  <c r="H348" i="4"/>
  <c r="H347" i="4"/>
  <c r="H346" i="4"/>
  <c r="H345" i="4"/>
  <c r="H344" i="4"/>
  <c r="H343" i="4"/>
  <c r="H342" i="4"/>
  <c r="H341" i="4"/>
  <c r="H340" i="4"/>
  <c r="H339" i="4"/>
  <c r="H338" i="4"/>
  <c r="H337" i="4"/>
  <c r="H336" i="4"/>
  <c r="H335" i="4"/>
  <c r="H334" i="4"/>
  <c r="H333" i="4"/>
  <c r="H332" i="4"/>
  <c r="H331" i="4"/>
  <c r="H330" i="4"/>
  <c r="H329" i="4"/>
  <c r="H328" i="4"/>
  <c r="H327" i="4"/>
  <c r="H326" i="4"/>
  <c r="H325" i="4"/>
  <c r="H324" i="4"/>
  <c r="H323" i="4"/>
  <c r="H322" i="4"/>
  <c r="H321" i="4"/>
  <c r="H320" i="4"/>
  <c r="H319" i="4"/>
  <c r="H318" i="4"/>
  <c r="H317" i="4"/>
  <c r="H316" i="4"/>
  <c r="H315" i="4"/>
  <c r="H314" i="4"/>
  <c r="H313" i="4"/>
  <c r="H312" i="4"/>
  <c r="H311" i="4"/>
  <c r="H310" i="4"/>
  <c r="H309" i="4"/>
  <c r="H308" i="4"/>
  <c r="H307" i="4"/>
  <c r="H306" i="4"/>
  <c r="H305" i="4"/>
  <c r="H304" i="4"/>
  <c r="H303" i="4"/>
  <c r="H302" i="4"/>
  <c r="H301" i="4"/>
  <c r="H300" i="4"/>
  <c r="H299" i="4"/>
  <c r="H298" i="4"/>
  <c r="H297" i="4"/>
  <c r="H296" i="4"/>
  <c r="H295" i="4"/>
  <c r="H294" i="4"/>
  <c r="H293" i="4"/>
  <c r="H292" i="4"/>
  <c r="H291" i="4"/>
  <c r="H290" i="4"/>
  <c r="H289" i="4"/>
  <c r="H288" i="4"/>
  <c r="H287" i="4"/>
  <c r="H286" i="4"/>
  <c r="H285" i="4"/>
  <c r="H284" i="4"/>
  <c r="H283" i="4"/>
  <c r="H282" i="4"/>
  <c r="H281" i="4"/>
  <c r="H280" i="4"/>
  <c r="H279" i="4"/>
  <c r="H278" i="4"/>
  <c r="H277" i="4"/>
  <c r="H276" i="4"/>
  <c r="H275" i="4"/>
  <c r="H274" i="4"/>
  <c r="H273" i="4"/>
  <c r="H272" i="4"/>
  <c r="H271" i="4"/>
  <c r="H270" i="4"/>
  <c r="H269" i="4"/>
  <c r="H268" i="4"/>
  <c r="H267" i="4"/>
  <c r="H266" i="4"/>
  <c r="H265" i="4"/>
  <c r="H264" i="4"/>
  <c r="H263" i="4"/>
  <c r="H262" i="4"/>
  <c r="H261" i="4"/>
  <c r="H260" i="4"/>
  <c r="H259" i="4"/>
  <c r="H258" i="4"/>
  <c r="H257" i="4"/>
  <c r="H256" i="4"/>
  <c r="H255" i="4"/>
  <c r="H254" i="4"/>
  <c r="H253" i="4"/>
  <c r="H252" i="4"/>
  <c r="H251" i="4"/>
  <c r="H250" i="4"/>
  <c r="H249" i="4"/>
  <c r="H248" i="4"/>
  <c r="H247" i="4"/>
  <c r="H246" i="4"/>
  <c r="H245" i="4"/>
  <c r="H244" i="4"/>
  <c r="H243" i="4"/>
  <c r="H242" i="4"/>
  <c r="H241" i="4"/>
  <c r="H240" i="4"/>
  <c r="H239" i="4"/>
  <c r="H238" i="4"/>
  <c r="H237" i="4"/>
  <c r="H236" i="4"/>
  <c r="H235" i="4"/>
  <c r="H234" i="4"/>
  <c r="H233" i="4"/>
  <c r="H232" i="4"/>
  <c r="H231" i="4"/>
  <c r="H230" i="4"/>
  <c r="H229" i="4"/>
  <c r="H228" i="4"/>
  <c r="H227" i="4"/>
  <c r="H226" i="4"/>
  <c r="H225" i="4"/>
  <c r="H224" i="4"/>
  <c r="H223" i="4"/>
  <c r="H222" i="4"/>
  <c r="H221" i="4"/>
  <c r="H220" i="4"/>
  <c r="H219" i="4"/>
  <c r="H218" i="4"/>
  <c r="H217" i="4"/>
  <c r="H216" i="4"/>
  <c r="H215" i="4"/>
  <c r="H214" i="4"/>
  <c r="H213" i="4"/>
  <c r="H212" i="4"/>
  <c r="H211" i="4"/>
  <c r="H210" i="4"/>
  <c r="H209" i="4"/>
  <c r="H208" i="4"/>
  <c r="H207" i="4"/>
  <c r="H206" i="4"/>
  <c r="H205" i="4"/>
  <c r="H204" i="4"/>
  <c r="H203" i="4"/>
  <c r="H202" i="4"/>
  <c r="H201" i="4"/>
  <c r="H200" i="4"/>
  <c r="H199" i="4"/>
  <c r="H198" i="4"/>
  <c r="H197" i="4"/>
  <c r="H196" i="4"/>
  <c r="H195" i="4"/>
  <c r="H194" i="4"/>
  <c r="H193" i="4"/>
  <c r="H192" i="4"/>
  <c r="H191" i="4"/>
  <c r="H190" i="4"/>
  <c r="H189" i="4"/>
  <c r="H188" i="4"/>
  <c r="H187" i="4"/>
  <c r="H186" i="4"/>
  <c r="H185" i="4"/>
  <c r="H184" i="4"/>
  <c r="H183" i="4"/>
  <c r="H182" i="4"/>
  <c r="H181" i="4"/>
  <c r="H180" i="4"/>
  <c r="H179" i="4"/>
  <c r="H178" i="4"/>
  <c r="H177" i="4"/>
  <c r="H176" i="4"/>
  <c r="H175" i="4"/>
  <c r="H174" i="4"/>
  <c r="H173" i="4"/>
  <c r="H172" i="4"/>
  <c r="H171" i="4"/>
  <c r="H170" i="4"/>
  <c r="H169" i="4"/>
  <c r="H168" i="4"/>
  <c r="H167" i="4"/>
  <c r="H166" i="4"/>
  <c r="H165" i="4"/>
  <c r="H164" i="4"/>
  <c r="H163" i="4"/>
  <c r="H162" i="4"/>
  <c r="H161" i="4"/>
  <c r="H160" i="4"/>
  <c r="H159" i="4"/>
  <c r="H158" i="4"/>
  <c r="H157" i="4"/>
  <c r="H156" i="4"/>
  <c r="H155" i="4"/>
  <c r="H154" i="4"/>
  <c r="H153" i="4"/>
  <c r="H152" i="4"/>
  <c r="H151" i="4"/>
  <c r="H150" i="4"/>
  <c r="H149" i="4"/>
  <c r="H148" i="4"/>
  <c r="H147" i="4"/>
  <c r="H146" i="4"/>
  <c r="H145" i="4"/>
  <c r="H144" i="4"/>
  <c r="H143" i="4"/>
  <c r="H142" i="4"/>
  <c r="H141" i="4"/>
  <c r="H140" i="4"/>
  <c r="H139" i="4"/>
  <c r="H138" i="4"/>
  <c r="H137" i="4"/>
  <c r="H136" i="4"/>
  <c r="H135" i="4"/>
  <c r="H134" i="4"/>
  <c r="H133" i="4"/>
  <c r="H132" i="4"/>
  <c r="H131" i="4"/>
  <c r="H130" i="4"/>
  <c r="H129" i="4"/>
  <c r="H128" i="4"/>
  <c r="H127" i="4"/>
  <c r="H126" i="4"/>
  <c r="H125" i="4"/>
  <c r="H124" i="4"/>
  <c r="H123" i="4"/>
  <c r="H122" i="4"/>
  <c r="H121" i="4"/>
  <c r="H120" i="4"/>
  <c r="H119" i="4"/>
  <c r="H118" i="4"/>
  <c r="H117" i="4"/>
  <c r="H116" i="4"/>
  <c r="H115" i="4"/>
  <c r="H114" i="4"/>
  <c r="H113" i="4"/>
  <c r="H112" i="4"/>
  <c r="H111" i="4"/>
  <c r="H110" i="4"/>
  <c r="H109" i="4"/>
  <c r="H108" i="4"/>
  <c r="H107" i="4"/>
  <c r="H106" i="4"/>
  <c r="H105" i="4"/>
  <c r="H104" i="4"/>
  <c r="H103" i="4"/>
  <c r="H102" i="4"/>
  <c r="H101" i="4"/>
  <c r="H100" i="4"/>
  <c r="H99" i="4"/>
  <c r="H98" i="4"/>
  <c r="H97" i="4"/>
  <c r="H96" i="4"/>
  <c r="H95" i="4"/>
  <c r="H94" i="4"/>
  <c r="H93" i="4"/>
  <c r="H92" i="4"/>
  <c r="H91" i="4"/>
  <c r="H90" i="4"/>
  <c r="H89" i="4"/>
  <c r="H88" i="4"/>
  <c r="H87" i="4"/>
  <c r="H86" i="4"/>
  <c r="H85" i="4"/>
  <c r="H84" i="4"/>
  <c r="H83" i="4"/>
  <c r="H82" i="4"/>
  <c r="H81" i="4"/>
  <c r="H80" i="4"/>
  <c r="H79" i="4"/>
  <c r="H78" i="4"/>
  <c r="H77" i="4"/>
  <c r="H76" i="4"/>
  <c r="H75" i="4"/>
  <c r="H74" i="4"/>
  <c r="H73" i="4"/>
  <c r="H72" i="4"/>
  <c r="H71" i="4"/>
  <c r="H70" i="4"/>
  <c r="H69" i="4"/>
  <c r="H68" i="4"/>
  <c r="H67" i="4"/>
  <c r="H66" i="4"/>
  <c r="H65" i="4"/>
  <c r="H64" i="4"/>
  <c r="H63" i="4"/>
  <c r="H62" i="4"/>
  <c r="H61" i="4"/>
  <c r="H60" i="4"/>
  <c r="H59" i="4"/>
  <c r="H58" i="4"/>
  <c r="H57" i="4"/>
  <c r="H56" i="4"/>
  <c r="H55" i="4"/>
  <c r="H54" i="4"/>
  <c r="H53" i="4"/>
  <c r="H52" i="4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H4" i="4"/>
  <c r="H3" i="4"/>
  <c r="H2" i="4"/>
  <c r="E918" i="4"/>
  <c r="E917" i="4"/>
  <c r="G917" i="4" s="1"/>
  <c r="E916" i="4"/>
  <c r="E915" i="4"/>
  <c r="E914" i="4"/>
  <c r="G914" i="4" s="1"/>
  <c r="E913" i="4"/>
  <c r="E912" i="4"/>
  <c r="G912" i="4" s="1"/>
  <c r="E911" i="4"/>
  <c r="E910" i="4"/>
  <c r="E909" i="4"/>
  <c r="G909" i="4" s="1"/>
  <c r="E908" i="4"/>
  <c r="E907" i="4"/>
  <c r="E906" i="4"/>
  <c r="G906" i="4" s="1"/>
  <c r="E905" i="4"/>
  <c r="E904" i="4"/>
  <c r="G904" i="4" s="1"/>
  <c r="E903" i="4"/>
  <c r="E902" i="4"/>
  <c r="E901" i="4"/>
  <c r="G901" i="4" s="1"/>
  <c r="E900" i="4"/>
  <c r="E899" i="4"/>
  <c r="E898" i="4"/>
  <c r="G898" i="4" s="1"/>
  <c r="E897" i="4"/>
  <c r="E896" i="4"/>
  <c r="G896" i="4" s="1"/>
  <c r="E895" i="4"/>
  <c r="E894" i="4"/>
  <c r="E893" i="4"/>
  <c r="G893" i="4" s="1"/>
  <c r="E892" i="4"/>
  <c r="E891" i="4"/>
  <c r="E890" i="4"/>
  <c r="G890" i="4" s="1"/>
  <c r="E889" i="4"/>
  <c r="E888" i="4"/>
  <c r="G888" i="4" s="1"/>
  <c r="E887" i="4"/>
  <c r="E886" i="4"/>
  <c r="E885" i="4"/>
  <c r="G885" i="4" s="1"/>
  <c r="E884" i="4"/>
  <c r="E883" i="4"/>
  <c r="E882" i="4"/>
  <c r="G882" i="4" s="1"/>
  <c r="E881" i="4"/>
  <c r="E880" i="4"/>
  <c r="G880" i="4" s="1"/>
  <c r="E879" i="4"/>
  <c r="E878" i="4"/>
  <c r="E877" i="4"/>
  <c r="G877" i="4" s="1"/>
  <c r="E876" i="4"/>
  <c r="E875" i="4"/>
  <c r="E874" i="4"/>
  <c r="G874" i="4" s="1"/>
  <c r="E873" i="4"/>
  <c r="E872" i="4"/>
  <c r="G872" i="4" s="1"/>
  <c r="E871" i="4"/>
  <c r="E870" i="4"/>
  <c r="E869" i="4"/>
  <c r="G869" i="4" s="1"/>
  <c r="E868" i="4"/>
  <c r="E867" i="4"/>
  <c r="E866" i="4"/>
  <c r="G866" i="4" s="1"/>
  <c r="E865" i="4"/>
  <c r="E864" i="4"/>
  <c r="G864" i="4" s="1"/>
  <c r="E863" i="4"/>
  <c r="E862" i="4"/>
  <c r="E861" i="4"/>
  <c r="G861" i="4" s="1"/>
  <c r="E860" i="4"/>
  <c r="E859" i="4"/>
  <c r="E858" i="4"/>
  <c r="G858" i="4" s="1"/>
  <c r="E857" i="4"/>
  <c r="E856" i="4"/>
  <c r="G856" i="4" s="1"/>
  <c r="E855" i="4"/>
  <c r="E854" i="4"/>
  <c r="E853" i="4"/>
  <c r="G853" i="4" s="1"/>
  <c r="E852" i="4"/>
  <c r="E851" i="4"/>
  <c r="E850" i="4"/>
  <c r="G850" i="4" s="1"/>
  <c r="E849" i="4"/>
  <c r="E848" i="4"/>
  <c r="G848" i="4" s="1"/>
  <c r="E847" i="4"/>
  <c r="E846" i="4"/>
  <c r="E845" i="4"/>
  <c r="G845" i="4" s="1"/>
  <c r="E844" i="4"/>
  <c r="E843" i="4"/>
  <c r="E842" i="4"/>
  <c r="G842" i="4" s="1"/>
  <c r="E841" i="4"/>
  <c r="E840" i="4"/>
  <c r="G840" i="4" s="1"/>
  <c r="E839" i="4"/>
  <c r="E838" i="4"/>
  <c r="E837" i="4"/>
  <c r="G837" i="4" s="1"/>
  <c r="E836" i="4"/>
  <c r="E835" i="4"/>
  <c r="E834" i="4"/>
  <c r="G834" i="4" s="1"/>
  <c r="E833" i="4"/>
  <c r="E832" i="4"/>
  <c r="G832" i="4" s="1"/>
  <c r="E831" i="4"/>
  <c r="E830" i="4"/>
  <c r="E829" i="4"/>
  <c r="G829" i="4" s="1"/>
  <c r="E828" i="4"/>
  <c r="E827" i="4"/>
  <c r="E826" i="4"/>
  <c r="G826" i="4" s="1"/>
  <c r="E825" i="4"/>
  <c r="E824" i="4"/>
  <c r="G824" i="4" s="1"/>
  <c r="E823" i="4"/>
  <c r="E822" i="4"/>
  <c r="E821" i="4"/>
  <c r="E820" i="4"/>
  <c r="E819" i="4"/>
  <c r="E818" i="4"/>
  <c r="G818" i="4" s="1"/>
  <c r="E817" i="4"/>
  <c r="E816" i="4"/>
  <c r="G816" i="4" s="1"/>
  <c r="E815" i="4"/>
  <c r="E814" i="4"/>
  <c r="E813" i="4"/>
  <c r="E812" i="4"/>
  <c r="E811" i="4"/>
  <c r="E810" i="4"/>
  <c r="G810" i="4" s="1"/>
  <c r="E809" i="4"/>
  <c r="E808" i="4"/>
  <c r="G808" i="4" s="1"/>
  <c r="E807" i="4"/>
  <c r="E806" i="4"/>
  <c r="E805" i="4"/>
  <c r="E804" i="4"/>
  <c r="E803" i="4"/>
  <c r="E802" i="4"/>
  <c r="G802" i="4" s="1"/>
  <c r="E801" i="4"/>
  <c r="E800" i="4"/>
  <c r="G800" i="4" s="1"/>
  <c r="E799" i="4"/>
  <c r="E798" i="4"/>
  <c r="E797" i="4"/>
  <c r="E796" i="4"/>
  <c r="E795" i="4"/>
  <c r="E794" i="4"/>
  <c r="G794" i="4" s="1"/>
  <c r="E793" i="4"/>
  <c r="E792" i="4"/>
  <c r="G792" i="4" s="1"/>
  <c r="E791" i="4"/>
  <c r="E790" i="4"/>
  <c r="E789" i="4"/>
  <c r="E788" i="4"/>
  <c r="E787" i="4"/>
  <c r="E786" i="4"/>
  <c r="G786" i="4" s="1"/>
  <c r="E785" i="4"/>
  <c r="E784" i="4"/>
  <c r="G784" i="4" s="1"/>
  <c r="E783" i="4"/>
  <c r="E782" i="4"/>
  <c r="E781" i="4"/>
  <c r="E780" i="4"/>
  <c r="E779" i="4"/>
  <c r="E778" i="4"/>
  <c r="E777" i="4"/>
  <c r="E776" i="4"/>
  <c r="G776" i="4" s="1"/>
  <c r="E775" i="4"/>
  <c r="E774" i="4"/>
  <c r="E773" i="4"/>
  <c r="E772" i="4"/>
  <c r="E771" i="4"/>
  <c r="E770" i="4"/>
  <c r="G770" i="4" s="1"/>
  <c r="E769" i="4"/>
  <c r="E768" i="4"/>
  <c r="G768" i="4" s="1"/>
  <c r="E767" i="4"/>
  <c r="E766" i="4"/>
  <c r="E765" i="4"/>
  <c r="E764" i="4"/>
  <c r="E763" i="4"/>
  <c r="E762" i="4"/>
  <c r="E761" i="4"/>
  <c r="E760" i="4"/>
  <c r="G760" i="4" s="1"/>
  <c r="E759" i="4"/>
  <c r="E758" i="4"/>
  <c r="E757" i="4"/>
  <c r="E756" i="4"/>
  <c r="E755" i="4"/>
  <c r="E754" i="4"/>
  <c r="G754" i="4" s="1"/>
  <c r="E753" i="4"/>
  <c r="E752" i="4"/>
  <c r="G752" i="4" s="1"/>
  <c r="E751" i="4"/>
  <c r="E750" i="4"/>
  <c r="E749" i="4"/>
  <c r="E748" i="4"/>
  <c r="E747" i="4"/>
  <c r="E746" i="4"/>
  <c r="E745" i="4"/>
  <c r="E744" i="4"/>
  <c r="E743" i="4"/>
  <c r="E742" i="4"/>
  <c r="E741" i="4"/>
  <c r="E740" i="4"/>
  <c r="E739" i="4"/>
  <c r="E738" i="4"/>
  <c r="E737" i="4"/>
  <c r="E736" i="4"/>
  <c r="E735" i="4"/>
  <c r="E734" i="4"/>
  <c r="E733" i="4"/>
  <c r="E732" i="4"/>
  <c r="E731" i="4"/>
  <c r="E730" i="4"/>
  <c r="G730" i="4" s="1"/>
  <c r="E729" i="4"/>
  <c r="E728" i="4"/>
  <c r="E727" i="4"/>
  <c r="E726" i="4"/>
  <c r="E725" i="4"/>
  <c r="E724" i="4"/>
  <c r="E723" i="4"/>
  <c r="E722" i="4"/>
  <c r="E721" i="4"/>
  <c r="E720" i="4"/>
  <c r="E719" i="4"/>
  <c r="E718" i="4"/>
  <c r="E717" i="4"/>
  <c r="E716" i="4"/>
  <c r="E715" i="4"/>
  <c r="E714" i="4"/>
  <c r="E713" i="4"/>
  <c r="E712" i="4"/>
  <c r="E711" i="4"/>
  <c r="E710" i="4"/>
  <c r="E709" i="4"/>
  <c r="E708" i="4"/>
  <c r="E707" i="4"/>
  <c r="E706" i="4"/>
  <c r="G706" i="4" s="1"/>
  <c r="E705" i="4"/>
  <c r="E704" i="4"/>
  <c r="E703" i="4"/>
  <c r="E702" i="4"/>
  <c r="E701" i="4"/>
  <c r="E700" i="4"/>
  <c r="E699" i="4"/>
  <c r="E698" i="4"/>
  <c r="E697" i="4"/>
  <c r="E696" i="4"/>
  <c r="E695" i="4"/>
  <c r="E694" i="4"/>
  <c r="E693" i="4"/>
  <c r="E692" i="4"/>
  <c r="E691" i="4"/>
  <c r="E690" i="4"/>
  <c r="G690" i="4" s="1"/>
  <c r="E689" i="4"/>
  <c r="E688" i="4"/>
  <c r="E687" i="4"/>
  <c r="E686" i="4"/>
  <c r="E685" i="4"/>
  <c r="E684" i="4"/>
  <c r="E683" i="4"/>
  <c r="E682" i="4"/>
  <c r="E681" i="4"/>
  <c r="E680" i="4"/>
  <c r="E679" i="4"/>
  <c r="E678" i="4"/>
  <c r="E677" i="4"/>
  <c r="E676" i="4"/>
  <c r="E675" i="4"/>
  <c r="E674" i="4"/>
  <c r="E673" i="4"/>
  <c r="E672" i="4"/>
  <c r="G672" i="4" s="1"/>
  <c r="E671" i="4"/>
  <c r="E670" i="4"/>
  <c r="E669" i="4"/>
  <c r="E668" i="4"/>
  <c r="E667" i="4"/>
  <c r="E666" i="4"/>
  <c r="E665" i="4"/>
  <c r="E664" i="4"/>
  <c r="E663" i="4"/>
  <c r="E662" i="4"/>
  <c r="E661" i="4"/>
  <c r="G661" i="4" s="1"/>
  <c r="E660" i="4"/>
  <c r="E659" i="4"/>
  <c r="E658" i="4"/>
  <c r="E657" i="4"/>
  <c r="E656" i="4"/>
  <c r="E655" i="4"/>
  <c r="E654" i="4"/>
  <c r="E653" i="4"/>
  <c r="E652" i="4"/>
  <c r="E651" i="4"/>
  <c r="E650" i="4"/>
  <c r="E649" i="4"/>
  <c r="E648" i="4"/>
  <c r="E647" i="4"/>
  <c r="E646" i="4"/>
  <c r="E645" i="4"/>
  <c r="E644" i="4"/>
  <c r="E643" i="4"/>
  <c r="E642" i="4"/>
  <c r="E641" i="4"/>
  <c r="E640" i="4"/>
  <c r="G640" i="4" s="1"/>
  <c r="E639" i="4"/>
  <c r="E638" i="4"/>
  <c r="E637" i="4"/>
  <c r="E636" i="4"/>
  <c r="E635" i="4"/>
  <c r="E634" i="4"/>
  <c r="E633" i="4"/>
  <c r="E632" i="4"/>
  <c r="E631" i="4"/>
  <c r="E630" i="4"/>
  <c r="E629" i="4"/>
  <c r="G629" i="4" s="1"/>
  <c r="E628" i="4"/>
  <c r="E627" i="4"/>
  <c r="E626" i="4"/>
  <c r="E625" i="4"/>
  <c r="E624" i="4"/>
  <c r="E623" i="4"/>
  <c r="E622" i="4"/>
  <c r="E621" i="4"/>
  <c r="E620" i="4"/>
  <c r="E619" i="4"/>
  <c r="E618" i="4"/>
  <c r="E617" i="4"/>
  <c r="E616" i="4"/>
  <c r="E615" i="4"/>
  <c r="E614" i="4"/>
  <c r="E613" i="4"/>
  <c r="E612" i="4"/>
  <c r="E611" i="4"/>
  <c r="E610" i="4"/>
  <c r="E609" i="4"/>
  <c r="E608" i="4"/>
  <c r="G608" i="4" s="1"/>
  <c r="E607" i="4"/>
  <c r="E606" i="4"/>
  <c r="E605" i="4"/>
  <c r="E604" i="4"/>
  <c r="E603" i="4"/>
  <c r="E602" i="4"/>
  <c r="E601" i="4"/>
  <c r="E600" i="4"/>
  <c r="E599" i="4"/>
  <c r="E598" i="4"/>
  <c r="E597" i="4"/>
  <c r="G597" i="4" s="1"/>
  <c r="E596" i="4"/>
  <c r="E595" i="4"/>
  <c r="E594" i="4"/>
  <c r="E593" i="4"/>
  <c r="E592" i="4"/>
  <c r="E591" i="4"/>
  <c r="E590" i="4"/>
  <c r="E589" i="4"/>
  <c r="E588" i="4"/>
  <c r="E587" i="4"/>
  <c r="E586" i="4"/>
  <c r="E585" i="4"/>
  <c r="G585" i="4" s="1"/>
  <c r="E584" i="4"/>
  <c r="E583" i="4"/>
  <c r="E582" i="4"/>
  <c r="E581" i="4"/>
  <c r="E580" i="4"/>
  <c r="E579" i="4"/>
  <c r="E578" i="4"/>
  <c r="E577" i="4"/>
  <c r="E576" i="4"/>
  <c r="E575" i="4"/>
  <c r="E574" i="4"/>
  <c r="E573" i="4"/>
  <c r="G573" i="4" s="1"/>
  <c r="E572" i="4"/>
  <c r="E571" i="4"/>
  <c r="E570" i="4"/>
  <c r="E569" i="4"/>
  <c r="E568" i="4"/>
  <c r="E567" i="4"/>
  <c r="E566" i="4"/>
  <c r="E565" i="4"/>
  <c r="E564" i="4"/>
  <c r="E563" i="4"/>
  <c r="E562" i="4"/>
  <c r="E561" i="4"/>
  <c r="E560" i="4"/>
  <c r="G560" i="4" s="1"/>
  <c r="E559" i="4"/>
  <c r="E558" i="4"/>
  <c r="E557" i="4"/>
  <c r="E556" i="4"/>
  <c r="E555" i="4"/>
  <c r="E554" i="4"/>
  <c r="E553" i="4"/>
  <c r="E552" i="4"/>
  <c r="E551" i="4"/>
  <c r="E550" i="4"/>
  <c r="E549" i="4"/>
  <c r="E548" i="4"/>
  <c r="E547" i="4"/>
  <c r="E546" i="4"/>
  <c r="E545" i="4"/>
  <c r="E544" i="4"/>
  <c r="E543" i="4"/>
  <c r="E542" i="4"/>
  <c r="E541" i="4"/>
  <c r="E540" i="4"/>
  <c r="E539" i="4"/>
  <c r="E538" i="4"/>
  <c r="E537" i="4"/>
  <c r="E536" i="4"/>
  <c r="E535" i="4"/>
  <c r="E534" i="4"/>
  <c r="E533" i="4"/>
  <c r="E532" i="4"/>
  <c r="E531" i="4"/>
  <c r="E530" i="4"/>
  <c r="E529" i="4"/>
  <c r="E528" i="4"/>
  <c r="E527" i="4"/>
  <c r="E526" i="4"/>
  <c r="E525" i="4"/>
  <c r="E524" i="4"/>
  <c r="E523" i="4"/>
  <c r="E522" i="4"/>
  <c r="E521" i="4"/>
  <c r="E520" i="4"/>
  <c r="E519" i="4"/>
  <c r="E518" i="4"/>
  <c r="E517" i="4"/>
  <c r="E516" i="4"/>
  <c r="E515" i="4"/>
  <c r="E514" i="4"/>
  <c r="E513" i="4"/>
  <c r="E512" i="4"/>
  <c r="E511" i="4"/>
  <c r="E510" i="4"/>
  <c r="E509" i="4"/>
  <c r="G509" i="4" s="1"/>
  <c r="E508" i="4"/>
  <c r="E507" i="4"/>
  <c r="E506" i="4"/>
  <c r="E505" i="4"/>
  <c r="E504" i="4"/>
  <c r="E503" i="4"/>
  <c r="E502" i="4"/>
  <c r="E501" i="4"/>
  <c r="E500" i="4"/>
  <c r="E499" i="4"/>
  <c r="E498" i="4"/>
  <c r="E497" i="4"/>
  <c r="E496" i="4"/>
  <c r="G496" i="4" s="1"/>
  <c r="E495" i="4"/>
  <c r="E494" i="4"/>
  <c r="E493" i="4"/>
  <c r="E492" i="4"/>
  <c r="E491" i="4"/>
  <c r="E490" i="4"/>
  <c r="E489" i="4"/>
  <c r="E488" i="4"/>
  <c r="E487" i="4"/>
  <c r="E486" i="4"/>
  <c r="E485" i="4"/>
  <c r="E484" i="4"/>
  <c r="E483" i="4"/>
  <c r="E482" i="4"/>
  <c r="E481" i="4"/>
  <c r="E480" i="4"/>
  <c r="E479" i="4"/>
  <c r="E478" i="4"/>
  <c r="E477" i="4"/>
  <c r="E476" i="4"/>
  <c r="E475" i="4"/>
  <c r="E474" i="4"/>
  <c r="E473" i="4"/>
  <c r="E472" i="4"/>
  <c r="E471" i="4"/>
  <c r="E470" i="4"/>
  <c r="E469" i="4"/>
  <c r="E468" i="4"/>
  <c r="E467" i="4"/>
  <c r="E466" i="4"/>
  <c r="E465" i="4"/>
  <c r="E464" i="4"/>
  <c r="E463" i="4"/>
  <c r="E462" i="4"/>
  <c r="E461" i="4"/>
  <c r="E460" i="4"/>
  <c r="E459" i="4"/>
  <c r="E458" i="4"/>
  <c r="E457" i="4"/>
  <c r="E456" i="4"/>
  <c r="E455" i="4"/>
  <c r="E454" i="4"/>
  <c r="E453" i="4"/>
  <c r="E452" i="4"/>
  <c r="E451" i="4"/>
  <c r="E450" i="4"/>
  <c r="E449" i="4"/>
  <c r="E448" i="4"/>
  <c r="E447" i="4"/>
  <c r="E446" i="4"/>
  <c r="E445" i="4"/>
  <c r="E444" i="4"/>
  <c r="E443" i="4"/>
  <c r="E442" i="4"/>
  <c r="E441" i="4"/>
  <c r="E440" i="4"/>
  <c r="E439" i="4"/>
  <c r="E438" i="4"/>
  <c r="E437" i="4"/>
  <c r="E436" i="4"/>
  <c r="E435" i="4"/>
  <c r="E434" i="4"/>
  <c r="E433" i="4"/>
  <c r="E432" i="4"/>
  <c r="E431" i="4"/>
  <c r="E430" i="4"/>
  <c r="E429" i="4"/>
  <c r="E428" i="4"/>
  <c r="E427" i="4"/>
  <c r="E426" i="4"/>
  <c r="E425" i="4"/>
  <c r="E424" i="4"/>
  <c r="E423" i="4"/>
  <c r="E422" i="4"/>
  <c r="E421" i="4"/>
  <c r="E420" i="4"/>
  <c r="E419" i="4"/>
  <c r="E418" i="4"/>
  <c r="E417" i="4"/>
  <c r="E416" i="4"/>
  <c r="E415" i="4"/>
  <c r="E414" i="4"/>
  <c r="E413" i="4"/>
  <c r="E412" i="4"/>
  <c r="E411" i="4"/>
  <c r="E410" i="4"/>
  <c r="E409" i="4"/>
  <c r="E408" i="4"/>
  <c r="E407" i="4"/>
  <c r="E406" i="4"/>
  <c r="E405" i="4"/>
  <c r="E404" i="4"/>
  <c r="E403" i="4"/>
  <c r="E402" i="4"/>
  <c r="E401" i="4"/>
  <c r="E400" i="4"/>
  <c r="E399" i="4"/>
  <c r="E398" i="4"/>
  <c r="E397" i="4"/>
  <c r="E396" i="4"/>
  <c r="E395" i="4"/>
  <c r="E394" i="4"/>
  <c r="E393" i="4"/>
  <c r="E392" i="4"/>
  <c r="E391" i="4"/>
  <c r="E390" i="4"/>
  <c r="E389" i="4"/>
  <c r="E388" i="4"/>
  <c r="E387" i="4"/>
  <c r="E386" i="4"/>
  <c r="E385" i="4"/>
  <c r="E384" i="4"/>
  <c r="E383" i="4"/>
  <c r="E382" i="4"/>
  <c r="E381" i="4"/>
  <c r="E380" i="4"/>
  <c r="E379" i="4"/>
  <c r="E378" i="4"/>
  <c r="E377" i="4"/>
  <c r="E376" i="4"/>
  <c r="E375" i="4"/>
  <c r="E374" i="4"/>
  <c r="E373" i="4"/>
  <c r="E372" i="4"/>
  <c r="E371" i="4"/>
  <c r="E370" i="4"/>
  <c r="E369" i="4"/>
  <c r="E368" i="4"/>
  <c r="E367" i="4"/>
  <c r="E366" i="4"/>
  <c r="E365" i="4"/>
  <c r="E364" i="4"/>
  <c r="E363" i="4"/>
  <c r="E362" i="4"/>
  <c r="E361" i="4"/>
  <c r="E360" i="4"/>
  <c r="E359" i="4"/>
  <c r="E358" i="4"/>
  <c r="E357" i="4"/>
  <c r="E356" i="4"/>
  <c r="E355" i="4"/>
  <c r="E354" i="4"/>
  <c r="E353" i="4"/>
  <c r="E352" i="4"/>
  <c r="E351" i="4"/>
  <c r="E350" i="4"/>
  <c r="E349" i="4"/>
  <c r="E348" i="4"/>
  <c r="E347" i="4"/>
  <c r="E346" i="4"/>
  <c r="E345" i="4"/>
  <c r="E344" i="4"/>
  <c r="E343" i="4"/>
  <c r="E342" i="4"/>
  <c r="E341" i="4"/>
  <c r="E340" i="4"/>
  <c r="E339" i="4"/>
  <c r="E338" i="4"/>
  <c r="E337" i="4"/>
  <c r="E336" i="4"/>
  <c r="E335" i="4"/>
  <c r="E334" i="4"/>
  <c r="E333" i="4"/>
  <c r="E332" i="4"/>
  <c r="E331" i="4"/>
  <c r="E330" i="4"/>
  <c r="E329" i="4"/>
  <c r="E328" i="4"/>
  <c r="E327" i="4"/>
  <c r="E326" i="4"/>
  <c r="E325" i="4"/>
  <c r="E324" i="4"/>
  <c r="E323" i="4"/>
  <c r="E322" i="4"/>
  <c r="E321" i="4"/>
  <c r="E320" i="4"/>
  <c r="E319" i="4"/>
  <c r="E318" i="4"/>
  <c r="E317" i="4"/>
  <c r="E316" i="4"/>
  <c r="E315" i="4"/>
  <c r="E314" i="4"/>
  <c r="E313" i="4"/>
  <c r="E312" i="4"/>
  <c r="E311" i="4"/>
  <c r="E310" i="4"/>
  <c r="E309" i="4"/>
  <c r="E308" i="4"/>
  <c r="E307" i="4"/>
  <c r="E306" i="4"/>
  <c r="E305" i="4"/>
  <c r="E304" i="4"/>
  <c r="E303" i="4"/>
  <c r="E302" i="4"/>
  <c r="E301" i="4"/>
  <c r="E300" i="4"/>
  <c r="E299" i="4"/>
  <c r="E298" i="4"/>
  <c r="E297" i="4"/>
  <c r="E296" i="4"/>
  <c r="E295" i="4"/>
  <c r="E294" i="4"/>
  <c r="E293" i="4"/>
  <c r="E292" i="4"/>
  <c r="E291" i="4"/>
  <c r="E290" i="4"/>
  <c r="E289" i="4"/>
  <c r="E288" i="4"/>
  <c r="E287" i="4"/>
  <c r="E286" i="4"/>
  <c r="E285" i="4"/>
  <c r="E284" i="4"/>
  <c r="E283" i="4"/>
  <c r="E282" i="4"/>
  <c r="E281" i="4"/>
  <c r="E280" i="4"/>
  <c r="E279" i="4"/>
  <c r="E278" i="4"/>
  <c r="E277" i="4"/>
  <c r="E276" i="4"/>
  <c r="E275" i="4"/>
  <c r="E274" i="4"/>
  <c r="E273" i="4"/>
  <c r="E272" i="4"/>
  <c r="E271" i="4"/>
  <c r="E270" i="4"/>
  <c r="E269" i="4"/>
  <c r="E268" i="4"/>
  <c r="E267" i="4"/>
  <c r="E266" i="4"/>
  <c r="E265" i="4"/>
  <c r="E264" i="4"/>
  <c r="E263" i="4"/>
  <c r="E262" i="4"/>
  <c r="E261" i="4"/>
  <c r="E260" i="4"/>
  <c r="E259" i="4"/>
  <c r="E258" i="4"/>
  <c r="E257" i="4"/>
  <c r="E256" i="4"/>
  <c r="E255" i="4"/>
  <c r="E254" i="4"/>
  <c r="E253" i="4"/>
  <c r="E252" i="4"/>
  <c r="E251" i="4"/>
  <c r="E250" i="4"/>
  <c r="E249" i="4"/>
  <c r="E248" i="4"/>
  <c r="E247" i="4"/>
  <c r="E246" i="4"/>
  <c r="E245" i="4"/>
  <c r="E244" i="4"/>
  <c r="E243" i="4"/>
  <c r="E242" i="4"/>
  <c r="E241" i="4"/>
  <c r="E240" i="4"/>
  <c r="E239" i="4"/>
  <c r="E238" i="4"/>
  <c r="E237" i="4"/>
  <c r="E236" i="4"/>
  <c r="E235" i="4"/>
  <c r="E234" i="4"/>
  <c r="E233" i="4"/>
  <c r="E232" i="4"/>
  <c r="E231" i="4"/>
  <c r="E230" i="4"/>
  <c r="E229" i="4"/>
  <c r="E228" i="4"/>
  <c r="E227" i="4"/>
  <c r="E226" i="4"/>
  <c r="E225" i="4"/>
  <c r="E224" i="4"/>
  <c r="E223" i="4"/>
  <c r="E222" i="4"/>
  <c r="E221" i="4"/>
  <c r="E220" i="4"/>
  <c r="E219" i="4"/>
  <c r="E218" i="4"/>
  <c r="E217" i="4"/>
  <c r="E216" i="4"/>
  <c r="E215" i="4"/>
  <c r="E214" i="4"/>
  <c r="E213" i="4"/>
  <c r="E212" i="4"/>
  <c r="E211" i="4"/>
  <c r="E210" i="4"/>
  <c r="E209" i="4"/>
  <c r="E208" i="4"/>
  <c r="E207" i="4"/>
  <c r="E206" i="4"/>
  <c r="E205" i="4"/>
  <c r="E204" i="4"/>
  <c r="E203" i="4"/>
  <c r="E202" i="4"/>
  <c r="E201" i="4"/>
  <c r="E200" i="4"/>
  <c r="E199" i="4"/>
  <c r="E198" i="4"/>
  <c r="E197" i="4"/>
  <c r="E196" i="4"/>
  <c r="E195" i="4"/>
  <c r="E194" i="4"/>
  <c r="E193" i="4"/>
  <c r="E192" i="4"/>
  <c r="E191" i="4"/>
  <c r="E190" i="4"/>
  <c r="E189" i="4"/>
  <c r="E188" i="4"/>
  <c r="E187" i="4"/>
  <c r="E186" i="4"/>
  <c r="E185" i="4"/>
  <c r="E184" i="4"/>
  <c r="E183" i="4"/>
  <c r="E182" i="4"/>
  <c r="E181" i="4"/>
  <c r="E180" i="4"/>
  <c r="E179" i="4"/>
  <c r="E178" i="4"/>
  <c r="E177" i="4"/>
  <c r="E176" i="4"/>
  <c r="E175" i="4"/>
  <c r="E174" i="4"/>
  <c r="E173" i="4"/>
  <c r="E172" i="4"/>
  <c r="E171" i="4"/>
  <c r="E170" i="4"/>
  <c r="E169" i="4"/>
  <c r="E168" i="4"/>
  <c r="E167" i="4"/>
  <c r="E166" i="4"/>
  <c r="E165" i="4"/>
  <c r="E164" i="4"/>
  <c r="E163" i="4"/>
  <c r="E162" i="4"/>
  <c r="E161" i="4"/>
  <c r="E160" i="4"/>
  <c r="E159" i="4"/>
  <c r="E158" i="4"/>
  <c r="E157" i="4"/>
  <c r="E156" i="4"/>
  <c r="E155" i="4"/>
  <c r="E154" i="4"/>
  <c r="E153" i="4"/>
  <c r="E152" i="4"/>
  <c r="E151" i="4"/>
  <c r="E150" i="4"/>
  <c r="E149" i="4"/>
  <c r="E148" i="4"/>
  <c r="E147" i="4"/>
  <c r="E146" i="4"/>
  <c r="E145" i="4"/>
  <c r="E144" i="4"/>
  <c r="E143" i="4"/>
  <c r="E142" i="4"/>
  <c r="E141" i="4"/>
  <c r="E140" i="4"/>
  <c r="E139" i="4"/>
  <c r="E138" i="4"/>
  <c r="E137" i="4"/>
  <c r="E136" i="4"/>
  <c r="E135" i="4"/>
  <c r="E134" i="4"/>
  <c r="E133" i="4"/>
  <c r="E132" i="4"/>
  <c r="E131" i="4"/>
  <c r="E130" i="4"/>
  <c r="E129" i="4"/>
  <c r="E128" i="4"/>
  <c r="E127" i="4"/>
  <c r="E126" i="4"/>
  <c r="E125" i="4"/>
  <c r="E124" i="4"/>
  <c r="E123" i="4"/>
  <c r="E122" i="4"/>
  <c r="E121" i="4"/>
  <c r="E120" i="4"/>
  <c r="E119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8" i="4"/>
  <c r="E67" i="4"/>
  <c r="E66" i="4"/>
  <c r="E65" i="4"/>
  <c r="E64" i="4"/>
  <c r="E63" i="4"/>
  <c r="E62" i="4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E2" i="4"/>
  <c r="G2" i="4" s="1"/>
  <c r="D918" i="4"/>
  <c r="D917" i="4"/>
  <c r="D916" i="4"/>
  <c r="D915" i="4"/>
  <c r="D914" i="4"/>
  <c r="D913" i="4"/>
  <c r="D912" i="4"/>
  <c r="D911" i="4"/>
  <c r="D910" i="4"/>
  <c r="D909" i="4"/>
  <c r="D908" i="4"/>
  <c r="D907" i="4"/>
  <c r="D906" i="4"/>
  <c r="D905" i="4"/>
  <c r="D904" i="4"/>
  <c r="D903" i="4"/>
  <c r="D902" i="4"/>
  <c r="D901" i="4"/>
  <c r="D900" i="4"/>
  <c r="D899" i="4"/>
  <c r="D898" i="4"/>
  <c r="D897" i="4"/>
  <c r="D896" i="4"/>
  <c r="D895" i="4"/>
  <c r="D894" i="4"/>
  <c r="D893" i="4"/>
  <c r="D892" i="4"/>
  <c r="D891" i="4"/>
  <c r="D890" i="4"/>
  <c r="D889" i="4"/>
  <c r="D888" i="4"/>
  <c r="D887" i="4"/>
  <c r="D886" i="4"/>
  <c r="D885" i="4"/>
  <c r="D884" i="4"/>
  <c r="D883" i="4"/>
  <c r="D882" i="4"/>
  <c r="D881" i="4"/>
  <c r="D880" i="4"/>
  <c r="D879" i="4"/>
  <c r="D878" i="4"/>
  <c r="D877" i="4"/>
  <c r="D876" i="4"/>
  <c r="D875" i="4"/>
  <c r="D874" i="4"/>
  <c r="D873" i="4"/>
  <c r="D872" i="4"/>
  <c r="D871" i="4"/>
  <c r="D870" i="4"/>
  <c r="D869" i="4"/>
  <c r="D868" i="4"/>
  <c r="D867" i="4"/>
  <c r="D866" i="4"/>
  <c r="D865" i="4"/>
  <c r="D864" i="4"/>
  <c r="D863" i="4"/>
  <c r="D862" i="4"/>
  <c r="D861" i="4"/>
  <c r="D860" i="4"/>
  <c r="D859" i="4"/>
  <c r="D858" i="4"/>
  <c r="D857" i="4"/>
  <c r="D856" i="4"/>
  <c r="D855" i="4"/>
  <c r="D854" i="4"/>
  <c r="D853" i="4"/>
  <c r="D852" i="4"/>
  <c r="D851" i="4"/>
  <c r="D850" i="4"/>
  <c r="D849" i="4"/>
  <c r="D848" i="4"/>
  <c r="D847" i="4"/>
  <c r="D846" i="4"/>
  <c r="D845" i="4"/>
  <c r="D844" i="4"/>
  <c r="D843" i="4"/>
  <c r="D842" i="4"/>
  <c r="D841" i="4"/>
  <c r="D840" i="4"/>
  <c r="D839" i="4"/>
  <c r="D838" i="4"/>
  <c r="D837" i="4"/>
  <c r="D836" i="4"/>
  <c r="D835" i="4"/>
  <c r="D834" i="4"/>
  <c r="D833" i="4"/>
  <c r="D832" i="4"/>
  <c r="D831" i="4"/>
  <c r="D830" i="4"/>
  <c r="D829" i="4"/>
  <c r="D828" i="4"/>
  <c r="D827" i="4"/>
  <c r="D826" i="4"/>
  <c r="D825" i="4"/>
  <c r="D824" i="4"/>
  <c r="D823" i="4"/>
  <c r="D822" i="4"/>
  <c r="D821" i="4"/>
  <c r="D820" i="4"/>
  <c r="D819" i="4"/>
  <c r="D818" i="4"/>
  <c r="D817" i="4"/>
  <c r="D816" i="4"/>
  <c r="D815" i="4"/>
  <c r="D814" i="4"/>
  <c r="D813" i="4"/>
  <c r="D812" i="4"/>
  <c r="D811" i="4"/>
  <c r="D810" i="4"/>
  <c r="D809" i="4"/>
  <c r="D808" i="4"/>
  <c r="D807" i="4"/>
  <c r="D806" i="4"/>
  <c r="D805" i="4"/>
  <c r="D804" i="4"/>
  <c r="D803" i="4"/>
  <c r="D802" i="4"/>
  <c r="D801" i="4"/>
  <c r="D800" i="4"/>
  <c r="D799" i="4"/>
  <c r="D798" i="4"/>
  <c r="D797" i="4"/>
  <c r="D796" i="4"/>
  <c r="D795" i="4"/>
  <c r="D794" i="4"/>
  <c r="D793" i="4"/>
  <c r="D792" i="4"/>
  <c r="D791" i="4"/>
  <c r="D790" i="4"/>
  <c r="D789" i="4"/>
  <c r="D788" i="4"/>
  <c r="D787" i="4"/>
  <c r="D786" i="4"/>
  <c r="D785" i="4"/>
  <c r="D784" i="4"/>
  <c r="D783" i="4"/>
  <c r="D782" i="4"/>
  <c r="D781" i="4"/>
  <c r="D780" i="4"/>
  <c r="D779" i="4"/>
  <c r="D778" i="4"/>
  <c r="D777" i="4"/>
  <c r="D776" i="4"/>
  <c r="D775" i="4"/>
  <c r="D774" i="4"/>
  <c r="D773" i="4"/>
  <c r="D772" i="4"/>
  <c r="D771" i="4"/>
  <c r="D770" i="4"/>
  <c r="D769" i="4"/>
  <c r="D768" i="4"/>
  <c r="D767" i="4"/>
  <c r="D766" i="4"/>
  <c r="D765" i="4"/>
  <c r="D764" i="4"/>
  <c r="D763" i="4"/>
  <c r="D762" i="4"/>
  <c r="D761" i="4"/>
  <c r="D760" i="4"/>
  <c r="D759" i="4"/>
  <c r="D758" i="4"/>
  <c r="D757" i="4"/>
  <c r="D756" i="4"/>
  <c r="D755" i="4"/>
  <c r="D754" i="4"/>
  <c r="D753" i="4"/>
  <c r="D752" i="4"/>
  <c r="D751" i="4"/>
  <c r="D750" i="4"/>
  <c r="D749" i="4"/>
  <c r="D748" i="4"/>
  <c r="D747" i="4"/>
  <c r="D746" i="4"/>
  <c r="D745" i="4"/>
  <c r="D744" i="4"/>
  <c r="D743" i="4"/>
  <c r="D742" i="4"/>
  <c r="D741" i="4"/>
  <c r="D740" i="4"/>
  <c r="D739" i="4"/>
  <c r="D738" i="4"/>
  <c r="D737" i="4"/>
  <c r="D736" i="4"/>
  <c r="D735" i="4"/>
  <c r="D734" i="4"/>
  <c r="D733" i="4"/>
  <c r="D732" i="4"/>
  <c r="D731" i="4"/>
  <c r="D730" i="4"/>
  <c r="D729" i="4"/>
  <c r="D728" i="4"/>
  <c r="D727" i="4"/>
  <c r="D726" i="4"/>
  <c r="D725" i="4"/>
  <c r="D724" i="4"/>
  <c r="D723" i="4"/>
  <c r="D722" i="4"/>
  <c r="D721" i="4"/>
  <c r="D720" i="4"/>
  <c r="D719" i="4"/>
  <c r="D718" i="4"/>
  <c r="D717" i="4"/>
  <c r="D716" i="4"/>
  <c r="D715" i="4"/>
  <c r="D714" i="4"/>
  <c r="D713" i="4"/>
  <c r="D712" i="4"/>
  <c r="D711" i="4"/>
  <c r="D710" i="4"/>
  <c r="D709" i="4"/>
  <c r="D708" i="4"/>
  <c r="D707" i="4"/>
  <c r="D706" i="4"/>
  <c r="D705" i="4"/>
  <c r="D704" i="4"/>
  <c r="D703" i="4"/>
  <c r="D702" i="4"/>
  <c r="D701" i="4"/>
  <c r="D700" i="4"/>
  <c r="D699" i="4"/>
  <c r="D698" i="4"/>
  <c r="D697" i="4"/>
  <c r="D696" i="4"/>
  <c r="D695" i="4"/>
  <c r="D694" i="4"/>
  <c r="D693" i="4"/>
  <c r="D692" i="4"/>
  <c r="D691" i="4"/>
  <c r="D690" i="4"/>
  <c r="D689" i="4"/>
  <c r="D688" i="4"/>
  <c r="D687" i="4"/>
  <c r="D686" i="4"/>
  <c r="D685" i="4"/>
  <c r="D684" i="4"/>
  <c r="D683" i="4"/>
  <c r="D682" i="4"/>
  <c r="D681" i="4"/>
  <c r="D680" i="4"/>
  <c r="D679" i="4"/>
  <c r="D678" i="4"/>
  <c r="D677" i="4"/>
  <c r="D676" i="4"/>
  <c r="D675" i="4"/>
  <c r="D674" i="4"/>
  <c r="D673" i="4"/>
  <c r="D672" i="4"/>
  <c r="D671" i="4"/>
  <c r="D670" i="4"/>
  <c r="D669" i="4"/>
  <c r="D668" i="4"/>
  <c r="D667" i="4"/>
  <c r="D666" i="4"/>
  <c r="D665" i="4"/>
  <c r="D664" i="4"/>
  <c r="D663" i="4"/>
  <c r="D662" i="4"/>
  <c r="D661" i="4"/>
  <c r="D660" i="4"/>
  <c r="D659" i="4"/>
  <c r="D658" i="4"/>
  <c r="D657" i="4"/>
  <c r="D656" i="4"/>
  <c r="D655" i="4"/>
  <c r="D654" i="4"/>
  <c r="D653" i="4"/>
  <c r="D652" i="4"/>
  <c r="D651" i="4"/>
  <c r="D650" i="4"/>
  <c r="D649" i="4"/>
  <c r="D648" i="4"/>
  <c r="D647" i="4"/>
  <c r="D646" i="4"/>
  <c r="D645" i="4"/>
  <c r="D644" i="4"/>
  <c r="D643" i="4"/>
  <c r="D642" i="4"/>
  <c r="D641" i="4"/>
  <c r="D640" i="4"/>
  <c r="D639" i="4"/>
  <c r="D638" i="4"/>
  <c r="D637" i="4"/>
  <c r="D636" i="4"/>
  <c r="D635" i="4"/>
  <c r="D634" i="4"/>
  <c r="D633" i="4"/>
  <c r="D632" i="4"/>
  <c r="D631" i="4"/>
  <c r="D630" i="4"/>
  <c r="D629" i="4"/>
  <c r="D628" i="4"/>
  <c r="D627" i="4"/>
  <c r="D626" i="4"/>
  <c r="D625" i="4"/>
  <c r="D624" i="4"/>
  <c r="D623" i="4"/>
  <c r="D622" i="4"/>
  <c r="D621" i="4"/>
  <c r="D620" i="4"/>
  <c r="D619" i="4"/>
  <c r="D618" i="4"/>
  <c r="D617" i="4"/>
  <c r="D616" i="4"/>
  <c r="D615" i="4"/>
  <c r="D614" i="4"/>
  <c r="D613" i="4"/>
  <c r="D612" i="4"/>
  <c r="D611" i="4"/>
  <c r="D610" i="4"/>
  <c r="D609" i="4"/>
  <c r="D608" i="4"/>
  <c r="D607" i="4"/>
  <c r="D606" i="4"/>
  <c r="D605" i="4"/>
  <c r="D604" i="4"/>
  <c r="D603" i="4"/>
  <c r="D602" i="4"/>
  <c r="D601" i="4"/>
  <c r="D600" i="4"/>
  <c r="D599" i="4"/>
  <c r="D598" i="4"/>
  <c r="D597" i="4"/>
  <c r="D596" i="4"/>
  <c r="D595" i="4"/>
  <c r="D594" i="4"/>
  <c r="D593" i="4"/>
  <c r="D592" i="4"/>
  <c r="D591" i="4"/>
  <c r="D590" i="4"/>
  <c r="D589" i="4"/>
  <c r="D588" i="4"/>
  <c r="D587" i="4"/>
  <c r="D586" i="4"/>
  <c r="D585" i="4"/>
  <c r="D584" i="4"/>
  <c r="D583" i="4"/>
  <c r="D582" i="4"/>
  <c r="D581" i="4"/>
  <c r="D580" i="4"/>
  <c r="D579" i="4"/>
  <c r="D578" i="4"/>
  <c r="D577" i="4"/>
  <c r="D576" i="4"/>
  <c r="D575" i="4"/>
  <c r="D574" i="4"/>
  <c r="D573" i="4"/>
  <c r="D572" i="4"/>
  <c r="D571" i="4"/>
  <c r="D570" i="4"/>
  <c r="D569" i="4"/>
  <c r="D568" i="4"/>
  <c r="D567" i="4"/>
  <c r="D566" i="4"/>
  <c r="D565" i="4"/>
  <c r="D564" i="4"/>
  <c r="D563" i="4"/>
  <c r="D562" i="4"/>
  <c r="D561" i="4"/>
  <c r="D560" i="4"/>
  <c r="D559" i="4"/>
  <c r="D558" i="4"/>
  <c r="D557" i="4"/>
  <c r="D556" i="4"/>
  <c r="D555" i="4"/>
  <c r="D554" i="4"/>
  <c r="D553" i="4"/>
  <c r="D552" i="4"/>
  <c r="D551" i="4"/>
  <c r="D550" i="4"/>
  <c r="D549" i="4"/>
  <c r="D548" i="4"/>
  <c r="D547" i="4"/>
  <c r="D546" i="4"/>
  <c r="D545" i="4"/>
  <c r="D544" i="4"/>
  <c r="D543" i="4"/>
  <c r="D542" i="4"/>
  <c r="D541" i="4"/>
  <c r="D540" i="4"/>
  <c r="D539" i="4"/>
  <c r="D538" i="4"/>
  <c r="D537" i="4"/>
  <c r="D536" i="4"/>
  <c r="D535" i="4"/>
  <c r="D534" i="4"/>
  <c r="D533" i="4"/>
  <c r="D532" i="4"/>
  <c r="D531" i="4"/>
  <c r="D530" i="4"/>
  <c r="D529" i="4"/>
  <c r="D528" i="4"/>
  <c r="D527" i="4"/>
  <c r="D526" i="4"/>
  <c r="D525" i="4"/>
  <c r="D524" i="4"/>
  <c r="D523" i="4"/>
  <c r="D522" i="4"/>
  <c r="D521" i="4"/>
  <c r="D520" i="4"/>
  <c r="D519" i="4"/>
  <c r="D518" i="4"/>
  <c r="D517" i="4"/>
  <c r="D516" i="4"/>
  <c r="D515" i="4"/>
  <c r="D514" i="4"/>
  <c r="D513" i="4"/>
  <c r="D512" i="4"/>
  <c r="D511" i="4"/>
  <c r="D510" i="4"/>
  <c r="D509" i="4"/>
  <c r="D508" i="4"/>
  <c r="D507" i="4"/>
  <c r="D506" i="4"/>
  <c r="D505" i="4"/>
  <c r="D504" i="4"/>
  <c r="D503" i="4"/>
  <c r="D502" i="4"/>
  <c r="D501" i="4"/>
  <c r="D500" i="4"/>
  <c r="D499" i="4"/>
  <c r="D498" i="4"/>
  <c r="D497" i="4"/>
  <c r="D496" i="4"/>
  <c r="D495" i="4"/>
  <c r="D494" i="4"/>
  <c r="D493" i="4"/>
  <c r="D492" i="4"/>
  <c r="D491" i="4"/>
  <c r="D490" i="4"/>
  <c r="D489" i="4"/>
  <c r="D488" i="4"/>
  <c r="D487" i="4"/>
  <c r="D486" i="4"/>
  <c r="D485" i="4"/>
  <c r="D484" i="4"/>
  <c r="D483" i="4"/>
  <c r="D482" i="4"/>
  <c r="D481" i="4"/>
  <c r="D480" i="4"/>
  <c r="D479" i="4"/>
  <c r="D478" i="4"/>
  <c r="D477" i="4"/>
  <c r="D476" i="4"/>
  <c r="D475" i="4"/>
  <c r="D474" i="4"/>
  <c r="D473" i="4"/>
  <c r="D472" i="4"/>
  <c r="D471" i="4"/>
  <c r="D470" i="4"/>
  <c r="D469" i="4"/>
  <c r="D468" i="4"/>
  <c r="D467" i="4"/>
  <c r="D466" i="4"/>
  <c r="D465" i="4"/>
  <c r="D464" i="4"/>
  <c r="D463" i="4"/>
  <c r="D462" i="4"/>
  <c r="D461" i="4"/>
  <c r="D460" i="4"/>
  <c r="D459" i="4"/>
  <c r="D458" i="4"/>
  <c r="D457" i="4"/>
  <c r="D456" i="4"/>
  <c r="D455" i="4"/>
  <c r="D454" i="4"/>
  <c r="D453" i="4"/>
  <c r="D452" i="4"/>
  <c r="D451" i="4"/>
  <c r="D450" i="4"/>
  <c r="D449" i="4"/>
  <c r="D448" i="4"/>
  <c r="D447" i="4"/>
  <c r="D446" i="4"/>
  <c r="D445" i="4"/>
  <c r="D444" i="4"/>
  <c r="D443" i="4"/>
  <c r="D442" i="4"/>
  <c r="D441" i="4"/>
  <c r="D440" i="4"/>
  <c r="D439" i="4"/>
  <c r="D438" i="4"/>
  <c r="D437" i="4"/>
  <c r="D436" i="4"/>
  <c r="D435" i="4"/>
  <c r="D434" i="4"/>
  <c r="D433" i="4"/>
  <c r="D432" i="4"/>
  <c r="D431" i="4"/>
  <c r="D430" i="4"/>
  <c r="D429" i="4"/>
  <c r="D428" i="4"/>
  <c r="D427" i="4"/>
  <c r="D426" i="4"/>
  <c r="D425" i="4"/>
  <c r="D424" i="4"/>
  <c r="D423" i="4"/>
  <c r="D422" i="4"/>
  <c r="D421" i="4"/>
  <c r="D420" i="4"/>
  <c r="D419" i="4"/>
  <c r="D418" i="4"/>
  <c r="D417" i="4"/>
  <c r="D416" i="4"/>
  <c r="D415" i="4"/>
  <c r="D414" i="4"/>
  <c r="D413" i="4"/>
  <c r="D412" i="4"/>
  <c r="D411" i="4"/>
  <c r="D410" i="4"/>
  <c r="D409" i="4"/>
  <c r="D408" i="4"/>
  <c r="D407" i="4"/>
  <c r="D406" i="4"/>
  <c r="D405" i="4"/>
  <c r="D404" i="4"/>
  <c r="D403" i="4"/>
  <c r="D402" i="4"/>
  <c r="D401" i="4"/>
  <c r="D400" i="4"/>
  <c r="D399" i="4"/>
  <c r="D398" i="4"/>
  <c r="D397" i="4"/>
  <c r="D396" i="4"/>
  <c r="D395" i="4"/>
  <c r="D394" i="4"/>
  <c r="D393" i="4"/>
  <c r="D392" i="4"/>
  <c r="D391" i="4"/>
  <c r="D390" i="4"/>
  <c r="D389" i="4"/>
  <c r="D388" i="4"/>
  <c r="D387" i="4"/>
  <c r="D386" i="4"/>
  <c r="D385" i="4"/>
  <c r="D384" i="4"/>
  <c r="D383" i="4"/>
  <c r="D382" i="4"/>
  <c r="D381" i="4"/>
  <c r="D380" i="4"/>
  <c r="D379" i="4"/>
  <c r="D378" i="4"/>
  <c r="D377" i="4"/>
  <c r="D376" i="4"/>
  <c r="D375" i="4"/>
  <c r="D374" i="4"/>
  <c r="D373" i="4"/>
  <c r="D372" i="4"/>
  <c r="D371" i="4"/>
  <c r="D370" i="4"/>
  <c r="D369" i="4"/>
  <c r="D368" i="4"/>
  <c r="D367" i="4"/>
  <c r="D366" i="4"/>
  <c r="D365" i="4"/>
  <c r="D364" i="4"/>
  <c r="D363" i="4"/>
  <c r="D362" i="4"/>
  <c r="D361" i="4"/>
  <c r="D360" i="4"/>
  <c r="D359" i="4"/>
  <c r="D358" i="4"/>
  <c r="D357" i="4"/>
  <c r="D356" i="4"/>
  <c r="D355" i="4"/>
  <c r="D354" i="4"/>
  <c r="D353" i="4"/>
  <c r="D352" i="4"/>
  <c r="D351" i="4"/>
  <c r="D350" i="4"/>
  <c r="D349" i="4"/>
  <c r="D348" i="4"/>
  <c r="D347" i="4"/>
  <c r="D346" i="4"/>
  <c r="D345" i="4"/>
  <c r="D344" i="4"/>
  <c r="D343" i="4"/>
  <c r="D342" i="4"/>
  <c r="D341" i="4"/>
  <c r="D340" i="4"/>
  <c r="D339" i="4"/>
  <c r="D338" i="4"/>
  <c r="D337" i="4"/>
  <c r="D336" i="4"/>
  <c r="D335" i="4"/>
  <c r="D334" i="4"/>
  <c r="D333" i="4"/>
  <c r="D332" i="4"/>
  <c r="D331" i="4"/>
  <c r="D330" i="4"/>
  <c r="D329" i="4"/>
  <c r="D328" i="4"/>
  <c r="D327" i="4"/>
  <c r="D326" i="4"/>
  <c r="D325" i="4"/>
  <c r="D324" i="4"/>
  <c r="D323" i="4"/>
  <c r="D322" i="4"/>
  <c r="D321" i="4"/>
  <c r="D320" i="4"/>
  <c r="D319" i="4"/>
  <c r="D318" i="4"/>
  <c r="D317" i="4"/>
  <c r="D316" i="4"/>
  <c r="D315" i="4"/>
  <c r="D314" i="4"/>
  <c r="D313" i="4"/>
  <c r="D312" i="4"/>
  <c r="D311" i="4"/>
  <c r="D310" i="4"/>
  <c r="D309" i="4"/>
  <c r="D308" i="4"/>
  <c r="D307" i="4"/>
  <c r="D306" i="4"/>
  <c r="D305" i="4"/>
  <c r="D304" i="4"/>
  <c r="D303" i="4"/>
  <c r="D302" i="4"/>
  <c r="D301" i="4"/>
  <c r="D300" i="4"/>
  <c r="D299" i="4"/>
  <c r="D298" i="4"/>
  <c r="D297" i="4"/>
  <c r="D296" i="4"/>
  <c r="D295" i="4"/>
  <c r="D294" i="4"/>
  <c r="D293" i="4"/>
  <c r="D292" i="4"/>
  <c r="D291" i="4"/>
  <c r="D290" i="4"/>
  <c r="D289" i="4"/>
  <c r="D288" i="4"/>
  <c r="D287" i="4"/>
  <c r="D286" i="4"/>
  <c r="D285" i="4"/>
  <c r="D284" i="4"/>
  <c r="D283" i="4"/>
  <c r="D282" i="4"/>
  <c r="D281" i="4"/>
  <c r="D280" i="4"/>
  <c r="D279" i="4"/>
  <c r="D278" i="4"/>
  <c r="D277" i="4"/>
  <c r="D276" i="4"/>
  <c r="D275" i="4"/>
  <c r="D274" i="4"/>
  <c r="D273" i="4"/>
  <c r="D272" i="4"/>
  <c r="D271" i="4"/>
  <c r="D270" i="4"/>
  <c r="D269" i="4"/>
  <c r="D268" i="4"/>
  <c r="D267" i="4"/>
  <c r="D266" i="4"/>
  <c r="D265" i="4"/>
  <c r="D264" i="4"/>
  <c r="D263" i="4"/>
  <c r="D262" i="4"/>
  <c r="D261" i="4"/>
  <c r="D260" i="4"/>
  <c r="D259" i="4"/>
  <c r="D258" i="4"/>
  <c r="D257" i="4"/>
  <c r="D256" i="4"/>
  <c r="D255" i="4"/>
  <c r="D254" i="4"/>
  <c r="D253" i="4"/>
  <c r="D252" i="4"/>
  <c r="D251" i="4"/>
  <c r="D250" i="4"/>
  <c r="D249" i="4"/>
  <c r="D248" i="4"/>
  <c r="D247" i="4"/>
  <c r="D246" i="4"/>
  <c r="D245" i="4"/>
  <c r="D244" i="4"/>
  <c r="D243" i="4"/>
  <c r="D242" i="4"/>
  <c r="D241" i="4"/>
  <c r="D240" i="4"/>
  <c r="D239" i="4"/>
  <c r="D238" i="4"/>
  <c r="D237" i="4"/>
  <c r="D236" i="4"/>
  <c r="D235" i="4"/>
  <c r="D234" i="4"/>
  <c r="D233" i="4"/>
  <c r="D232" i="4"/>
  <c r="D231" i="4"/>
  <c r="D230" i="4"/>
  <c r="D229" i="4"/>
  <c r="D228" i="4"/>
  <c r="D227" i="4"/>
  <c r="D226" i="4"/>
  <c r="D225" i="4"/>
  <c r="D224" i="4"/>
  <c r="D223" i="4"/>
  <c r="D222" i="4"/>
  <c r="D221" i="4"/>
  <c r="D220" i="4"/>
  <c r="D219" i="4"/>
  <c r="D218" i="4"/>
  <c r="D217" i="4"/>
  <c r="D216" i="4"/>
  <c r="D215" i="4"/>
  <c r="D214" i="4"/>
  <c r="D213" i="4"/>
  <c r="D212" i="4"/>
  <c r="D211" i="4"/>
  <c r="D210" i="4"/>
  <c r="D209" i="4"/>
  <c r="D208" i="4"/>
  <c r="D207" i="4"/>
  <c r="D206" i="4"/>
  <c r="D205" i="4"/>
  <c r="D204" i="4"/>
  <c r="D203" i="4"/>
  <c r="D202" i="4"/>
  <c r="D201" i="4"/>
  <c r="D200" i="4"/>
  <c r="D199" i="4"/>
  <c r="D198" i="4"/>
  <c r="D197" i="4"/>
  <c r="D196" i="4"/>
  <c r="D195" i="4"/>
  <c r="D194" i="4"/>
  <c r="D193" i="4"/>
  <c r="D192" i="4"/>
  <c r="D191" i="4"/>
  <c r="D190" i="4"/>
  <c r="D189" i="4"/>
  <c r="D188" i="4"/>
  <c r="D187" i="4"/>
  <c r="D186" i="4"/>
  <c r="D185" i="4"/>
  <c r="D184" i="4"/>
  <c r="D183" i="4"/>
  <c r="D182" i="4"/>
  <c r="D181" i="4"/>
  <c r="D180" i="4"/>
  <c r="D179" i="4"/>
  <c r="D178" i="4"/>
  <c r="D177" i="4"/>
  <c r="D176" i="4"/>
  <c r="D175" i="4"/>
  <c r="D174" i="4"/>
  <c r="D173" i="4"/>
  <c r="D172" i="4"/>
  <c r="D171" i="4"/>
  <c r="D170" i="4"/>
  <c r="D169" i="4"/>
  <c r="D168" i="4"/>
  <c r="D167" i="4"/>
  <c r="D166" i="4"/>
  <c r="D165" i="4"/>
  <c r="D164" i="4"/>
  <c r="D163" i="4"/>
  <c r="D162" i="4"/>
  <c r="D161" i="4"/>
  <c r="D160" i="4"/>
  <c r="D159" i="4"/>
  <c r="D158" i="4"/>
  <c r="D157" i="4"/>
  <c r="D156" i="4"/>
  <c r="D155" i="4"/>
  <c r="D154" i="4"/>
  <c r="D153" i="4"/>
  <c r="D152" i="4"/>
  <c r="D151" i="4"/>
  <c r="D150" i="4"/>
  <c r="D149" i="4"/>
  <c r="D148" i="4"/>
  <c r="D147" i="4"/>
  <c r="D146" i="4"/>
  <c r="D145" i="4"/>
  <c r="D144" i="4"/>
  <c r="D143" i="4"/>
  <c r="D142" i="4"/>
  <c r="D141" i="4"/>
  <c r="D140" i="4"/>
  <c r="D139" i="4"/>
  <c r="D138" i="4"/>
  <c r="D137" i="4"/>
  <c r="D136" i="4"/>
  <c r="D135" i="4"/>
  <c r="D134" i="4"/>
  <c r="D133" i="4"/>
  <c r="D132" i="4"/>
  <c r="D131" i="4"/>
  <c r="D130" i="4"/>
  <c r="D129" i="4"/>
  <c r="D128" i="4"/>
  <c r="D127" i="4"/>
  <c r="D126" i="4"/>
  <c r="D125" i="4"/>
  <c r="D124" i="4"/>
  <c r="D123" i="4"/>
  <c r="D122" i="4"/>
  <c r="D121" i="4"/>
  <c r="D120" i="4"/>
  <c r="D119" i="4"/>
  <c r="D118" i="4"/>
  <c r="D117" i="4"/>
  <c r="D116" i="4"/>
  <c r="D115" i="4"/>
  <c r="D114" i="4"/>
  <c r="D113" i="4"/>
  <c r="D112" i="4"/>
  <c r="D111" i="4"/>
  <c r="D110" i="4"/>
  <c r="D109" i="4"/>
  <c r="D108" i="4"/>
  <c r="D107" i="4"/>
  <c r="D106" i="4"/>
  <c r="D105" i="4"/>
  <c r="D104" i="4"/>
  <c r="D103" i="4"/>
  <c r="D102" i="4"/>
  <c r="D101" i="4"/>
  <c r="D100" i="4"/>
  <c r="D99" i="4"/>
  <c r="D98" i="4"/>
  <c r="D97" i="4"/>
  <c r="D96" i="4"/>
  <c r="D95" i="4"/>
  <c r="D94" i="4"/>
  <c r="D93" i="4"/>
  <c r="D92" i="4"/>
  <c r="D91" i="4"/>
  <c r="D90" i="4"/>
  <c r="D89" i="4"/>
  <c r="D88" i="4"/>
  <c r="D87" i="4"/>
  <c r="D86" i="4"/>
  <c r="D85" i="4"/>
  <c r="D84" i="4"/>
  <c r="D83" i="4"/>
  <c r="D82" i="4"/>
  <c r="D81" i="4"/>
  <c r="D80" i="4"/>
  <c r="D79" i="4"/>
  <c r="D78" i="4"/>
  <c r="D77" i="4"/>
  <c r="D76" i="4"/>
  <c r="D75" i="4"/>
  <c r="D74" i="4"/>
  <c r="D73" i="4"/>
  <c r="D72" i="4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D2" i="4"/>
  <c r="C918" i="4"/>
  <c r="B918" i="4"/>
  <c r="A918" i="4"/>
  <c r="C917" i="4"/>
  <c r="B917" i="4"/>
  <c r="A917" i="4"/>
  <c r="C916" i="4"/>
  <c r="B916" i="4"/>
  <c r="A916" i="4"/>
  <c r="C915" i="4"/>
  <c r="B915" i="4"/>
  <c r="A915" i="4"/>
  <c r="C914" i="4"/>
  <c r="B914" i="4"/>
  <c r="A914" i="4"/>
  <c r="C913" i="4"/>
  <c r="B913" i="4"/>
  <c r="A913" i="4"/>
  <c r="C912" i="4"/>
  <c r="B912" i="4"/>
  <c r="A912" i="4"/>
  <c r="C911" i="4"/>
  <c r="B911" i="4"/>
  <c r="A911" i="4"/>
  <c r="C910" i="4"/>
  <c r="B910" i="4"/>
  <c r="A910" i="4"/>
  <c r="C909" i="4"/>
  <c r="B909" i="4"/>
  <c r="A909" i="4"/>
  <c r="C908" i="4"/>
  <c r="B908" i="4"/>
  <c r="A908" i="4"/>
  <c r="C907" i="4"/>
  <c r="B907" i="4"/>
  <c r="A907" i="4"/>
  <c r="C906" i="4"/>
  <c r="B906" i="4"/>
  <c r="A906" i="4"/>
  <c r="C905" i="4"/>
  <c r="B905" i="4"/>
  <c r="A905" i="4"/>
  <c r="C904" i="4"/>
  <c r="B904" i="4"/>
  <c r="A904" i="4"/>
  <c r="C903" i="4"/>
  <c r="B903" i="4"/>
  <c r="A903" i="4"/>
  <c r="C902" i="4"/>
  <c r="B902" i="4"/>
  <c r="A902" i="4"/>
  <c r="C901" i="4"/>
  <c r="B901" i="4"/>
  <c r="A901" i="4"/>
  <c r="C900" i="4"/>
  <c r="B900" i="4"/>
  <c r="A900" i="4"/>
  <c r="C899" i="4"/>
  <c r="B899" i="4"/>
  <c r="A899" i="4"/>
  <c r="C898" i="4"/>
  <c r="B898" i="4"/>
  <c r="A898" i="4"/>
  <c r="C897" i="4"/>
  <c r="B897" i="4"/>
  <c r="A897" i="4"/>
  <c r="C896" i="4"/>
  <c r="B896" i="4"/>
  <c r="A896" i="4"/>
  <c r="C895" i="4"/>
  <c r="B895" i="4"/>
  <c r="A895" i="4"/>
  <c r="C894" i="4"/>
  <c r="B894" i="4"/>
  <c r="A894" i="4"/>
  <c r="C893" i="4"/>
  <c r="B893" i="4"/>
  <c r="A893" i="4"/>
  <c r="C892" i="4"/>
  <c r="B892" i="4"/>
  <c r="A892" i="4"/>
  <c r="C891" i="4"/>
  <c r="B891" i="4"/>
  <c r="A891" i="4"/>
  <c r="C890" i="4"/>
  <c r="B890" i="4"/>
  <c r="A890" i="4"/>
  <c r="C889" i="4"/>
  <c r="B889" i="4"/>
  <c r="A889" i="4"/>
  <c r="C888" i="4"/>
  <c r="B888" i="4"/>
  <c r="A888" i="4"/>
  <c r="C887" i="4"/>
  <c r="B887" i="4"/>
  <c r="A887" i="4"/>
  <c r="C886" i="4"/>
  <c r="B886" i="4"/>
  <c r="A886" i="4"/>
  <c r="C885" i="4"/>
  <c r="B885" i="4"/>
  <c r="A885" i="4"/>
  <c r="C884" i="4"/>
  <c r="B884" i="4"/>
  <c r="A884" i="4"/>
  <c r="C883" i="4"/>
  <c r="B883" i="4"/>
  <c r="A883" i="4"/>
  <c r="C882" i="4"/>
  <c r="B882" i="4"/>
  <c r="A882" i="4"/>
  <c r="C881" i="4"/>
  <c r="B881" i="4"/>
  <c r="A881" i="4"/>
  <c r="C880" i="4"/>
  <c r="B880" i="4"/>
  <c r="A880" i="4"/>
  <c r="C879" i="4"/>
  <c r="B879" i="4"/>
  <c r="A879" i="4"/>
  <c r="C878" i="4"/>
  <c r="B878" i="4"/>
  <c r="A878" i="4"/>
  <c r="C877" i="4"/>
  <c r="B877" i="4"/>
  <c r="A877" i="4"/>
  <c r="C876" i="4"/>
  <c r="B876" i="4"/>
  <c r="A876" i="4"/>
  <c r="C875" i="4"/>
  <c r="B875" i="4"/>
  <c r="A875" i="4"/>
  <c r="C874" i="4"/>
  <c r="B874" i="4"/>
  <c r="A874" i="4"/>
  <c r="C873" i="4"/>
  <c r="B873" i="4"/>
  <c r="A873" i="4"/>
  <c r="C872" i="4"/>
  <c r="B872" i="4"/>
  <c r="A872" i="4"/>
  <c r="C871" i="4"/>
  <c r="B871" i="4"/>
  <c r="A871" i="4"/>
  <c r="C870" i="4"/>
  <c r="B870" i="4"/>
  <c r="A870" i="4"/>
  <c r="C869" i="4"/>
  <c r="B869" i="4"/>
  <c r="A869" i="4"/>
  <c r="C868" i="4"/>
  <c r="B868" i="4"/>
  <c r="A868" i="4"/>
  <c r="C867" i="4"/>
  <c r="B867" i="4"/>
  <c r="A867" i="4"/>
  <c r="C866" i="4"/>
  <c r="B866" i="4"/>
  <c r="A866" i="4"/>
  <c r="C865" i="4"/>
  <c r="B865" i="4"/>
  <c r="A865" i="4"/>
  <c r="C864" i="4"/>
  <c r="B864" i="4"/>
  <c r="A864" i="4"/>
  <c r="C863" i="4"/>
  <c r="B863" i="4"/>
  <c r="A863" i="4"/>
  <c r="C862" i="4"/>
  <c r="B862" i="4"/>
  <c r="A862" i="4"/>
  <c r="C861" i="4"/>
  <c r="B861" i="4"/>
  <c r="A861" i="4"/>
  <c r="C860" i="4"/>
  <c r="B860" i="4"/>
  <c r="A860" i="4"/>
  <c r="C859" i="4"/>
  <c r="B859" i="4"/>
  <c r="A859" i="4"/>
  <c r="C858" i="4"/>
  <c r="B858" i="4"/>
  <c r="A858" i="4"/>
  <c r="C857" i="4"/>
  <c r="B857" i="4"/>
  <c r="A857" i="4"/>
  <c r="C856" i="4"/>
  <c r="B856" i="4"/>
  <c r="A856" i="4"/>
  <c r="C855" i="4"/>
  <c r="B855" i="4"/>
  <c r="A855" i="4"/>
  <c r="C854" i="4"/>
  <c r="B854" i="4"/>
  <c r="A854" i="4"/>
  <c r="C853" i="4"/>
  <c r="B853" i="4"/>
  <c r="A853" i="4"/>
  <c r="C852" i="4"/>
  <c r="B852" i="4"/>
  <c r="A852" i="4"/>
  <c r="C851" i="4"/>
  <c r="B851" i="4"/>
  <c r="A851" i="4"/>
  <c r="C850" i="4"/>
  <c r="B850" i="4"/>
  <c r="A850" i="4"/>
  <c r="C849" i="4"/>
  <c r="B849" i="4"/>
  <c r="A849" i="4"/>
  <c r="C848" i="4"/>
  <c r="B848" i="4"/>
  <c r="A848" i="4"/>
  <c r="C847" i="4"/>
  <c r="B847" i="4"/>
  <c r="A847" i="4"/>
  <c r="C846" i="4"/>
  <c r="B846" i="4"/>
  <c r="A846" i="4"/>
  <c r="C845" i="4"/>
  <c r="B845" i="4"/>
  <c r="A845" i="4"/>
  <c r="C844" i="4"/>
  <c r="B844" i="4"/>
  <c r="A844" i="4"/>
  <c r="C843" i="4"/>
  <c r="B843" i="4"/>
  <c r="A843" i="4"/>
  <c r="C842" i="4"/>
  <c r="B842" i="4"/>
  <c r="A842" i="4"/>
  <c r="C841" i="4"/>
  <c r="B841" i="4"/>
  <c r="A841" i="4"/>
  <c r="C840" i="4"/>
  <c r="B840" i="4"/>
  <c r="A840" i="4"/>
  <c r="C839" i="4"/>
  <c r="B839" i="4"/>
  <c r="A839" i="4"/>
  <c r="C838" i="4"/>
  <c r="B838" i="4"/>
  <c r="A838" i="4"/>
  <c r="C837" i="4"/>
  <c r="B837" i="4"/>
  <c r="A837" i="4"/>
  <c r="C836" i="4"/>
  <c r="B836" i="4"/>
  <c r="A836" i="4"/>
  <c r="C835" i="4"/>
  <c r="B835" i="4"/>
  <c r="A835" i="4"/>
  <c r="C834" i="4"/>
  <c r="B834" i="4"/>
  <c r="A834" i="4"/>
  <c r="C833" i="4"/>
  <c r="B833" i="4"/>
  <c r="A833" i="4"/>
  <c r="C832" i="4"/>
  <c r="B832" i="4"/>
  <c r="A832" i="4"/>
  <c r="C831" i="4"/>
  <c r="B831" i="4"/>
  <c r="A831" i="4"/>
  <c r="C830" i="4"/>
  <c r="B830" i="4"/>
  <c r="A830" i="4"/>
  <c r="C829" i="4"/>
  <c r="B829" i="4"/>
  <c r="A829" i="4"/>
  <c r="C828" i="4"/>
  <c r="B828" i="4"/>
  <c r="A828" i="4"/>
  <c r="C827" i="4"/>
  <c r="B827" i="4"/>
  <c r="A827" i="4"/>
  <c r="C826" i="4"/>
  <c r="B826" i="4"/>
  <c r="A826" i="4"/>
  <c r="C825" i="4"/>
  <c r="B825" i="4"/>
  <c r="A825" i="4"/>
  <c r="C824" i="4"/>
  <c r="B824" i="4"/>
  <c r="A824" i="4"/>
  <c r="C823" i="4"/>
  <c r="B823" i="4"/>
  <c r="A823" i="4"/>
  <c r="C822" i="4"/>
  <c r="B822" i="4"/>
  <c r="A822" i="4"/>
  <c r="C821" i="4"/>
  <c r="B821" i="4"/>
  <c r="A821" i="4"/>
  <c r="C820" i="4"/>
  <c r="B820" i="4"/>
  <c r="A820" i="4"/>
  <c r="C819" i="4"/>
  <c r="B819" i="4"/>
  <c r="A819" i="4"/>
  <c r="C818" i="4"/>
  <c r="B818" i="4"/>
  <c r="A818" i="4"/>
  <c r="C817" i="4"/>
  <c r="B817" i="4"/>
  <c r="A817" i="4"/>
  <c r="C816" i="4"/>
  <c r="B816" i="4"/>
  <c r="A816" i="4"/>
  <c r="C815" i="4"/>
  <c r="B815" i="4"/>
  <c r="A815" i="4"/>
  <c r="C814" i="4"/>
  <c r="B814" i="4"/>
  <c r="A814" i="4"/>
  <c r="C813" i="4"/>
  <c r="B813" i="4"/>
  <c r="A813" i="4"/>
  <c r="C812" i="4"/>
  <c r="B812" i="4"/>
  <c r="A812" i="4"/>
  <c r="C811" i="4"/>
  <c r="B811" i="4"/>
  <c r="A811" i="4"/>
  <c r="C810" i="4"/>
  <c r="B810" i="4"/>
  <c r="A810" i="4"/>
  <c r="C809" i="4"/>
  <c r="B809" i="4"/>
  <c r="A809" i="4"/>
  <c r="C808" i="4"/>
  <c r="B808" i="4"/>
  <c r="A808" i="4"/>
  <c r="C807" i="4"/>
  <c r="B807" i="4"/>
  <c r="A807" i="4"/>
  <c r="C806" i="4"/>
  <c r="B806" i="4"/>
  <c r="A806" i="4"/>
  <c r="C805" i="4"/>
  <c r="B805" i="4"/>
  <c r="A805" i="4"/>
  <c r="C804" i="4"/>
  <c r="B804" i="4"/>
  <c r="A804" i="4"/>
  <c r="C803" i="4"/>
  <c r="B803" i="4"/>
  <c r="A803" i="4"/>
  <c r="C802" i="4"/>
  <c r="B802" i="4"/>
  <c r="A802" i="4"/>
  <c r="C801" i="4"/>
  <c r="B801" i="4"/>
  <c r="A801" i="4"/>
  <c r="C800" i="4"/>
  <c r="B800" i="4"/>
  <c r="A800" i="4"/>
  <c r="C799" i="4"/>
  <c r="B799" i="4"/>
  <c r="A799" i="4"/>
  <c r="C798" i="4"/>
  <c r="B798" i="4"/>
  <c r="A798" i="4"/>
  <c r="C797" i="4"/>
  <c r="B797" i="4"/>
  <c r="A797" i="4"/>
  <c r="C796" i="4"/>
  <c r="B796" i="4"/>
  <c r="A796" i="4"/>
  <c r="C795" i="4"/>
  <c r="B795" i="4"/>
  <c r="A795" i="4"/>
  <c r="C794" i="4"/>
  <c r="B794" i="4"/>
  <c r="A794" i="4"/>
  <c r="C793" i="4"/>
  <c r="B793" i="4"/>
  <c r="A793" i="4"/>
  <c r="C792" i="4"/>
  <c r="B792" i="4"/>
  <c r="A792" i="4"/>
  <c r="C791" i="4"/>
  <c r="B791" i="4"/>
  <c r="A791" i="4"/>
  <c r="C790" i="4"/>
  <c r="B790" i="4"/>
  <c r="A790" i="4"/>
  <c r="C789" i="4"/>
  <c r="B789" i="4"/>
  <c r="A789" i="4"/>
  <c r="C788" i="4"/>
  <c r="B788" i="4"/>
  <c r="A788" i="4"/>
  <c r="C787" i="4"/>
  <c r="B787" i="4"/>
  <c r="A787" i="4"/>
  <c r="C786" i="4"/>
  <c r="B786" i="4"/>
  <c r="A786" i="4"/>
  <c r="C785" i="4"/>
  <c r="B785" i="4"/>
  <c r="A785" i="4"/>
  <c r="C784" i="4"/>
  <c r="B784" i="4"/>
  <c r="A784" i="4"/>
  <c r="C783" i="4"/>
  <c r="B783" i="4"/>
  <c r="A783" i="4"/>
  <c r="C782" i="4"/>
  <c r="B782" i="4"/>
  <c r="A782" i="4"/>
  <c r="C781" i="4"/>
  <c r="B781" i="4"/>
  <c r="A781" i="4"/>
  <c r="C780" i="4"/>
  <c r="B780" i="4"/>
  <c r="A780" i="4"/>
  <c r="C779" i="4"/>
  <c r="B779" i="4"/>
  <c r="A779" i="4"/>
  <c r="C778" i="4"/>
  <c r="B778" i="4"/>
  <c r="A778" i="4"/>
  <c r="C777" i="4"/>
  <c r="B777" i="4"/>
  <c r="A777" i="4"/>
  <c r="C776" i="4"/>
  <c r="B776" i="4"/>
  <c r="A776" i="4"/>
  <c r="C775" i="4"/>
  <c r="B775" i="4"/>
  <c r="A775" i="4"/>
  <c r="C774" i="4"/>
  <c r="B774" i="4"/>
  <c r="A774" i="4"/>
  <c r="C773" i="4"/>
  <c r="B773" i="4"/>
  <c r="A773" i="4"/>
  <c r="C772" i="4"/>
  <c r="B772" i="4"/>
  <c r="A772" i="4"/>
  <c r="C771" i="4"/>
  <c r="B771" i="4"/>
  <c r="A771" i="4"/>
  <c r="C770" i="4"/>
  <c r="B770" i="4"/>
  <c r="A770" i="4"/>
  <c r="C769" i="4"/>
  <c r="B769" i="4"/>
  <c r="A769" i="4"/>
  <c r="C768" i="4"/>
  <c r="B768" i="4"/>
  <c r="A768" i="4"/>
  <c r="C767" i="4"/>
  <c r="B767" i="4"/>
  <c r="A767" i="4"/>
  <c r="C766" i="4"/>
  <c r="B766" i="4"/>
  <c r="A766" i="4"/>
  <c r="C765" i="4"/>
  <c r="B765" i="4"/>
  <c r="A765" i="4"/>
  <c r="C764" i="4"/>
  <c r="B764" i="4"/>
  <c r="A764" i="4"/>
  <c r="C763" i="4"/>
  <c r="B763" i="4"/>
  <c r="A763" i="4"/>
  <c r="C762" i="4"/>
  <c r="B762" i="4"/>
  <c r="A762" i="4"/>
  <c r="C761" i="4"/>
  <c r="B761" i="4"/>
  <c r="A761" i="4"/>
  <c r="C760" i="4"/>
  <c r="B760" i="4"/>
  <c r="A760" i="4"/>
  <c r="C759" i="4"/>
  <c r="B759" i="4"/>
  <c r="A759" i="4"/>
  <c r="C758" i="4"/>
  <c r="B758" i="4"/>
  <c r="A758" i="4"/>
  <c r="C757" i="4"/>
  <c r="B757" i="4"/>
  <c r="A757" i="4"/>
  <c r="C756" i="4"/>
  <c r="B756" i="4"/>
  <c r="A756" i="4"/>
  <c r="C755" i="4"/>
  <c r="B755" i="4"/>
  <c r="A755" i="4"/>
  <c r="C754" i="4"/>
  <c r="B754" i="4"/>
  <c r="A754" i="4"/>
  <c r="C753" i="4"/>
  <c r="B753" i="4"/>
  <c r="A753" i="4"/>
  <c r="C752" i="4"/>
  <c r="B752" i="4"/>
  <c r="A752" i="4"/>
  <c r="C751" i="4"/>
  <c r="B751" i="4"/>
  <c r="A751" i="4"/>
  <c r="C750" i="4"/>
  <c r="B750" i="4"/>
  <c r="A750" i="4"/>
  <c r="C749" i="4"/>
  <c r="B749" i="4"/>
  <c r="A749" i="4"/>
  <c r="C748" i="4"/>
  <c r="B748" i="4"/>
  <c r="A748" i="4"/>
  <c r="C747" i="4"/>
  <c r="B747" i="4"/>
  <c r="A747" i="4"/>
  <c r="C746" i="4"/>
  <c r="B746" i="4"/>
  <c r="A746" i="4"/>
  <c r="C745" i="4"/>
  <c r="B745" i="4"/>
  <c r="A745" i="4"/>
  <c r="C744" i="4"/>
  <c r="B744" i="4"/>
  <c r="A744" i="4"/>
  <c r="C743" i="4"/>
  <c r="B743" i="4"/>
  <c r="A743" i="4"/>
  <c r="C742" i="4"/>
  <c r="B742" i="4"/>
  <c r="A742" i="4"/>
  <c r="C741" i="4"/>
  <c r="B741" i="4"/>
  <c r="A741" i="4"/>
  <c r="C740" i="4"/>
  <c r="B740" i="4"/>
  <c r="A740" i="4"/>
  <c r="C739" i="4"/>
  <c r="B739" i="4"/>
  <c r="A739" i="4"/>
  <c r="C738" i="4"/>
  <c r="B738" i="4"/>
  <c r="A738" i="4"/>
  <c r="C737" i="4"/>
  <c r="B737" i="4"/>
  <c r="A737" i="4"/>
  <c r="C736" i="4"/>
  <c r="B736" i="4"/>
  <c r="A736" i="4"/>
  <c r="C735" i="4"/>
  <c r="B735" i="4"/>
  <c r="A735" i="4"/>
  <c r="C734" i="4"/>
  <c r="B734" i="4"/>
  <c r="A734" i="4"/>
  <c r="C733" i="4"/>
  <c r="B733" i="4"/>
  <c r="A733" i="4"/>
  <c r="C732" i="4"/>
  <c r="B732" i="4"/>
  <c r="A732" i="4"/>
  <c r="C731" i="4"/>
  <c r="B731" i="4"/>
  <c r="A731" i="4"/>
  <c r="C730" i="4"/>
  <c r="B730" i="4"/>
  <c r="A730" i="4"/>
  <c r="C729" i="4"/>
  <c r="B729" i="4"/>
  <c r="A729" i="4"/>
  <c r="C728" i="4"/>
  <c r="B728" i="4"/>
  <c r="A728" i="4"/>
  <c r="C727" i="4"/>
  <c r="B727" i="4"/>
  <c r="A727" i="4"/>
  <c r="C726" i="4"/>
  <c r="B726" i="4"/>
  <c r="A726" i="4"/>
  <c r="C725" i="4"/>
  <c r="B725" i="4"/>
  <c r="A725" i="4"/>
  <c r="C724" i="4"/>
  <c r="B724" i="4"/>
  <c r="A724" i="4"/>
  <c r="C723" i="4"/>
  <c r="B723" i="4"/>
  <c r="A723" i="4"/>
  <c r="C722" i="4"/>
  <c r="B722" i="4"/>
  <c r="A722" i="4"/>
  <c r="C721" i="4"/>
  <c r="B721" i="4"/>
  <c r="A721" i="4"/>
  <c r="C720" i="4"/>
  <c r="B720" i="4"/>
  <c r="A720" i="4"/>
  <c r="C719" i="4"/>
  <c r="B719" i="4"/>
  <c r="A719" i="4"/>
  <c r="C718" i="4"/>
  <c r="B718" i="4"/>
  <c r="A718" i="4"/>
  <c r="C717" i="4"/>
  <c r="B717" i="4"/>
  <c r="A717" i="4"/>
  <c r="C716" i="4"/>
  <c r="B716" i="4"/>
  <c r="A716" i="4"/>
  <c r="C715" i="4"/>
  <c r="B715" i="4"/>
  <c r="A715" i="4"/>
  <c r="C714" i="4"/>
  <c r="B714" i="4"/>
  <c r="A714" i="4"/>
  <c r="C713" i="4"/>
  <c r="B713" i="4"/>
  <c r="A713" i="4"/>
  <c r="C712" i="4"/>
  <c r="B712" i="4"/>
  <c r="A712" i="4"/>
  <c r="C711" i="4"/>
  <c r="B711" i="4"/>
  <c r="A711" i="4"/>
  <c r="C710" i="4"/>
  <c r="B710" i="4"/>
  <c r="A710" i="4"/>
  <c r="C709" i="4"/>
  <c r="B709" i="4"/>
  <c r="A709" i="4"/>
  <c r="C708" i="4"/>
  <c r="B708" i="4"/>
  <c r="A708" i="4"/>
  <c r="C707" i="4"/>
  <c r="B707" i="4"/>
  <c r="A707" i="4"/>
  <c r="C706" i="4"/>
  <c r="B706" i="4"/>
  <c r="A706" i="4"/>
  <c r="C705" i="4"/>
  <c r="B705" i="4"/>
  <c r="A705" i="4"/>
  <c r="C704" i="4"/>
  <c r="B704" i="4"/>
  <c r="A704" i="4"/>
  <c r="C703" i="4"/>
  <c r="B703" i="4"/>
  <c r="A703" i="4"/>
  <c r="C702" i="4"/>
  <c r="B702" i="4"/>
  <c r="A702" i="4"/>
  <c r="C701" i="4"/>
  <c r="B701" i="4"/>
  <c r="A701" i="4"/>
  <c r="C700" i="4"/>
  <c r="B700" i="4"/>
  <c r="A700" i="4"/>
  <c r="C699" i="4"/>
  <c r="B699" i="4"/>
  <c r="A699" i="4"/>
  <c r="C698" i="4"/>
  <c r="B698" i="4"/>
  <c r="A698" i="4"/>
  <c r="C697" i="4"/>
  <c r="B697" i="4"/>
  <c r="A697" i="4"/>
  <c r="C696" i="4"/>
  <c r="B696" i="4"/>
  <c r="A696" i="4"/>
  <c r="C695" i="4"/>
  <c r="B695" i="4"/>
  <c r="A695" i="4"/>
  <c r="C694" i="4"/>
  <c r="B694" i="4"/>
  <c r="A694" i="4"/>
  <c r="C693" i="4"/>
  <c r="B693" i="4"/>
  <c r="A693" i="4"/>
  <c r="C692" i="4"/>
  <c r="B692" i="4"/>
  <c r="A692" i="4"/>
  <c r="C691" i="4"/>
  <c r="B691" i="4"/>
  <c r="A691" i="4"/>
  <c r="C690" i="4"/>
  <c r="B690" i="4"/>
  <c r="A690" i="4"/>
  <c r="C689" i="4"/>
  <c r="B689" i="4"/>
  <c r="A689" i="4"/>
  <c r="C688" i="4"/>
  <c r="B688" i="4"/>
  <c r="A688" i="4"/>
  <c r="C687" i="4"/>
  <c r="B687" i="4"/>
  <c r="A687" i="4"/>
  <c r="C686" i="4"/>
  <c r="B686" i="4"/>
  <c r="A686" i="4"/>
  <c r="C685" i="4"/>
  <c r="B685" i="4"/>
  <c r="A685" i="4"/>
  <c r="C684" i="4"/>
  <c r="B684" i="4"/>
  <c r="A684" i="4"/>
  <c r="C683" i="4"/>
  <c r="B683" i="4"/>
  <c r="A683" i="4"/>
  <c r="C682" i="4"/>
  <c r="B682" i="4"/>
  <c r="A682" i="4"/>
  <c r="C681" i="4"/>
  <c r="B681" i="4"/>
  <c r="A681" i="4"/>
  <c r="C680" i="4"/>
  <c r="B680" i="4"/>
  <c r="A680" i="4"/>
  <c r="C679" i="4"/>
  <c r="B679" i="4"/>
  <c r="A679" i="4"/>
  <c r="C678" i="4"/>
  <c r="B678" i="4"/>
  <c r="A678" i="4"/>
  <c r="C677" i="4"/>
  <c r="B677" i="4"/>
  <c r="A677" i="4"/>
  <c r="C676" i="4"/>
  <c r="B676" i="4"/>
  <c r="A676" i="4"/>
  <c r="C675" i="4"/>
  <c r="B675" i="4"/>
  <c r="A675" i="4"/>
  <c r="C674" i="4"/>
  <c r="B674" i="4"/>
  <c r="A674" i="4"/>
  <c r="C673" i="4"/>
  <c r="B673" i="4"/>
  <c r="A673" i="4"/>
  <c r="C672" i="4"/>
  <c r="B672" i="4"/>
  <c r="A672" i="4"/>
  <c r="C671" i="4"/>
  <c r="B671" i="4"/>
  <c r="A671" i="4"/>
  <c r="C670" i="4"/>
  <c r="B670" i="4"/>
  <c r="A670" i="4"/>
  <c r="C669" i="4"/>
  <c r="B669" i="4"/>
  <c r="A669" i="4"/>
  <c r="C668" i="4"/>
  <c r="B668" i="4"/>
  <c r="A668" i="4"/>
  <c r="C667" i="4"/>
  <c r="B667" i="4"/>
  <c r="A667" i="4"/>
  <c r="C666" i="4"/>
  <c r="B666" i="4"/>
  <c r="A666" i="4"/>
  <c r="C665" i="4"/>
  <c r="B665" i="4"/>
  <c r="A665" i="4"/>
  <c r="C664" i="4"/>
  <c r="B664" i="4"/>
  <c r="A664" i="4"/>
  <c r="C663" i="4"/>
  <c r="B663" i="4"/>
  <c r="A663" i="4"/>
  <c r="C662" i="4"/>
  <c r="B662" i="4"/>
  <c r="A662" i="4"/>
  <c r="C661" i="4"/>
  <c r="B661" i="4"/>
  <c r="A661" i="4"/>
  <c r="C660" i="4"/>
  <c r="B660" i="4"/>
  <c r="A660" i="4"/>
  <c r="C659" i="4"/>
  <c r="B659" i="4"/>
  <c r="A659" i="4"/>
  <c r="C658" i="4"/>
  <c r="B658" i="4"/>
  <c r="A658" i="4"/>
  <c r="C657" i="4"/>
  <c r="B657" i="4"/>
  <c r="A657" i="4"/>
  <c r="C656" i="4"/>
  <c r="B656" i="4"/>
  <c r="A656" i="4"/>
  <c r="C655" i="4"/>
  <c r="B655" i="4"/>
  <c r="A655" i="4"/>
  <c r="C654" i="4"/>
  <c r="B654" i="4"/>
  <c r="A654" i="4"/>
  <c r="C653" i="4"/>
  <c r="B653" i="4"/>
  <c r="A653" i="4"/>
  <c r="C652" i="4"/>
  <c r="B652" i="4"/>
  <c r="A652" i="4"/>
  <c r="C651" i="4"/>
  <c r="B651" i="4"/>
  <c r="A651" i="4"/>
  <c r="C650" i="4"/>
  <c r="B650" i="4"/>
  <c r="A650" i="4"/>
  <c r="C649" i="4"/>
  <c r="B649" i="4"/>
  <c r="A649" i="4"/>
  <c r="C648" i="4"/>
  <c r="B648" i="4"/>
  <c r="A648" i="4"/>
  <c r="C647" i="4"/>
  <c r="B647" i="4"/>
  <c r="A647" i="4"/>
  <c r="C646" i="4"/>
  <c r="B646" i="4"/>
  <c r="A646" i="4"/>
  <c r="C645" i="4"/>
  <c r="B645" i="4"/>
  <c r="A645" i="4"/>
  <c r="C644" i="4"/>
  <c r="B644" i="4"/>
  <c r="A644" i="4"/>
  <c r="C643" i="4"/>
  <c r="B643" i="4"/>
  <c r="A643" i="4"/>
  <c r="C642" i="4"/>
  <c r="B642" i="4"/>
  <c r="A642" i="4"/>
  <c r="C641" i="4"/>
  <c r="B641" i="4"/>
  <c r="A641" i="4"/>
  <c r="C640" i="4"/>
  <c r="B640" i="4"/>
  <c r="A640" i="4"/>
  <c r="C639" i="4"/>
  <c r="B639" i="4"/>
  <c r="A639" i="4"/>
  <c r="C638" i="4"/>
  <c r="B638" i="4"/>
  <c r="A638" i="4"/>
  <c r="C637" i="4"/>
  <c r="B637" i="4"/>
  <c r="A637" i="4"/>
  <c r="C636" i="4"/>
  <c r="B636" i="4"/>
  <c r="A636" i="4"/>
  <c r="C635" i="4"/>
  <c r="B635" i="4"/>
  <c r="A635" i="4"/>
  <c r="C634" i="4"/>
  <c r="B634" i="4"/>
  <c r="A634" i="4"/>
  <c r="C633" i="4"/>
  <c r="B633" i="4"/>
  <c r="A633" i="4"/>
  <c r="C632" i="4"/>
  <c r="B632" i="4"/>
  <c r="A632" i="4"/>
  <c r="C631" i="4"/>
  <c r="B631" i="4"/>
  <c r="A631" i="4"/>
  <c r="C630" i="4"/>
  <c r="B630" i="4"/>
  <c r="A630" i="4"/>
  <c r="C629" i="4"/>
  <c r="B629" i="4"/>
  <c r="A629" i="4"/>
  <c r="C628" i="4"/>
  <c r="B628" i="4"/>
  <c r="A628" i="4"/>
  <c r="C627" i="4"/>
  <c r="B627" i="4"/>
  <c r="A627" i="4"/>
  <c r="C626" i="4"/>
  <c r="B626" i="4"/>
  <c r="A626" i="4"/>
  <c r="C625" i="4"/>
  <c r="B625" i="4"/>
  <c r="A625" i="4"/>
  <c r="C624" i="4"/>
  <c r="B624" i="4"/>
  <c r="A624" i="4"/>
  <c r="C623" i="4"/>
  <c r="B623" i="4"/>
  <c r="A623" i="4"/>
  <c r="C622" i="4"/>
  <c r="B622" i="4"/>
  <c r="A622" i="4"/>
  <c r="C621" i="4"/>
  <c r="B621" i="4"/>
  <c r="A621" i="4"/>
  <c r="C620" i="4"/>
  <c r="B620" i="4"/>
  <c r="A620" i="4"/>
  <c r="C619" i="4"/>
  <c r="B619" i="4"/>
  <c r="A619" i="4"/>
  <c r="C618" i="4"/>
  <c r="B618" i="4"/>
  <c r="A618" i="4"/>
  <c r="C617" i="4"/>
  <c r="B617" i="4"/>
  <c r="A617" i="4"/>
  <c r="C616" i="4"/>
  <c r="B616" i="4"/>
  <c r="A616" i="4"/>
  <c r="C615" i="4"/>
  <c r="B615" i="4"/>
  <c r="A615" i="4"/>
  <c r="C614" i="4"/>
  <c r="B614" i="4"/>
  <c r="A614" i="4"/>
  <c r="C613" i="4"/>
  <c r="B613" i="4"/>
  <c r="A613" i="4"/>
  <c r="C612" i="4"/>
  <c r="B612" i="4"/>
  <c r="A612" i="4"/>
  <c r="C611" i="4"/>
  <c r="B611" i="4"/>
  <c r="A611" i="4"/>
  <c r="C610" i="4"/>
  <c r="B610" i="4"/>
  <c r="A610" i="4"/>
  <c r="C609" i="4"/>
  <c r="B609" i="4"/>
  <c r="A609" i="4"/>
  <c r="C608" i="4"/>
  <c r="B608" i="4"/>
  <c r="A608" i="4"/>
  <c r="C607" i="4"/>
  <c r="B607" i="4"/>
  <c r="A607" i="4"/>
  <c r="C606" i="4"/>
  <c r="B606" i="4"/>
  <c r="A606" i="4"/>
  <c r="C605" i="4"/>
  <c r="B605" i="4"/>
  <c r="A605" i="4"/>
  <c r="C604" i="4"/>
  <c r="B604" i="4"/>
  <c r="A604" i="4"/>
  <c r="C603" i="4"/>
  <c r="B603" i="4"/>
  <c r="A603" i="4"/>
  <c r="C602" i="4"/>
  <c r="B602" i="4"/>
  <c r="A602" i="4"/>
  <c r="C601" i="4"/>
  <c r="B601" i="4"/>
  <c r="A601" i="4"/>
  <c r="C600" i="4"/>
  <c r="B600" i="4"/>
  <c r="A600" i="4"/>
  <c r="C599" i="4"/>
  <c r="B599" i="4"/>
  <c r="A599" i="4"/>
  <c r="C598" i="4"/>
  <c r="B598" i="4"/>
  <c r="A598" i="4"/>
  <c r="C597" i="4"/>
  <c r="B597" i="4"/>
  <c r="A597" i="4"/>
  <c r="C596" i="4"/>
  <c r="B596" i="4"/>
  <c r="A596" i="4"/>
  <c r="C595" i="4"/>
  <c r="B595" i="4"/>
  <c r="A595" i="4"/>
  <c r="C594" i="4"/>
  <c r="B594" i="4"/>
  <c r="A594" i="4"/>
  <c r="C593" i="4"/>
  <c r="B593" i="4"/>
  <c r="A593" i="4"/>
  <c r="C592" i="4"/>
  <c r="B592" i="4"/>
  <c r="A592" i="4"/>
  <c r="C591" i="4"/>
  <c r="B591" i="4"/>
  <c r="A591" i="4"/>
  <c r="C590" i="4"/>
  <c r="B590" i="4"/>
  <c r="A590" i="4"/>
  <c r="C589" i="4"/>
  <c r="B589" i="4"/>
  <c r="A589" i="4"/>
  <c r="C588" i="4"/>
  <c r="B588" i="4"/>
  <c r="A588" i="4"/>
  <c r="C587" i="4"/>
  <c r="B587" i="4"/>
  <c r="A587" i="4"/>
  <c r="C586" i="4"/>
  <c r="B586" i="4"/>
  <c r="A586" i="4"/>
  <c r="C585" i="4"/>
  <c r="B585" i="4"/>
  <c r="A585" i="4"/>
  <c r="C584" i="4"/>
  <c r="B584" i="4"/>
  <c r="A584" i="4"/>
  <c r="C583" i="4"/>
  <c r="B583" i="4"/>
  <c r="A583" i="4"/>
  <c r="C582" i="4"/>
  <c r="B582" i="4"/>
  <c r="A582" i="4"/>
  <c r="C581" i="4"/>
  <c r="B581" i="4"/>
  <c r="A581" i="4"/>
  <c r="C580" i="4"/>
  <c r="B580" i="4"/>
  <c r="A580" i="4"/>
  <c r="C579" i="4"/>
  <c r="B579" i="4"/>
  <c r="A579" i="4"/>
  <c r="C578" i="4"/>
  <c r="B578" i="4"/>
  <c r="A578" i="4"/>
  <c r="C577" i="4"/>
  <c r="B577" i="4"/>
  <c r="A577" i="4"/>
  <c r="C576" i="4"/>
  <c r="B576" i="4"/>
  <c r="A576" i="4"/>
  <c r="C575" i="4"/>
  <c r="B575" i="4"/>
  <c r="A575" i="4"/>
  <c r="C574" i="4"/>
  <c r="B574" i="4"/>
  <c r="A574" i="4"/>
  <c r="C573" i="4"/>
  <c r="B573" i="4"/>
  <c r="A573" i="4"/>
  <c r="C572" i="4"/>
  <c r="B572" i="4"/>
  <c r="A572" i="4"/>
  <c r="C571" i="4"/>
  <c r="B571" i="4"/>
  <c r="A571" i="4"/>
  <c r="C570" i="4"/>
  <c r="B570" i="4"/>
  <c r="A570" i="4"/>
  <c r="C569" i="4"/>
  <c r="B569" i="4"/>
  <c r="A569" i="4"/>
  <c r="C568" i="4"/>
  <c r="B568" i="4"/>
  <c r="A568" i="4"/>
  <c r="C567" i="4"/>
  <c r="B567" i="4"/>
  <c r="A567" i="4"/>
  <c r="C566" i="4"/>
  <c r="B566" i="4"/>
  <c r="A566" i="4"/>
  <c r="C565" i="4"/>
  <c r="B565" i="4"/>
  <c r="A565" i="4"/>
  <c r="C564" i="4"/>
  <c r="B564" i="4"/>
  <c r="A564" i="4"/>
  <c r="C563" i="4"/>
  <c r="B563" i="4"/>
  <c r="A563" i="4"/>
  <c r="C562" i="4"/>
  <c r="B562" i="4"/>
  <c r="A562" i="4"/>
  <c r="C561" i="4"/>
  <c r="B561" i="4"/>
  <c r="A561" i="4"/>
  <c r="C560" i="4"/>
  <c r="B560" i="4"/>
  <c r="A560" i="4"/>
  <c r="C559" i="4"/>
  <c r="B559" i="4"/>
  <c r="A559" i="4"/>
  <c r="C558" i="4"/>
  <c r="B558" i="4"/>
  <c r="A558" i="4"/>
  <c r="C557" i="4"/>
  <c r="B557" i="4"/>
  <c r="A557" i="4"/>
  <c r="C556" i="4"/>
  <c r="B556" i="4"/>
  <c r="A556" i="4"/>
  <c r="C555" i="4"/>
  <c r="B555" i="4"/>
  <c r="A555" i="4"/>
  <c r="C554" i="4"/>
  <c r="B554" i="4"/>
  <c r="A554" i="4"/>
  <c r="C553" i="4"/>
  <c r="B553" i="4"/>
  <c r="A553" i="4"/>
  <c r="C552" i="4"/>
  <c r="B552" i="4"/>
  <c r="A552" i="4"/>
  <c r="C551" i="4"/>
  <c r="B551" i="4"/>
  <c r="A551" i="4"/>
  <c r="C550" i="4"/>
  <c r="B550" i="4"/>
  <c r="A550" i="4"/>
  <c r="C549" i="4"/>
  <c r="B549" i="4"/>
  <c r="A549" i="4"/>
  <c r="C548" i="4"/>
  <c r="B548" i="4"/>
  <c r="A548" i="4"/>
  <c r="C547" i="4"/>
  <c r="B547" i="4"/>
  <c r="A547" i="4"/>
  <c r="C546" i="4"/>
  <c r="B546" i="4"/>
  <c r="A546" i="4"/>
  <c r="C545" i="4"/>
  <c r="B545" i="4"/>
  <c r="A545" i="4"/>
  <c r="C544" i="4"/>
  <c r="B544" i="4"/>
  <c r="A544" i="4"/>
  <c r="C543" i="4"/>
  <c r="B543" i="4"/>
  <c r="A543" i="4"/>
  <c r="C542" i="4"/>
  <c r="B542" i="4"/>
  <c r="A542" i="4"/>
  <c r="C541" i="4"/>
  <c r="B541" i="4"/>
  <c r="A541" i="4"/>
  <c r="C540" i="4"/>
  <c r="B540" i="4"/>
  <c r="A540" i="4"/>
  <c r="C539" i="4"/>
  <c r="B539" i="4"/>
  <c r="A539" i="4"/>
  <c r="C538" i="4"/>
  <c r="B538" i="4"/>
  <c r="A538" i="4"/>
  <c r="C537" i="4"/>
  <c r="B537" i="4"/>
  <c r="A537" i="4"/>
  <c r="C536" i="4"/>
  <c r="B536" i="4"/>
  <c r="A536" i="4"/>
  <c r="C535" i="4"/>
  <c r="B535" i="4"/>
  <c r="A535" i="4"/>
  <c r="C534" i="4"/>
  <c r="B534" i="4"/>
  <c r="A534" i="4"/>
  <c r="C533" i="4"/>
  <c r="B533" i="4"/>
  <c r="A533" i="4"/>
  <c r="C532" i="4"/>
  <c r="B532" i="4"/>
  <c r="A532" i="4"/>
  <c r="C531" i="4"/>
  <c r="B531" i="4"/>
  <c r="A531" i="4"/>
  <c r="C530" i="4"/>
  <c r="B530" i="4"/>
  <c r="A530" i="4"/>
  <c r="C529" i="4"/>
  <c r="B529" i="4"/>
  <c r="A529" i="4"/>
  <c r="C528" i="4"/>
  <c r="B528" i="4"/>
  <c r="A528" i="4"/>
  <c r="C527" i="4"/>
  <c r="B527" i="4"/>
  <c r="A527" i="4"/>
  <c r="C526" i="4"/>
  <c r="B526" i="4"/>
  <c r="A526" i="4"/>
  <c r="C525" i="4"/>
  <c r="B525" i="4"/>
  <c r="A525" i="4"/>
  <c r="C524" i="4"/>
  <c r="B524" i="4"/>
  <c r="A524" i="4"/>
  <c r="C523" i="4"/>
  <c r="B523" i="4"/>
  <c r="A523" i="4"/>
  <c r="C522" i="4"/>
  <c r="B522" i="4"/>
  <c r="A522" i="4"/>
  <c r="C521" i="4"/>
  <c r="B521" i="4"/>
  <c r="A521" i="4"/>
  <c r="C520" i="4"/>
  <c r="B520" i="4"/>
  <c r="A520" i="4"/>
  <c r="C519" i="4"/>
  <c r="B519" i="4"/>
  <c r="A519" i="4"/>
  <c r="C518" i="4"/>
  <c r="B518" i="4"/>
  <c r="A518" i="4"/>
  <c r="C517" i="4"/>
  <c r="B517" i="4"/>
  <c r="A517" i="4"/>
  <c r="C516" i="4"/>
  <c r="B516" i="4"/>
  <c r="A516" i="4"/>
  <c r="C515" i="4"/>
  <c r="B515" i="4"/>
  <c r="A515" i="4"/>
  <c r="C514" i="4"/>
  <c r="B514" i="4"/>
  <c r="A514" i="4"/>
  <c r="C513" i="4"/>
  <c r="B513" i="4"/>
  <c r="A513" i="4"/>
  <c r="C512" i="4"/>
  <c r="B512" i="4"/>
  <c r="A512" i="4"/>
  <c r="C511" i="4"/>
  <c r="B511" i="4"/>
  <c r="A511" i="4"/>
  <c r="C510" i="4"/>
  <c r="B510" i="4"/>
  <c r="A510" i="4"/>
  <c r="C509" i="4"/>
  <c r="B509" i="4"/>
  <c r="A509" i="4"/>
  <c r="C508" i="4"/>
  <c r="B508" i="4"/>
  <c r="A508" i="4"/>
  <c r="C507" i="4"/>
  <c r="B507" i="4"/>
  <c r="A507" i="4"/>
  <c r="C506" i="4"/>
  <c r="B506" i="4"/>
  <c r="A506" i="4"/>
  <c r="C505" i="4"/>
  <c r="B505" i="4"/>
  <c r="A505" i="4"/>
  <c r="C504" i="4"/>
  <c r="B504" i="4"/>
  <c r="A504" i="4"/>
  <c r="C503" i="4"/>
  <c r="B503" i="4"/>
  <c r="A503" i="4"/>
  <c r="C502" i="4"/>
  <c r="B502" i="4"/>
  <c r="A502" i="4"/>
  <c r="C501" i="4"/>
  <c r="B501" i="4"/>
  <c r="A501" i="4"/>
  <c r="C500" i="4"/>
  <c r="B500" i="4"/>
  <c r="A500" i="4"/>
  <c r="C499" i="4"/>
  <c r="B499" i="4"/>
  <c r="A499" i="4"/>
  <c r="C498" i="4"/>
  <c r="B498" i="4"/>
  <c r="A498" i="4"/>
  <c r="C497" i="4"/>
  <c r="B497" i="4"/>
  <c r="A497" i="4"/>
  <c r="C496" i="4"/>
  <c r="B496" i="4"/>
  <c r="A496" i="4"/>
  <c r="C495" i="4"/>
  <c r="B495" i="4"/>
  <c r="A495" i="4"/>
  <c r="C494" i="4"/>
  <c r="B494" i="4"/>
  <c r="A494" i="4"/>
  <c r="C493" i="4"/>
  <c r="B493" i="4"/>
  <c r="A493" i="4"/>
  <c r="C492" i="4"/>
  <c r="B492" i="4"/>
  <c r="A492" i="4"/>
  <c r="C491" i="4"/>
  <c r="B491" i="4"/>
  <c r="A491" i="4"/>
  <c r="C490" i="4"/>
  <c r="B490" i="4"/>
  <c r="A490" i="4"/>
  <c r="C489" i="4"/>
  <c r="B489" i="4"/>
  <c r="A489" i="4"/>
  <c r="C488" i="4"/>
  <c r="B488" i="4"/>
  <c r="A488" i="4"/>
  <c r="C487" i="4"/>
  <c r="B487" i="4"/>
  <c r="A487" i="4"/>
  <c r="C486" i="4"/>
  <c r="B486" i="4"/>
  <c r="A486" i="4"/>
  <c r="C485" i="4"/>
  <c r="B485" i="4"/>
  <c r="A485" i="4"/>
  <c r="C484" i="4"/>
  <c r="B484" i="4"/>
  <c r="A484" i="4"/>
  <c r="C483" i="4"/>
  <c r="B483" i="4"/>
  <c r="A483" i="4"/>
  <c r="C482" i="4"/>
  <c r="B482" i="4"/>
  <c r="A482" i="4"/>
  <c r="C481" i="4"/>
  <c r="B481" i="4"/>
  <c r="A481" i="4"/>
  <c r="C480" i="4"/>
  <c r="B480" i="4"/>
  <c r="A480" i="4"/>
  <c r="C479" i="4"/>
  <c r="B479" i="4"/>
  <c r="A479" i="4"/>
  <c r="C478" i="4"/>
  <c r="B478" i="4"/>
  <c r="A478" i="4"/>
  <c r="C477" i="4"/>
  <c r="B477" i="4"/>
  <c r="A477" i="4"/>
  <c r="C476" i="4"/>
  <c r="B476" i="4"/>
  <c r="A476" i="4"/>
  <c r="C475" i="4"/>
  <c r="B475" i="4"/>
  <c r="A475" i="4"/>
  <c r="C474" i="4"/>
  <c r="B474" i="4"/>
  <c r="A474" i="4"/>
  <c r="C473" i="4"/>
  <c r="B473" i="4"/>
  <c r="A473" i="4"/>
  <c r="C472" i="4"/>
  <c r="B472" i="4"/>
  <c r="A472" i="4"/>
  <c r="C471" i="4"/>
  <c r="B471" i="4"/>
  <c r="A471" i="4"/>
  <c r="C470" i="4"/>
  <c r="B470" i="4"/>
  <c r="A470" i="4"/>
  <c r="C469" i="4"/>
  <c r="B469" i="4"/>
  <c r="A469" i="4"/>
  <c r="C468" i="4"/>
  <c r="B468" i="4"/>
  <c r="A468" i="4"/>
  <c r="C467" i="4"/>
  <c r="B467" i="4"/>
  <c r="A467" i="4"/>
  <c r="C466" i="4"/>
  <c r="B466" i="4"/>
  <c r="A466" i="4"/>
  <c r="C465" i="4"/>
  <c r="B465" i="4"/>
  <c r="A465" i="4"/>
  <c r="C464" i="4"/>
  <c r="B464" i="4"/>
  <c r="A464" i="4"/>
  <c r="C463" i="4"/>
  <c r="B463" i="4"/>
  <c r="A463" i="4"/>
  <c r="C462" i="4"/>
  <c r="B462" i="4"/>
  <c r="A462" i="4"/>
  <c r="C461" i="4"/>
  <c r="B461" i="4"/>
  <c r="A461" i="4"/>
  <c r="C460" i="4"/>
  <c r="B460" i="4"/>
  <c r="A460" i="4"/>
  <c r="C459" i="4"/>
  <c r="B459" i="4"/>
  <c r="A459" i="4"/>
  <c r="C458" i="4"/>
  <c r="B458" i="4"/>
  <c r="A458" i="4"/>
  <c r="C457" i="4"/>
  <c r="B457" i="4"/>
  <c r="A457" i="4"/>
  <c r="C456" i="4"/>
  <c r="B456" i="4"/>
  <c r="A456" i="4"/>
  <c r="C455" i="4"/>
  <c r="B455" i="4"/>
  <c r="A455" i="4"/>
  <c r="C454" i="4"/>
  <c r="B454" i="4"/>
  <c r="A454" i="4"/>
  <c r="C453" i="4"/>
  <c r="B453" i="4"/>
  <c r="A453" i="4"/>
  <c r="C452" i="4"/>
  <c r="B452" i="4"/>
  <c r="A452" i="4"/>
  <c r="C451" i="4"/>
  <c r="B451" i="4"/>
  <c r="A451" i="4"/>
  <c r="C450" i="4"/>
  <c r="B450" i="4"/>
  <c r="A450" i="4"/>
  <c r="C449" i="4"/>
  <c r="B449" i="4"/>
  <c r="A449" i="4"/>
  <c r="C448" i="4"/>
  <c r="B448" i="4"/>
  <c r="A448" i="4"/>
  <c r="C447" i="4"/>
  <c r="B447" i="4"/>
  <c r="A447" i="4"/>
  <c r="C446" i="4"/>
  <c r="B446" i="4"/>
  <c r="A446" i="4"/>
  <c r="C445" i="4"/>
  <c r="B445" i="4"/>
  <c r="A445" i="4"/>
  <c r="C444" i="4"/>
  <c r="B444" i="4"/>
  <c r="A444" i="4"/>
  <c r="C443" i="4"/>
  <c r="B443" i="4"/>
  <c r="A443" i="4"/>
  <c r="C442" i="4"/>
  <c r="B442" i="4"/>
  <c r="A442" i="4"/>
  <c r="C441" i="4"/>
  <c r="B441" i="4"/>
  <c r="A441" i="4"/>
  <c r="C440" i="4"/>
  <c r="B440" i="4"/>
  <c r="A440" i="4"/>
  <c r="C439" i="4"/>
  <c r="B439" i="4"/>
  <c r="A439" i="4"/>
  <c r="C438" i="4"/>
  <c r="B438" i="4"/>
  <c r="A438" i="4"/>
  <c r="C437" i="4"/>
  <c r="B437" i="4"/>
  <c r="A437" i="4"/>
  <c r="C436" i="4"/>
  <c r="B436" i="4"/>
  <c r="A436" i="4"/>
  <c r="C435" i="4"/>
  <c r="B435" i="4"/>
  <c r="A435" i="4"/>
  <c r="C434" i="4"/>
  <c r="B434" i="4"/>
  <c r="A434" i="4"/>
  <c r="C433" i="4"/>
  <c r="B433" i="4"/>
  <c r="A433" i="4"/>
  <c r="C432" i="4"/>
  <c r="B432" i="4"/>
  <c r="A432" i="4"/>
  <c r="C431" i="4"/>
  <c r="B431" i="4"/>
  <c r="A431" i="4"/>
  <c r="C430" i="4"/>
  <c r="B430" i="4"/>
  <c r="A430" i="4"/>
  <c r="C429" i="4"/>
  <c r="B429" i="4"/>
  <c r="A429" i="4"/>
  <c r="C428" i="4"/>
  <c r="B428" i="4"/>
  <c r="A428" i="4"/>
  <c r="C427" i="4"/>
  <c r="B427" i="4"/>
  <c r="A427" i="4"/>
  <c r="C426" i="4"/>
  <c r="B426" i="4"/>
  <c r="A426" i="4"/>
  <c r="C425" i="4"/>
  <c r="B425" i="4"/>
  <c r="A425" i="4"/>
  <c r="C424" i="4"/>
  <c r="B424" i="4"/>
  <c r="A424" i="4"/>
  <c r="C423" i="4"/>
  <c r="B423" i="4"/>
  <c r="A423" i="4"/>
  <c r="C422" i="4"/>
  <c r="B422" i="4"/>
  <c r="A422" i="4"/>
  <c r="C421" i="4"/>
  <c r="B421" i="4"/>
  <c r="A421" i="4"/>
  <c r="C420" i="4"/>
  <c r="B420" i="4"/>
  <c r="A420" i="4"/>
  <c r="C419" i="4"/>
  <c r="B419" i="4"/>
  <c r="A419" i="4"/>
  <c r="C418" i="4"/>
  <c r="B418" i="4"/>
  <c r="A418" i="4"/>
  <c r="C417" i="4"/>
  <c r="B417" i="4"/>
  <c r="A417" i="4"/>
  <c r="C416" i="4"/>
  <c r="B416" i="4"/>
  <c r="A416" i="4"/>
  <c r="C415" i="4"/>
  <c r="B415" i="4"/>
  <c r="A415" i="4"/>
  <c r="C414" i="4"/>
  <c r="B414" i="4"/>
  <c r="A414" i="4"/>
  <c r="C413" i="4"/>
  <c r="B413" i="4"/>
  <c r="A413" i="4"/>
  <c r="C412" i="4"/>
  <c r="B412" i="4"/>
  <c r="A412" i="4"/>
  <c r="C411" i="4"/>
  <c r="B411" i="4"/>
  <c r="A411" i="4"/>
  <c r="C410" i="4"/>
  <c r="B410" i="4"/>
  <c r="A410" i="4"/>
  <c r="C409" i="4"/>
  <c r="B409" i="4"/>
  <c r="A409" i="4"/>
  <c r="C408" i="4"/>
  <c r="B408" i="4"/>
  <c r="A408" i="4"/>
  <c r="C407" i="4"/>
  <c r="B407" i="4"/>
  <c r="A407" i="4"/>
  <c r="C406" i="4"/>
  <c r="B406" i="4"/>
  <c r="A406" i="4"/>
  <c r="C405" i="4"/>
  <c r="B405" i="4"/>
  <c r="A405" i="4"/>
  <c r="C404" i="4"/>
  <c r="B404" i="4"/>
  <c r="A404" i="4"/>
  <c r="C403" i="4"/>
  <c r="B403" i="4"/>
  <c r="A403" i="4"/>
  <c r="C402" i="4"/>
  <c r="B402" i="4"/>
  <c r="A402" i="4"/>
  <c r="C401" i="4"/>
  <c r="B401" i="4"/>
  <c r="A401" i="4"/>
  <c r="C400" i="4"/>
  <c r="B400" i="4"/>
  <c r="A400" i="4"/>
  <c r="C399" i="4"/>
  <c r="B399" i="4"/>
  <c r="A399" i="4"/>
  <c r="C398" i="4"/>
  <c r="B398" i="4"/>
  <c r="A398" i="4"/>
  <c r="C397" i="4"/>
  <c r="B397" i="4"/>
  <c r="A397" i="4"/>
  <c r="C396" i="4"/>
  <c r="B396" i="4"/>
  <c r="A396" i="4"/>
  <c r="C395" i="4"/>
  <c r="B395" i="4"/>
  <c r="A395" i="4"/>
  <c r="C394" i="4"/>
  <c r="B394" i="4"/>
  <c r="A394" i="4"/>
  <c r="C393" i="4"/>
  <c r="B393" i="4"/>
  <c r="A393" i="4"/>
  <c r="C392" i="4"/>
  <c r="B392" i="4"/>
  <c r="A392" i="4"/>
  <c r="C391" i="4"/>
  <c r="B391" i="4"/>
  <c r="A391" i="4"/>
  <c r="C390" i="4"/>
  <c r="B390" i="4"/>
  <c r="A390" i="4"/>
  <c r="C389" i="4"/>
  <c r="B389" i="4"/>
  <c r="A389" i="4"/>
  <c r="C388" i="4"/>
  <c r="B388" i="4"/>
  <c r="A388" i="4"/>
  <c r="C387" i="4"/>
  <c r="B387" i="4"/>
  <c r="A387" i="4"/>
  <c r="C386" i="4"/>
  <c r="B386" i="4"/>
  <c r="A386" i="4"/>
  <c r="C385" i="4"/>
  <c r="B385" i="4"/>
  <c r="A385" i="4"/>
  <c r="C384" i="4"/>
  <c r="B384" i="4"/>
  <c r="A384" i="4"/>
  <c r="C383" i="4"/>
  <c r="B383" i="4"/>
  <c r="A383" i="4"/>
  <c r="C382" i="4"/>
  <c r="B382" i="4"/>
  <c r="A382" i="4"/>
  <c r="C381" i="4"/>
  <c r="B381" i="4"/>
  <c r="A381" i="4"/>
  <c r="C380" i="4"/>
  <c r="B380" i="4"/>
  <c r="A380" i="4"/>
  <c r="C379" i="4"/>
  <c r="B379" i="4"/>
  <c r="A379" i="4"/>
  <c r="C378" i="4"/>
  <c r="B378" i="4"/>
  <c r="A378" i="4"/>
  <c r="C377" i="4"/>
  <c r="B377" i="4"/>
  <c r="A377" i="4"/>
  <c r="C376" i="4"/>
  <c r="B376" i="4"/>
  <c r="A376" i="4"/>
  <c r="C375" i="4"/>
  <c r="B375" i="4"/>
  <c r="A375" i="4"/>
  <c r="C374" i="4"/>
  <c r="B374" i="4"/>
  <c r="A374" i="4"/>
  <c r="C373" i="4"/>
  <c r="B373" i="4"/>
  <c r="A373" i="4"/>
  <c r="C372" i="4"/>
  <c r="B372" i="4"/>
  <c r="A372" i="4"/>
  <c r="C371" i="4"/>
  <c r="B371" i="4"/>
  <c r="A371" i="4"/>
  <c r="C370" i="4"/>
  <c r="B370" i="4"/>
  <c r="A370" i="4"/>
  <c r="C369" i="4"/>
  <c r="B369" i="4"/>
  <c r="A369" i="4"/>
  <c r="C368" i="4"/>
  <c r="B368" i="4"/>
  <c r="A368" i="4"/>
  <c r="C367" i="4"/>
  <c r="B367" i="4"/>
  <c r="A367" i="4"/>
  <c r="C366" i="4"/>
  <c r="B366" i="4"/>
  <c r="A366" i="4"/>
  <c r="C365" i="4"/>
  <c r="B365" i="4"/>
  <c r="A365" i="4"/>
  <c r="C364" i="4"/>
  <c r="B364" i="4"/>
  <c r="A364" i="4"/>
  <c r="C363" i="4"/>
  <c r="B363" i="4"/>
  <c r="A363" i="4"/>
  <c r="C362" i="4"/>
  <c r="B362" i="4"/>
  <c r="A362" i="4"/>
  <c r="C361" i="4"/>
  <c r="B361" i="4"/>
  <c r="A361" i="4"/>
  <c r="C360" i="4"/>
  <c r="B360" i="4"/>
  <c r="A360" i="4"/>
  <c r="C359" i="4"/>
  <c r="B359" i="4"/>
  <c r="A359" i="4"/>
  <c r="C358" i="4"/>
  <c r="B358" i="4"/>
  <c r="A358" i="4"/>
  <c r="C357" i="4"/>
  <c r="B357" i="4"/>
  <c r="A357" i="4"/>
  <c r="C356" i="4"/>
  <c r="B356" i="4"/>
  <c r="A356" i="4"/>
  <c r="C355" i="4"/>
  <c r="B355" i="4"/>
  <c r="A355" i="4"/>
  <c r="C354" i="4"/>
  <c r="B354" i="4"/>
  <c r="A354" i="4"/>
  <c r="C353" i="4"/>
  <c r="B353" i="4"/>
  <c r="A353" i="4"/>
  <c r="C352" i="4"/>
  <c r="B352" i="4"/>
  <c r="A352" i="4"/>
  <c r="C351" i="4"/>
  <c r="B351" i="4"/>
  <c r="A351" i="4"/>
  <c r="C350" i="4"/>
  <c r="B350" i="4"/>
  <c r="A350" i="4"/>
  <c r="C349" i="4"/>
  <c r="B349" i="4"/>
  <c r="A349" i="4"/>
  <c r="C348" i="4"/>
  <c r="B348" i="4"/>
  <c r="A348" i="4"/>
  <c r="C347" i="4"/>
  <c r="B347" i="4"/>
  <c r="A347" i="4"/>
  <c r="C346" i="4"/>
  <c r="B346" i="4"/>
  <c r="A346" i="4"/>
  <c r="C345" i="4"/>
  <c r="B345" i="4"/>
  <c r="A345" i="4"/>
  <c r="C344" i="4"/>
  <c r="B344" i="4"/>
  <c r="A344" i="4"/>
  <c r="C343" i="4"/>
  <c r="B343" i="4"/>
  <c r="A343" i="4"/>
  <c r="C342" i="4"/>
  <c r="B342" i="4"/>
  <c r="A342" i="4"/>
  <c r="C341" i="4"/>
  <c r="B341" i="4"/>
  <c r="A341" i="4"/>
  <c r="C340" i="4"/>
  <c r="B340" i="4"/>
  <c r="A340" i="4"/>
  <c r="C339" i="4"/>
  <c r="B339" i="4"/>
  <c r="A339" i="4"/>
  <c r="C338" i="4"/>
  <c r="B338" i="4"/>
  <c r="A338" i="4"/>
  <c r="C337" i="4"/>
  <c r="B337" i="4"/>
  <c r="A337" i="4"/>
  <c r="C336" i="4"/>
  <c r="B336" i="4"/>
  <c r="A336" i="4"/>
  <c r="C335" i="4"/>
  <c r="B335" i="4"/>
  <c r="A335" i="4"/>
  <c r="C334" i="4"/>
  <c r="B334" i="4"/>
  <c r="A334" i="4"/>
  <c r="C333" i="4"/>
  <c r="B333" i="4"/>
  <c r="A333" i="4"/>
  <c r="C332" i="4"/>
  <c r="B332" i="4"/>
  <c r="A332" i="4"/>
  <c r="C331" i="4"/>
  <c r="B331" i="4"/>
  <c r="A331" i="4"/>
  <c r="C330" i="4"/>
  <c r="B330" i="4"/>
  <c r="A330" i="4"/>
  <c r="C329" i="4"/>
  <c r="B329" i="4"/>
  <c r="A329" i="4"/>
  <c r="C328" i="4"/>
  <c r="B328" i="4"/>
  <c r="A328" i="4"/>
  <c r="C327" i="4"/>
  <c r="B327" i="4"/>
  <c r="A327" i="4"/>
  <c r="C326" i="4"/>
  <c r="B326" i="4"/>
  <c r="A326" i="4"/>
  <c r="C325" i="4"/>
  <c r="B325" i="4"/>
  <c r="A325" i="4"/>
  <c r="C324" i="4"/>
  <c r="B324" i="4"/>
  <c r="A324" i="4"/>
  <c r="C323" i="4"/>
  <c r="B323" i="4"/>
  <c r="A323" i="4"/>
  <c r="C322" i="4"/>
  <c r="B322" i="4"/>
  <c r="A322" i="4"/>
  <c r="C321" i="4"/>
  <c r="B321" i="4"/>
  <c r="A321" i="4"/>
  <c r="C320" i="4"/>
  <c r="B320" i="4"/>
  <c r="A320" i="4"/>
  <c r="C319" i="4"/>
  <c r="B319" i="4"/>
  <c r="A319" i="4"/>
  <c r="C318" i="4"/>
  <c r="B318" i="4"/>
  <c r="A318" i="4"/>
  <c r="C317" i="4"/>
  <c r="B317" i="4"/>
  <c r="A317" i="4"/>
  <c r="C316" i="4"/>
  <c r="B316" i="4"/>
  <c r="A316" i="4"/>
  <c r="C315" i="4"/>
  <c r="B315" i="4"/>
  <c r="A315" i="4"/>
  <c r="C314" i="4"/>
  <c r="B314" i="4"/>
  <c r="A314" i="4"/>
  <c r="C313" i="4"/>
  <c r="B313" i="4"/>
  <c r="A313" i="4"/>
  <c r="C312" i="4"/>
  <c r="B312" i="4"/>
  <c r="A312" i="4"/>
  <c r="C311" i="4"/>
  <c r="B311" i="4"/>
  <c r="A311" i="4"/>
  <c r="C310" i="4"/>
  <c r="B310" i="4"/>
  <c r="A310" i="4"/>
  <c r="C309" i="4"/>
  <c r="B309" i="4"/>
  <c r="A309" i="4"/>
  <c r="C308" i="4"/>
  <c r="B308" i="4"/>
  <c r="A308" i="4"/>
  <c r="C307" i="4"/>
  <c r="B307" i="4"/>
  <c r="A307" i="4"/>
  <c r="C306" i="4"/>
  <c r="B306" i="4"/>
  <c r="A306" i="4"/>
  <c r="C305" i="4"/>
  <c r="B305" i="4"/>
  <c r="A305" i="4"/>
  <c r="C304" i="4"/>
  <c r="B304" i="4"/>
  <c r="A304" i="4"/>
  <c r="C303" i="4"/>
  <c r="B303" i="4"/>
  <c r="A303" i="4"/>
  <c r="C302" i="4"/>
  <c r="B302" i="4"/>
  <c r="A302" i="4"/>
  <c r="C301" i="4"/>
  <c r="B301" i="4"/>
  <c r="A301" i="4"/>
  <c r="C300" i="4"/>
  <c r="B300" i="4"/>
  <c r="A300" i="4"/>
  <c r="C299" i="4"/>
  <c r="B299" i="4"/>
  <c r="A299" i="4"/>
  <c r="C298" i="4"/>
  <c r="B298" i="4"/>
  <c r="A298" i="4"/>
  <c r="C297" i="4"/>
  <c r="B297" i="4"/>
  <c r="A297" i="4"/>
  <c r="C296" i="4"/>
  <c r="B296" i="4"/>
  <c r="A296" i="4"/>
  <c r="C295" i="4"/>
  <c r="B295" i="4"/>
  <c r="A295" i="4"/>
  <c r="C294" i="4"/>
  <c r="B294" i="4"/>
  <c r="A294" i="4"/>
  <c r="C293" i="4"/>
  <c r="B293" i="4"/>
  <c r="A293" i="4"/>
  <c r="C292" i="4"/>
  <c r="B292" i="4"/>
  <c r="A292" i="4"/>
  <c r="C291" i="4"/>
  <c r="B291" i="4"/>
  <c r="A291" i="4"/>
  <c r="C290" i="4"/>
  <c r="B290" i="4"/>
  <c r="A290" i="4"/>
  <c r="C289" i="4"/>
  <c r="B289" i="4"/>
  <c r="A289" i="4"/>
  <c r="C288" i="4"/>
  <c r="B288" i="4"/>
  <c r="A288" i="4"/>
  <c r="C287" i="4"/>
  <c r="B287" i="4"/>
  <c r="A287" i="4"/>
  <c r="C286" i="4"/>
  <c r="B286" i="4"/>
  <c r="A286" i="4"/>
  <c r="C285" i="4"/>
  <c r="B285" i="4"/>
  <c r="A285" i="4"/>
  <c r="C284" i="4"/>
  <c r="B284" i="4"/>
  <c r="A284" i="4"/>
  <c r="C283" i="4"/>
  <c r="B283" i="4"/>
  <c r="A283" i="4"/>
  <c r="C282" i="4"/>
  <c r="B282" i="4"/>
  <c r="A282" i="4"/>
  <c r="C281" i="4"/>
  <c r="B281" i="4"/>
  <c r="A281" i="4"/>
  <c r="C280" i="4"/>
  <c r="B280" i="4"/>
  <c r="A280" i="4"/>
  <c r="C279" i="4"/>
  <c r="B279" i="4"/>
  <c r="A279" i="4"/>
  <c r="C278" i="4"/>
  <c r="B278" i="4"/>
  <c r="A278" i="4"/>
  <c r="C277" i="4"/>
  <c r="B277" i="4"/>
  <c r="A277" i="4"/>
  <c r="C276" i="4"/>
  <c r="B276" i="4"/>
  <c r="A276" i="4"/>
  <c r="C275" i="4"/>
  <c r="B275" i="4"/>
  <c r="A275" i="4"/>
  <c r="C274" i="4"/>
  <c r="B274" i="4"/>
  <c r="A274" i="4"/>
  <c r="C273" i="4"/>
  <c r="B273" i="4"/>
  <c r="A273" i="4"/>
  <c r="C272" i="4"/>
  <c r="B272" i="4"/>
  <c r="A272" i="4"/>
  <c r="C271" i="4"/>
  <c r="B271" i="4"/>
  <c r="A271" i="4"/>
  <c r="C270" i="4"/>
  <c r="B270" i="4"/>
  <c r="A270" i="4"/>
  <c r="C269" i="4"/>
  <c r="B269" i="4"/>
  <c r="A269" i="4"/>
  <c r="C268" i="4"/>
  <c r="B268" i="4"/>
  <c r="A268" i="4"/>
  <c r="C267" i="4"/>
  <c r="B267" i="4"/>
  <c r="A267" i="4"/>
  <c r="C266" i="4"/>
  <c r="B266" i="4"/>
  <c r="A266" i="4"/>
  <c r="C265" i="4"/>
  <c r="B265" i="4"/>
  <c r="A265" i="4"/>
  <c r="C264" i="4"/>
  <c r="B264" i="4"/>
  <c r="A264" i="4"/>
  <c r="C263" i="4"/>
  <c r="B263" i="4"/>
  <c r="A263" i="4"/>
  <c r="C262" i="4"/>
  <c r="B262" i="4"/>
  <c r="A262" i="4"/>
  <c r="C261" i="4"/>
  <c r="B261" i="4"/>
  <c r="A261" i="4"/>
  <c r="C260" i="4"/>
  <c r="B260" i="4"/>
  <c r="A260" i="4"/>
  <c r="C259" i="4"/>
  <c r="B259" i="4"/>
  <c r="A259" i="4"/>
  <c r="C258" i="4"/>
  <c r="B258" i="4"/>
  <c r="A258" i="4"/>
  <c r="C257" i="4"/>
  <c r="B257" i="4"/>
  <c r="A257" i="4"/>
  <c r="C256" i="4"/>
  <c r="B256" i="4"/>
  <c r="A256" i="4"/>
  <c r="C255" i="4"/>
  <c r="B255" i="4"/>
  <c r="A255" i="4"/>
  <c r="C254" i="4"/>
  <c r="B254" i="4"/>
  <c r="A254" i="4"/>
  <c r="C253" i="4"/>
  <c r="B253" i="4"/>
  <c r="A253" i="4"/>
  <c r="C252" i="4"/>
  <c r="B252" i="4"/>
  <c r="A252" i="4"/>
  <c r="C251" i="4"/>
  <c r="B251" i="4"/>
  <c r="A251" i="4"/>
  <c r="C250" i="4"/>
  <c r="B250" i="4"/>
  <c r="A250" i="4"/>
  <c r="C249" i="4"/>
  <c r="B249" i="4"/>
  <c r="A249" i="4"/>
  <c r="C248" i="4"/>
  <c r="B248" i="4"/>
  <c r="A248" i="4"/>
  <c r="C247" i="4"/>
  <c r="B247" i="4"/>
  <c r="A247" i="4"/>
  <c r="C246" i="4"/>
  <c r="B246" i="4"/>
  <c r="A246" i="4"/>
  <c r="C245" i="4"/>
  <c r="B245" i="4"/>
  <c r="A245" i="4"/>
  <c r="C244" i="4"/>
  <c r="B244" i="4"/>
  <c r="A244" i="4"/>
  <c r="C243" i="4"/>
  <c r="B243" i="4"/>
  <c r="A243" i="4"/>
  <c r="C242" i="4"/>
  <c r="B242" i="4"/>
  <c r="A242" i="4"/>
  <c r="C241" i="4"/>
  <c r="B241" i="4"/>
  <c r="A241" i="4"/>
  <c r="C240" i="4"/>
  <c r="B240" i="4"/>
  <c r="A240" i="4"/>
  <c r="C239" i="4"/>
  <c r="B239" i="4"/>
  <c r="A239" i="4"/>
  <c r="C238" i="4"/>
  <c r="B238" i="4"/>
  <c r="A238" i="4"/>
  <c r="C237" i="4"/>
  <c r="B237" i="4"/>
  <c r="A237" i="4"/>
  <c r="C236" i="4"/>
  <c r="B236" i="4"/>
  <c r="A236" i="4"/>
  <c r="C235" i="4"/>
  <c r="B235" i="4"/>
  <c r="A235" i="4"/>
  <c r="C234" i="4"/>
  <c r="B234" i="4"/>
  <c r="A234" i="4"/>
  <c r="C233" i="4"/>
  <c r="B233" i="4"/>
  <c r="A233" i="4"/>
  <c r="C232" i="4"/>
  <c r="B232" i="4"/>
  <c r="A232" i="4"/>
  <c r="C231" i="4"/>
  <c r="B231" i="4"/>
  <c r="A231" i="4"/>
  <c r="C230" i="4"/>
  <c r="B230" i="4"/>
  <c r="A230" i="4"/>
  <c r="C229" i="4"/>
  <c r="B229" i="4"/>
  <c r="A229" i="4"/>
  <c r="C228" i="4"/>
  <c r="B228" i="4"/>
  <c r="A228" i="4"/>
  <c r="C227" i="4"/>
  <c r="B227" i="4"/>
  <c r="A227" i="4"/>
  <c r="C226" i="4"/>
  <c r="B226" i="4"/>
  <c r="A226" i="4"/>
  <c r="C225" i="4"/>
  <c r="B225" i="4"/>
  <c r="A225" i="4"/>
  <c r="C224" i="4"/>
  <c r="B224" i="4"/>
  <c r="A224" i="4"/>
  <c r="C223" i="4"/>
  <c r="B223" i="4"/>
  <c r="A223" i="4"/>
  <c r="C222" i="4"/>
  <c r="B222" i="4"/>
  <c r="A222" i="4"/>
  <c r="C221" i="4"/>
  <c r="B221" i="4"/>
  <c r="A221" i="4"/>
  <c r="C220" i="4"/>
  <c r="B220" i="4"/>
  <c r="A220" i="4"/>
  <c r="C219" i="4"/>
  <c r="B219" i="4"/>
  <c r="A219" i="4"/>
  <c r="C218" i="4"/>
  <c r="B218" i="4"/>
  <c r="A218" i="4"/>
  <c r="C217" i="4"/>
  <c r="B217" i="4"/>
  <c r="A217" i="4"/>
  <c r="C216" i="4"/>
  <c r="B216" i="4"/>
  <c r="A216" i="4"/>
  <c r="C215" i="4"/>
  <c r="B215" i="4"/>
  <c r="A215" i="4"/>
  <c r="C214" i="4"/>
  <c r="B214" i="4"/>
  <c r="A214" i="4"/>
  <c r="C213" i="4"/>
  <c r="B213" i="4"/>
  <c r="A213" i="4"/>
  <c r="C212" i="4"/>
  <c r="B212" i="4"/>
  <c r="A212" i="4"/>
  <c r="C211" i="4"/>
  <c r="B211" i="4"/>
  <c r="A211" i="4"/>
  <c r="C210" i="4"/>
  <c r="B210" i="4"/>
  <c r="A210" i="4"/>
  <c r="C209" i="4"/>
  <c r="B209" i="4"/>
  <c r="A209" i="4"/>
  <c r="C208" i="4"/>
  <c r="B208" i="4"/>
  <c r="A208" i="4"/>
  <c r="C207" i="4"/>
  <c r="B207" i="4"/>
  <c r="A207" i="4"/>
  <c r="C206" i="4"/>
  <c r="B206" i="4"/>
  <c r="A206" i="4"/>
  <c r="C205" i="4"/>
  <c r="B205" i="4"/>
  <c r="A205" i="4"/>
  <c r="C204" i="4"/>
  <c r="B204" i="4"/>
  <c r="A204" i="4"/>
  <c r="C203" i="4"/>
  <c r="B203" i="4"/>
  <c r="A203" i="4"/>
  <c r="C202" i="4"/>
  <c r="B202" i="4"/>
  <c r="A202" i="4"/>
  <c r="C201" i="4"/>
  <c r="B201" i="4"/>
  <c r="A201" i="4"/>
  <c r="C200" i="4"/>
  <c r="B200" i="4"/>
  <c r="A200" i="4"/>
  <c r="C199" i="4"/>
  <c r="B199" i="4"/>
  <c r="A199" i="4"/>
  <c r="C198" i="4"/>
  <c r="B198" i="4"/>
  <c r="A198" i="4"/>
  <c r="C197" i="4"/>
  <c r="B197" i="4"/>
  <c r="A197" i="4"/>
  <c r="C196" i="4"/>
  <c r="B196" i="4"/>
  <c r="A196" i="4"/>
  <c r="C195" i="4"/>
  <c r="B195" i="4"/>
  <c r="A195" i="4"/>
  <c r="C194" i="4"/>
  <c r="B194" i="4"/>
  <c r="A194" i="4"/>
  <c r="C193" i="4"/>
  <c r="B193" i="4"/>
  <c r="A193" i="4"/>
  <c r="C192" i="4"/>
  <c r="B192" i="4"/>
  <c r="A192" i="4"/>
  <c r="C191" i="4"/>
  <c r="B191" i="4"/>
  <c r="A191" i="4"/>
  <c r="C190" i="4"/>
  <c r="B190" i="4"/>
  <c r="A190" i="4"/>
  <c r="C189" i="4"/>
  <c r="B189" i="4"/>
  <c r="A189" i="4"/>
  <c r="C188" i="4"/>
  <c r="B188" i="4"/>
  <c r="A188" i="4"/>
  <c r="C187" i="4"/>
  <c r="B187" i="4"/>
  <c r="A187" i="4"/>
  <c r="C186" i="4"/>
  <c r="B186" i="4"/>
  <c r="A186" i="4"/>
  <c r="C185" i="4"/>
  <c r="B185" i="4"/>
  <c r="A185" i="4"/>
  <c r="C184" i="4"/>
  <c r="B184" i="4"/>
  <c r="A184" i="4"/>
  <c r="C183" i="4"/>
  <c r="B183" i="4"/>
  <c r="A183" i="4"/>
  <c r="C182" i="4"/>
  <c r="B182" i="4"/>
  <c r="A182" i="4"/>
  <c r="C181" i="4"/>
  <c r="B181" i="4"/>
  <c r="A181" i="4"/>
  <c r="C180" i="4"/>
  <c r="B180" i="4"/>
  <c r="A180" i="4"/>
  <c r="C179" i="4"/>
  <c r="B179" i="4"/>
  <c r="A179" i="4"/>
  <c r="C178" i="4"/>
  <c r="B178" i="4"/>
  <c r="A178" i="4"/>
  <c r="C177" i="4"/>
  <c r="B177" i="4"/>
  <c r="A177" i="4"/>
  <c r="C176" i="4"/>
  <c r="B176" i="4"/>
  <c r="A176" i="4"/>
  <c r="C175" i="4"/>
  <c r="B175" i="4"/>
  <c r="A175" i="4"/>
  <c r="C174" i="4"/>
  <c r="B174" i="4"/>
  <c r="A174" i="4"/>
  <c r="C173" i="4"/>
  <c r="B173" i="4"/>
  <c r="A173" i="4"/>
  <c r="C172" i="4"/>
  <c r="B172" i="4"/>
  <c r="A172" i="4"/>
  <c r="C171" i="4"/>
  <c r="B171" i="4"/>
  <c r="A171" i="4"/>
  <c r="C170" i="4"/>
  <c r="B170" i="4"/>
  <c r="A170" i="4"/>
  <c r="C169" i="4"/>
  <c r="B169" i="4"/>
  <c r="A169" i="4"/>
  <c r="C168" i="4"/>
  <c r="B168" i="4"/>
  <c r="A168" i="4"/>
  <c r="C167" i="4"/>
  <c r="B167" i="4"/>
  <c r="A167" i="4"/>
  <c r="C166" i="4"/>
  <c r="B166" i="4"/>
  <c r="A166" i="4"/>
  <c r="C165" i="4"/>
  <c r="B165" i="4"/>
  <c r="A165" i="4"/>
  <c r="C164" i="4"/>
  <c r="B164" i="4"/>
  <c r="A164" i="4"/>
  <c r="C163" i="4"/>
  <c r="B163" i="4"/>
  <c r="A163" i="4"/>
  <c r="C162" i="4"/>
  <c r="B162" i="4"/>
  <c r="A162" i="4"/>
  <c r="C161" i="4"/>
  <c r="B161" i="4"/>
  <c r="A161" i="4"/>
  <c r="C160" i="4"/>
  <c r="B160" i="4"/>
  <c r="A160" i="4"/>
  <c r="C159" i="4"/>
  <c r="B159" i="4"/>
  <c r="A159" i="4"/>
  <c r="C158" i="4"/>
  <c r="B158" i="4"/>
  <c r="A158" i="4"/>
  <c r="C157" i="4"/>
  <c r="B157" i="4"/>
  <c r="A157" i="4"/>
  <c r="C156" i="4"/>
  <c r="B156" i="4"/>
  <c r="A156" i="4"/>
  <c r="C155" i="4"/>
  <c r="B155" i="4"/>
  <c r="A155" i="4"/>
  <c r="C154" i="4"/>
  <c r="B154" i="4"/>
  <c r="A154" i="4"/>
  <c r="C153" i="4"/>
  <c r="B153" i="4"/>
  <c r="A153" i="4"/>
  <c r="C152" i="4"/>
  <c r="B152" i="4"/>
  <c r="A152" i="4"/>
  <c r="C151" i="4"/>
  <c r="B151" i="4"/>
  <c r="A151" i="4"/>
  <c r="C150" i="4"/>
  <c r="B150" i="4"/>
  <c r="A150" i="4"/>
  <c r="C149" i="4"/>
  <c r="B149" i="4"/>
  <c r="A149" i="4"/>
  <c r="C148" i="4"/>
  <c r="B148" i="4"/>
  <c r="A148" i="4"/>
  <c r="C147" i="4"/>
  <c r="B147" i="4"/>
  <c r="A147" i="4"/>
  <c r="C146" i="4"/>
  <c r="B146" i="4"/>
  <c r="A146" i="4"/>
  <c r="C145" i="4"/>
  <c r="B145" i="4"/>
  <c r="A145" i="4"/>
  <c r="C144" i="4"/>
  <c r="B144" i="4"/>
  <c r="A144" i="4"/>
  <c r="C143" i="4"/>
  <c r="B143" i="4"/>
  <c r="A143" i="4"/>
  <c r="C142" i="4"/>
  <c r="B142" i="4"/>
  <c r="A142" i="4"/>
  <c r="C141" i="4"/>
  <c r="B141" i="4"/>
  <c r="A141" i="4"/>
  <c r="C140" i="4"/>
  <c r="B140" i="4"/>
  <c r="A140" i="4"/>
  <c r="C139" i="4"/>
  <c r="B139" i="4"/>
  <c r="A139" i="4"/>
  <c r="C138" i="4"/>
  <c r="B138" i="4"/>
  <c r="A138" i="4"/>
  <c r="C137" i="4"/>
  <c r="B137" i="4"/>
  <c r="A137" i="4"/>
  <c r="C136" i="4"/>
  <c r="B136" i="4"/>
  <c r="A136" i="4"/>
  <c r="C135" i="4"/>
  <c r="B135" i="4"/>
  <c r="A135" i="4"/>
  <c r="C134" i="4"/>
  <c r="B134" i="4"/>
  <c r="A134" i="4"/>
  <c r="C133" i="4"/>
  <c r="B133" i="4"/>
  <c r="A133" i="4"/>
  <c r="C132" i="4"/>
  <c r="B132" i="4"/>
  <c r="A132" i="4"/>
  <c r="C131" i="4"/>
  <c r="B131" i="4"/>
  <c r="A131" i="4"/>
  <c r="C130" i="4"/>
  <c r="B130" i="4"/>
  <c r="A130" i="4"/>
  <c r="C129" i="4"/>
  <c r="B129" i="4"/>
  <c r="A129" i="4"/>
  <c r="C128" i="4"/>
  <c r="B128" i="4"/>
  <c r="A128" i="4"/>
  <c r="C127" i="4"/>
  <c r="B127" i="4"/>
  <c r="A127" i="4"/>
  <c r="C126" i="4"/>
  <c r="B126" i="4"/>
  <c r="A126" i="4"/>
  <c r="C125" i="4"/>
  <c r="B125" i="4"/>
  <c r="A125" i="4"/>
  <c r="C124" i="4"/>
  <c r="B124" i="4"/>
  <c r="A124" i="4"/>
  <c r="C123" i="4"/>
  <c r="B123" i="4"/>
  <c r="A123" i="4"/>
  <c r="C122" i="4"/>
  <c r="B122" i="4"/>
  <c r="A122" i="4"/>
  <c r="C121" i="4"/>
  <c r="B121" i="4"/>
  <c r="A121" i="4"/>
  <c r="C120" i="4"/>
  <c r="B120" i="4"/>
  <c r="A120" i="4"/>
  <c r="C119" i="4"/>
  <c r="B119" i="4"/>
  <c r="A119" i="4"/>
  <c r="C118" i="4"/>
  <c r="B118" i="4"/>
  <c r="A118" i="4"/>
  <c r="C117" i="4"/>
  <c r="B117" i="4"/>
  <c r="A117" i="4"/>
  <c r="C116" i="4"/>
  <c r="B116" i="4"/>
  <c r="A116" i="4"/>
  <c r="C115" i="4"/>
  <c r="B115" i="4"/>
  <c r="A115" i="4"/>
  <c r="C114" i="4"/>
  <c r="B114" i="4"/>
  <c r="A114" i="4"/>
  <c r="C113" i="4"/>
  <c r="B113" i="4"/>
  <c r="A113" i="4"/>
  <c r="C112" i="4"/>
  <c r="B112" i="4"/>
  <c r="A112" i="4"/>
  <c r="C111" i="4"/>
  <c r="B111" i="4"/>
  <c r="A111" i="4"/>
  <c r="C110" i="4"/>
  <c r="B110" i="4"/>
  <c r="A110" i="4"/>
  <c r="C109" i="4"/>
  <c r="B109" i="4"/>
  <c r="A109" i="4"/>
  <c r="C108" i="4"/>
  <c r="B108" i="4"/>
  <c r="A108" i="4"/>
  <c r="C107" i="4"/>
  <c r="B107" i="4"/>
  <c r="A107" i="4"/>
  <c r="C106" i="4"/>
  <c r="B106" i="4"/>
  <c r="A106" i="4"/>
  <c r="C105" i="4"/>
  <c r="B105" i="4"/>
  <c r="A105" i="4"/>
  <c r="C104" i="4"/>
  <c r="B104" i="4"/>
  <c r="A104" i="4"/>
  <c r="C103" i="4"/>
  <c r="B103" i="4"/>
  <c r="A103" i="4"/>
  <c r="C102" i="4"/>
  <c r="B102" i="4"/>
  <c r="A102" i="4"/>
  <c r="C101" i="4"/>
  <c r="B101" i="4"/>
  <c r="A101" i="4"/>
  <c r="C100" i="4"/>
  <c r="B100" i="4"/>
  <c r="A100" i="4"/>
  <c r="C99" i="4"/>
  <c r="B99" i="4"/>
  <c r="A99" i="4"/>
  <c r="C98" i="4"/>
  <c r="B98" i="4"/>
  <c r="A98" i="4"/>
  <c r="C97" i="4"/>
  <c r="B97" i="4"/>
  <c r="A97" i="4"/>
  <c r="C96" i="4"/>
  <c r="B96" i="4"/>
  <c r="A96" i="4"/>
  <c r="C95" i="4"/>
  <c r="B95" i="4"/>
  <c r="A95" i="4"/>
  <c r="C94" i="4"/>
  <c r="B94" i="4"/>
  <c r="A94" i="4"/>
  <c r="C93" i="4"/>
  <c r="B93" i="4"/>
  <c r="A93" i="4"/>
  <c r="C92" i="4"/>
  <c r="B92" i="4"/>
  <c r="A92" i="4"/>
  <c r="C91" i="4"/>
  <c r="B91" i="4"/>
  <c r="A91" i="4"/>
  <c r="C90" i="4"/>
  <c r="B90" i="4"/>
  <c r="A90" i="4"/>
  <c r="C89" i="4"/>
  <c r="B89" i="4"/>
  <c r="A89" i="4"/>
  <c r="C88" i="4"/>
  <c r="B88" i="4"/>
  <c r="A88" i="4"/>
  <c r="C87" i="4"/>
  <c r="B87" i="4"/>
  <c r="A87" i="4"/>
  <c r="C86" i="4"/>
  <c r="B86" i="4"/>
  <c r="A86" i="4"/>
  <c r="C85" i="4"/>
  <c r="B85" i="4"/>
  <c r="A85" i="4"/>
  <c r="C84" i="4"/>
  <c r="B84" i="4"/>
  <c r="A84" i="4"/>
  <c r="C83" i="4"/>
  <c r="B83" i="4"/>
  <c r="A83" i="4"/>
  <c r="C82" i="4"/>
  <c r="B82" i="4"/>
  <c r="A82" i="4"/>
  <c r="C81" i="4"/>
  <c r="B81" i="4"/>
  <c r="A81" i="4"/>
  <c r="C80" i="4"/>
  <c r="B80" i="4"/>
  <c r="A80" i="4"/>
  <c r="C79" i="4"/>
  <c r="B79" i="4"/>
  <c r="A79" i="4"/>
  <c r="C78" i="4"/>
  <c r="B78" i="4"/>
  <c r="A78" i="4"/>
  <c r="C77" i="4"/>
  <c r="B77" i="4"/>
  <c r="A77" i="4"/>
  <c r="C76" i="4"/>
  <c r="B76" i="4"/>
  <c r="A76" i="4"/>
  <c r="C75" i="4"/>
  <c r="B75" i="4"/>
  <c r="A75" i="4"/>
  <c r="C74" i="4"/>
  <c r="B74" i="4"/>
  <c r="A74" i="4"/>
  <c r="C73" i="4"/>
  <c r="B73" i="4"/>
  <c r="A73" i="4"/>
  <c r="C72" i="4"/>
  <c r="B72" i="4"/>
  <c r="A72" i="4"/>
  <c r="C71" i="4"/>
  <c r="B71" i="4"/>
  <c r="A71" i="4"/>
  <c r="C70" i="4"/>
  <c r="B70" i="4"/>
  <c r="A70" i="4"/>
  <c r="C69" i="4"/>
  <c r="B69" i="4"/>
  <c r="A69" i="4"/>
  <c r="C68" i="4"/>
  <c r="B68" i="4"/>
  <c r="A68" i="4"/>
  <c r="C67" i="4"/>
  <c r="B67" i="4"/>
  <c r="A67" i="4"/>
  <c r="C66" i="4"/>
  <c r="B66" i="4"/>
  <c r="A66" i="4"/>
  <c r="C65" i="4"/>
  <c r="B65" i="4"/>
  <c r="A65" i="4"/>
  <c r="C64" i="4"/>
  <c r="B64" i="4"/>
  <c r="A64" i="4"/>
  <c r="C63" i="4"/>
  <c r="B63" i="4"/>
  <c r="A63" i="4"/>
  <c r="C62" i="4"/>
  <c r="B62" i="4"/>
  <c r="A62" i="4"/>
  <c r="C61" i="4"/>
  <c r="B61" i="4"/>
  <c r="A61" i="4"/>
  <c r="C60" i="4"/>
  <c r="B60" i="4"/>
  <c r="A60" i="4"/>
  <c r="C59" i="4"/>
  <c r="B59" i="4"/>
  <c r="A59" i="4"/>
  <c r="C58" i="4"/>
  <c r="B58" i="4"/>
  <c r="A58" i="4"/>
  <c r="C57" i="4"/>
  <c r="B57" i="4"/>
  <c r="A57" i="4"/>
  <c r="C56" i="4"/>
  <c r="B56" i="4"/>
  <c r="A56" i="4"/>
  <c r="C55" i="4"/>
  <c r="B55" i="4"/>
  <c r="A55" i="4"/>
  <c r="C54" i="4"/>
  <c r="B54" i="4"/>
  <c r="A54" i="4"/>
  <c r="C53" i="4"/>
  <c r="B53" i="4"/>
  <c r="A53" i="4"/>
  <c r="C52" i="4"/>
  <c r="B52" i="4"/>
  <c r="A52" i="4"/>
  <c r="C51" i="4"/>
  <c r="B51" i="4"/>
  <c r="A51" i="4"/>
  <c r="C50" i="4"/>
  <c r="B50" i="4"/>
  <c r="A50" i="4"/>
  <c r="C49" i="4"/>
  <c r="B49" i="4"/>
  <c r="A49" i="4"/>
  <c r="C48" i="4"/>
  <c r="B48" i="4"/>
  <c r="A48" i="4"/>
  <c r="C47" i="4"/>
  <c r="B47" i="4"/>
  <c r="A47" i="4"/>
  <c r="C46" i="4"/>
  <c r="B46" i="4"/>
  <c r="A46" i="4"/>
  <c r="C45" i="4"/>
  <c r="B45" i="4"/>
  <c r="A45" i="4"/>
  <c r="C44" i="4"/>
  <c r="B44" i="4"/>
  <c r="A44" i="4"/>
  <c r="C43" i="4"/>
  <c r="B43" i="4"/>
  <c r="A43" i="4"/>
  <c r="C42" i="4"/>
  <c r="B42" i="4"/>
  <c r="A42" i="4"/>
  <c r="C41" i="4"/>
  <c r="B41" i="4"/>
  <c r="A41" i="4"/>
  <c r="C40" i="4"/>
  <c r="B40" i="4"/>
  <c r="A40" i="4"/>
  <c r="C39" i="4"/>
  <c r="B39" i="4"/>
  <c r="A39" i="4"/>
  <c r="C38" i="4"/>
  <c r="B38" i="4"/>
  <c r="A38" i="4"/>
  <c r="C37" i="4"/>
  <c r="B37" i="4"/>
  <c r="A37" i="4"/>
  <c r="C36" i="4"/>
  <c r="A36" i="4"/>
  <c r="C35" i="4"/>
  <c r="B35" i="4"/>
  <c r="A35" i="4"/>
  <c r="C34" i="4"/>
  <c r="B34" i="4"/>
  <c r="A34" i="4"/>
  <c r="C33" i="4"/>
  <c r="B33" i="4"/>
  <c r="A33" i="4"/>
  <c r="C32" i="4"/>
  <c r="B32" i="4"/>
  <c r="A32" i="4"/>
  <c r="C31" i="4"/>
  <c r="B31" i="4"/>
  <c r="A31" i="4"/>
  <c r="C30" i="4"/>
  <c r="B30" i="4"/>
  <c r="A30" i="4"/>
  <c r="C29" i="4"/>
  <c r="B29" i="4"/>
  <c r="A29" i="4"/>
  <c r="C28" i="4"/>
  <c r="B28" i="4"/>
  <c r="A28" i="4"/>
  <c r="C27" i="4"/>
  <c r="B27" i="4"/>
  <c r="A27" i="4"/>
  <c r="C26" i="4"/>
  <c r="B26" i="4"/>
  <c r="A26" i="4"/>
  <c r="C25" i="4"/>
  <c r="B25" i="4"/>
  <c r="A25" i="4"/>
  <c r="C24" i="4"/>
  <c r="B24" i="4"/>
  <c r="A24" i="4"/>
  <c r="C23" i="4"/>
  <c r="B23" i="4"/>
  <c r="A23" i="4"/>
  <c r="C22" i="4"/>
  <c r="B22" i="4"/>
  <c r="A22" i="4"/>
  <c r="C21" i="4"/>
  <c r="B21" i="4"/>
  <c r="A21" i="4"/>
  <c r="C20" i="4"/>
  <c r="B20" i="4"/>
  <c r="A20" i="4"/>
  <c r="C19" i="4"/>
  <c r="B19" i="4"/>
  <c r="A19" i="4"/>
  <c r="C18" i="4"/>
  <c r="B18" i="4"/>
  <c r="A18" i="4"/>
  <c r="C17" i="4"/>
  <c r="B17" i="4"/>
  <c r="A17" i="4"/>
  <c r="C16" i="4"/>
  <c r="B16" i="4"/>
  <c r="A16" i="4"/>
  <c r="C15" i="4"/>
  <c r="B15" i="4"/>
  <c r="A15" i="4"/>
  <c r="C14" i="4"/>
  <c r="B14" i="4"/>
  <c r="A14" i="4"/>
  <c r="C13" i="4"/>
  <c r="B13" i="4"/>
  <c r="A13" i="4"/>
  <c r="C12" i="4"/>
  <c r="B12" i="4"/>
  <c r="A12" i="4"/>
  <c r="C11" i="4"/>
  <c r="B11" i="4"/>
  <c r="A11" i="4"/>
  <c r="C10" i="4"/>
  <c r="B10" i="4"/>
  <c r="A10" i="4"/>
  <c r="C9" i="4"/>
  <c r="B9" i="4"/>
  <c r="C8" i="4"/>
  <c r="B8" i="4"/>
  <c r="A8" i="4"/>
  <c r="C7" i="4"/>
  <c r="B7" i="4"/>
  <c r="A7" i="4"/>
  <c r="C6" i="4"/>
  <c r="B6" i="4"/>
  <c r="A6" i="4"/>
  <c r="C5" i="4"/>
  <c r="B5" i="4"/>
  <c r="A5" i="4"/>
  <c r="C4" i="4"/>
  <c r="B4" i="4"/>
  <c r="A4" i="4"/>
  <c r="C3" i="4"/>
  <c r="B3" i="4"/>
  <c r="A3" i="4"/>
  <c r="C2" i="4"/>
  <c r="B2" i="4"/>
  <c r="A2" i="4"/>
  <c r="G331" i="4" l="1"/>
  <c r="G7" i="4"/>
  <c r="G15" i="4"/>
  <c r="G23" i="4"/>
  <c r="G31" i="4"/>
  <c r="G39" i="4"/>
  <c r="G47" i="4"/>
  <c r="G55" i="4"/>
  <c r="G63" i="4"/>
  <c r="G71" i="4"/>
  <c r="G79" i="4"/>
  <c r="G87" i="4"/>
  <c r="G95" i="4"/>
  <c r="G103" i="4"/>
  <c r="G111" i="4"/>
  <c r="G119" i="4"/>
  <c r="G127" i="4"/>
  <c r="G135" i="4"/>
  <c r="G8" i="4"/>
  <c r="G16" i="4"/>
  <c r="G24" i="4"/>
  <c r="G32" i="4"/>
  <c r="G40" i="4"/>
  <c r="G48" i="4"/>
  <c r="G56" i="4"/>
  <c r="G64" i="4"/>
  <c r="G72" i="4"/>
  <c r="G80" i="4"/>
  <c r="G88" i="4"/>
  <c r="G9" i="4"/>
  <c r="G17" i="4"/>
  <c r="G25" i="4"/>
  <c r="G33" i="4"/>
  <c r="G41" i="4"/>
  <c r="G49" i="4"/>
  <c r="G57" i="4"/>
  <c r="G65" i="4"/>
  <c r="G73" i="4"/>
  <c r="G81" i="4"/>
  <c r="G89" i="4"/>
  <c r="G97" i="4"/>
  <c r="G105" i="4"/>
  <c r="G113" i="4"/>
  <c r="G121" i="4"/>
  <c r="G129" i="4"/>
  <c r="G137" i="4"/>
  <c r="G145" i="4"/>
  <c r="G153" i="4"/>
  <c r="G161" i="4"/>
  <c r="G169" i="4"/>
  <c r="G177" i="4"/>
  <c r="G185" i="4"/>
  <c r="G193" i="4"/>
  <c r="G201" i="4"/>
  <c r="G209" i="4"/>
  <c r="G217" i="4"/>
  <c r="G225" i="4"/>
  <c r="G233" i="4"/>
  <c r="G241" i="4"/>
  <c r="G249" i="4"/>
  <c r="G257" i="4"/>
  <c r="G265" i="4"/>
  <c r="G273" i="4"/>
  <c r="G281" i="4"/>
  <c r="G289" i="4"/>
  <c r="G297" i="4"/>
  <c r="G305" i="4"/>
  <c r="G313" i="4"/>
  <c r="G321" i="4"/>
  <c r="G329" i="4"/>
  <c r="G337" i="4"/>
  <c r="G345" i="4"/>
  <c r="G353" i="4"/>
  <c r="G361" i="4"/>
  <c r="G369" i="4"/>
  <c r="G377" i="4"/>
  <c r="G385" i="4"/>
  <c r="G393" i="4"/>
  <c r="G401" i="4"/>
  <c r="G409" i="4"/>
  <c r="G417" i="4"/>
  <c r="G425" i="4"/>
  <c r="G433" i="4"/>
  <c r="G441" i="4"/>
  <c r="G449" i="4"/>
  <c r="G457" i="4"/>
  <c r="G465" i="4"/>
  <c r="G473" i="4"/>
  <c r="G521" i="4"/>
  <c r="G10" i="4"/>
  <c r="G18" i="4"/>
  <c r="G26" i="4"/>
  <c r="G34" i="4"/>
  <c r="G42" i="4"/>
  <c r="G50" i="4"/>
  <c r="G58" i="4"/>
  <c r="G66" i="4"/>
  <c r="G74" i="4"/>
  <c r="G82" i="4"/>
  <c r="G90" i="4"/>
  <c r="G98" i="4"/>
  <c r="G106" i="4"/>
  <c r="G114" i="4"/>
  <c r="G122" i="4"/>
  <c r="G130" i="4"/>
  <c r="G138" i="4"/>
  <c r="G146" i="4"/>
  <c r="G154" i="4"/>
  <c r="G162" i="4"/>
  <c r="G170" i="4"/>
  <c r="G178" i="4"/>
  <c r="G186" i="4"/>
  <c r="G194" i="4"/>
  <c r="G202" i="4"/>
  <c r="G210" i="4"/>
  <c r="G218" i="4"/>
  <c r="G226" i="4"/>
  <c r="G234" i="4"/>
  <c r="G242" i="4"/>
  <c r="G250" i="4"/>
  <c r="G258" i="4"/>
  <c r="G266" i="4"/>
  <c r="G274" i="4"/>
  <c r="G282" i="4"/>
  <c r="G290" i="4"/>
  <c r="G298" i="4"/>
  <c r="G306" i="4"/>
  <c r="G314" i="4"/>
  <c r="G322" i="4"/>
  <c r="G330" i="4"/>
  <c r="G338" i="4"/>
  <c r="G346" i="4"/>
  <c r="G354" i="4"/>
  <c r="G362" i="4"/>
  <c r="G370" i="4"/>
  <c r="G378" i="4"/>
  <c r="G386" i="4"/>
  <c r="G394" i="4"/>
  <c r="G402" i="4"/>
  <c r="G410" i="4"/>
  <c r="G418" i="4"/>
  <c r="G426" i="4"/>
  <c r="G434" i="4"/>
  <c r="G442" i="4"/>
  <c r="G450" i="4"/>
  <c r="G458" i="4"/>
  <c r="G466" i="4"/>
  <c r="G618" i="4"/>
  <c r="G650" i="4"/>
  <c r="G682" i="4"/>
  <c r="G698" i="4"/>
  <c r="G714" i="4"/>
  <c r="G722" i="4"/>
  <c r="G738" i="4"/>
  <c r="G746" i="4"/>
  <c r="G762" i="4"/>
  <c r="G778" i="4"/>
  <c r="G11" i="4"/>
  <c r="G19" i="4"/>
  <c r="G27" i="4"/>
  <c r="G35" i="4"/>
  <c r="G43" i="4"/>
  <c r="G51" i="4"/>
  <c r="G59" i="4"/>
  <c r="G67" i="4"/>
  <c r="G75" i="4"/>
  <c r="G83" i="4"/>
  <c r="G91" i="4"/>
  <c r="G99" i="4"/>
  <c r="G107" i="4"/>
  <c r="G115" i="4"/>
  <c r="G123" i="4"/>
  <c r="G131" i="4"/>
  <c r="G139" i="4"/>
  <c r="G147" i="4"/>
  <c r="G155" i="4"/>
  <c r="G163" i="4"/>
  <c r="G171" i="4"/>
  <c r="G179" i="4"/>
  <c r="G187" i="4"/>
  <c r="G195" i="4"/>
  <c r="G203" i="4"/>
  <c r="G211" i="4"/>
  <c r="G219" i="4"/>
  <c r="G227" i="4"/>
  <c r="G235" i="4"/>
  <c r="G243" i="4"/>
  <c r="G251" i="4"/>
  <c r="G259" i="4"/>
  <c r="G267" i="4"/>
  <c r="G275" i="4"/>
  <c r="G283" i="4"/>
  <c r="G291" i="4"/>
  <c r="G299" i="4"/>
  <c r="G307" i="4"/>
  <c r="G315" i="4"/>
  <c r="G323" i="4"/>
  <c r="G339" i="4"/>
  <c r="G347" i="4"/>
  <c r="G355" i="4"/>
  <c r="G363" i="4"/>
  <c r="G371" i="4"/>
  <c r="G379" i="4"/>
  <c r="G387" i="4"/>
  <c r="G395" i="4"/>
  <c r="G403" i="4"/>
  <c r="G411" i="4"/>
  <c r="G419" i="4"/>
  <c r="G427" i="4"/>
  <c r="G435" i="4"/>
  <c r="G443" i="4"/>
  <c r="G451" i="4"/>
  <c r="G459" i="4"/>
  <c r="G467" i="4"/>
  <c r="G475" i="4"/>
  <c r="G483" i="4"/>
  <c r="G491" i="4"/>
  <c r="G499" i="4"/>
  <c r="G507" i="4"/>
  <c r="G515" i="4"/>
  <c r="G523" i="4"/>
  <c r="G531" i="4"/>
  <c r="G539" i="4"/>
  <c r="G547" i="4"/>
  <c r="G555" i="4"/>
  <c r="G563" i="4"/>
  <c r="G571" i="4"/>
  <c r="G579" i="4"/>
  <c r="G587" i="4"/>
  <c r="G595" i="4"/>
  <c r="G603" i="4"/>
  <c r="G611" i="4"/>
  <c r="G619" i="4"/>
  <c r="G627" i="4"/>
  <c r="G635" i="4"/>
  <c r="G643" i="4"/>
  <c r="G651" i="4"/>
  <c r="G659" i="4"/>
  <c r="G667" i="4"/>
  <c r="G675" i="4"/>
  <c r="G683" i="4"/>
  <c r="G691" i="4"/>
  <c r="G699" i="4"/>
  <c r="G707" i="4"/>
  <c r="G715" i="4"/>
  <c r="G723" i="4"/>
  <c r="G731" i="4"/>
  <c r="G739" i="4"/>
  <c r="G747" i="4"/>
  <c r="G755" i="4"/>
  <c r="G763" i="4"/>
  <c r="G771" i="4"/>
  <c r="G779" i="4"/>
  <c r="G787" i="4"/>
  <c r="G795" i="4"/>
  <c r="G803" i="4"/>
  <c r="G811" i="4"/>
  <c r="G819" i="4"/>
  <c r="G827" i="4"/>
  <c r="G835" i="4"/>
  <c r="G843" i="4"/>
  <c r="G851" i="4"/>
  <c r="G859" i="4"/>
  <c r="G867" i="4"/>
  <c r="G875" i="4"/>
  <c r="G883" i="4"/>
  <c r="G891" i="4"/>
  <c r="G899" i="4"/>
  <c r="G907" i="4"/>
  <c r="G915" i="4"/>
  <c r="G4" i="4"/>
  <c r="G12" i="4"/>
  <c r="G20" i="4"/>
  <c r="G28" i="4"/>
  <c r="G36" i="4"/>
  <c r="G44" i="4"/>
  <c r="G52" i="4"/>
  <c r="G60" i="4"/>
  <c r="G68" i="4"/>
  <c r="G76" i="4"/>
  <c r="G84" i="4"/>
  <c r="G92" i="4"/>
  <c r="G100" i="4"/>
  <c r="G108" i="4"/>
  <c r="G116" i="4"/>
  <c r="G124" i="4"/>
  <c r="G132" i="4"/>
  <c r="G140" i="4"/>
  <c r="G148" i="4"/>
  <c r="G156" i="4"/>
  <c r="G164" i="4"/>
  <c r="G172" i="4"/>
  <c r="G180" i="4"/>
  <c r="G188" i="4"/>
  <c r="G196" i="4"/>
  <c r="G204" i="4"/>
  <c r="G212" i="4"/>
  <c r="G220" i="4"/>
  <c r="G228" i="4"/>
  <c r="G236" i="4"/>
  <c r="G244" i="4"/>
  <c r="G252" i="4"/>
  <c r="G260" i="4"/>
  <c r="G268" i="4"/>
  <c r="G276" i="4"/>
  <c r="G284" i="4"/>
  <c r="G292" i="4"/>
  <c r="G300" i="4"/>
  <c r="G308" i="4"/>
  <c r="G316" i="4"/>
  <c r="G324" i="4"/>
  <c r="G332" i="4"/>
  <c r="G340" i="4"/>
  <c r="G348" i="4"/>
  <c r="G356" i="4"/>
  <c r="G364" i="4"/>
  <c r="G372" i="4"/>
  <c r="G380" i="4"/>
  <c r="G388" i="4"/>
  <c r="G396" i="4"/>
  <c r="G404" i="4"/>
  <c r="G412" i="4"/>
  <c r="G420" i="4"/>
  <c r="G428" i="4"/>
  <c r="G436" i="4"/>
  <c r="G444" i="4"/>
  <c r="G452" i="4"/>
  <c r="G460" i="4"/>
  <c r="G468" i="4"/>
  <c r="G476" i="4"/>
  <c r="G484" i="4"/>
  <c r="G492" i="4"/>
  <c r="G500" i="4"/>
  <c r="G508" i="4"/>
  <c r="G516" i="4"/>
  <c r="G524" i="4"/>
  <c r="G532" i="4"/>
  <c r="G5" i="4"/>
  <c r="G13" i="4"/>
  <c r="G21" i="4"/>
  <c r="G29" i="4"/>
  <c r="G37" i="4"/>
  <c r="G45" i="4"/>
  <c r="G53" i="4"/>
  <c r="G61" i="4"/>
  <c r="G69" i="4"/>
  <c r="G77" i="4"/>
  <c r="G85" i="4"/>
  <c r="G93" i="4"/>
  <c r="G101" i="4"/>
  <c r="G109" i="4"/>
  <c r="G117" i="4"/>
  <c r="G125" i="4"/>
  <c r="G133" i="4"/>
  <c r="G141" i="4"/>
  <c r="G149" i="4"/>
  <c r="G157" i="4"/>
  <c r="G165" i="4"/>
  <c r="G173" i="4"/>
  <c r="G181" i="4"/>
  <c r="G189" i="4"/>
  <c r="G197" i="4"/>
  <c r="G205" i="4"/>
  <c r="G213" i="4"/>
  <c r="G221" i="4"/>
  <c r="G229" i="4"/>
  <c r="G237" i="4"/>
  <c r="G245" i="4"/>
  <c r="G253" i="4"/>
  <c r="G261" i="4"/>
  <c r="G269" i="4"/>
  <c r="G277" i="4"/>
  <c r="G285" i="4"/>
  <c r="G293" i="4"/>
  <c r="G301" i="4"/>
  <c r="G309" i="4"/>
  <c r="G317" i="4"/>
  <c r="G540" i="4"/>
  <c r="G548" i="4"/>
  <c r="G556" i="4"/>
  <c r="G564" i="4"/>
  <c r="G572" i="4"/>
  <c r="G580" i="4"/>
  <c r="G588" i="4"/>
  <c r="G596" i="4"/>
  <c r="G604" i="4"/>
  <c r="G612" i="4"/>
  <c r="G620" i="4"/>
  <c r="G628" i="4"/>
  <c r="G636" i="4"/>
  <c r="G644" i="4"/>
  <c r="G652" i="4"/>
  <c r="G660" i="4"/>
  <c r="G668" i="4"/>
  <c r="G676" i="4"/>
  <c r="G684" i="4"/>
  <c r="G692" i="4"/>
  <c r="G700" i="4"/>
  <c r="G708" i="4"/>
  <c r="G716" i="4"/>
  <c r="G724" i="4"/>
  <c r="G732" i="4"/>
  <c r="G740" i="4"/>
  <c r="G748" i="4"/>
  <c r="G756" i="4"/>
  <c r="G764" i="4"/>
  <c r="G772" i="4"/>
  <c r="G780" i="4"/>
  <c r="G788" i="4"/>
  <c r="G796" i="4"/>
  <c r="G804" i="4"/>
  <c r="G812" i="4"/>
  <c r="G820" i="4"/>
  <c r="G828" i="4"/>
  <c r="G836" i="4"/>
  <c r="G844" i="4"/>
  <c r="G852" i="4"/>
  <c r="G860" i="4"/>
  <c r="G868" i="4"/>
  <c r="G876" i="4"/>
  <c r="G884" i="4"/>
  <c r="G892" i="4"/>
  <c r="G900" i="4"/>
  <c r="G908" i="4"/>
  <c r="G916" i="4"/>
  <c r="G325" i="4"/>
  <c r="G333" i="4"/>
  <c r="G341" i="4"/>
  <c r="G349" i="4"/>
  <c r="G357" i="4"/>
  <c r="G365" i="4"/>
  <c r="G373" i="4"/>
  <c r="G381" i="4"/>
  <c r="G389" i="4"/>
  <c r="G397" i="4"/>
  <c r="G405" i="4"/>
  <c r="G413" i="4"/>
  <c r="G421" i="4"/>
  <c r="G429" i="4"/>
  <c r="G437" i="4"/>
  <c r="G445" i="4"/>
  <c r="G453" i="4"/>
  <c r="G461" i="4"/>
  <c r="G469" i="4"/>
  <c r="G477" i="4"/>
  <c r="G485" i="4"/>
  <c r="G493" i="4"/>
  <c r="G501" i="4"/>
  <c r="G517" i="4"/>
  <c r="G525" i="4"/>
  <c r="G533" i="4"/>
  <c r="G541" i="4"/>
  <c r="G549" i="4"/>
  <c r="G557" i="4"/>
  <c r="G565" i="4"/>
  <c r="G581" i="4"/>
  <c r="G589" i="4"/>
  <c r="G605" i="4"/>
  <c r="G613" i="4"/>
  <c r="G621" i="4"/>
  <c r="G637" i="4"/>
  <c r="G645" i="4"/>
  <c r="G653" i="4"/>
  <c r="G669" i="4"/>
  <c r="G677" i="4"/>
  <c r="G685" i="4"/>
  <c r="G693" i="4"/>
  <c r="G701" i="4"/>
  <c r="G709" i="4"/>
  <c r="G717" i="4"/>
  <c r="G725" i="4"/>
  <c r="G733" i="4"/>
  <c r="G741" i="4"/>
  <c r="G749" i="4"/>
  <c r="G757" i="4"/>
  <c r="G765" i="4"/>
  <c r="G773" i="4"/>
  <c r="G781" i="4"/>
  <c r="G789" i="4"/>
  <c r="G797" i="4"/>
  <c r="G805" i="4"/>
  <c r="G813" i="4"/>
  <c r="G821" i="4"/>
  <c r="G638" i="4"/>
  <c r="G646" i="4"/>
  <c r="G654" i="4"/>
  <c r="G662" i="4"/>
  <c r="G670" i="4"/>
  <c r="G678" i="4"/>
  <c r="G686" i="4"/>
  <c r="G694" i="4"/>
  <c r="G702" i="4"/>
  <c r="G710" i="4"/>
  <c r="G718" i="4"/>
  <c r="G726" i="4"/>
  <c r="G734" i="4"/>
  <c r="G742" i="4"/>
  <c r="G750" i="4"/>
  <c r="G758" i="4"/>
  <c r="G766" i="4"/>
  <c r="G774" i="4"/>
  <c r="G782" i="4"/>
  <c r="G790" i="4"/>
  <c r="G798" i="4"/>
  <c r="G806" i="4"/>
  <c r="G814" i="4"/>
  <c r="G822" i="4"/>
  <c r="G830" i="4"/>
  <c r="G838" i="4"/>
  <c r="G846" i="4"/>
  <c r="G854" i="4"/>
  <c r="G862" i="4"/>
  <c r="G870" i="4"/>
  <c r="G878" i="4"/>
  <c r="G886" i="4"/>
  <c r="G894" i="4"/>
  <c r="G902" i="4"/>
  <c r="G910" i="4"/>
  <c r="G918" i="4"/>
  <c r="G143" i="4"/>
  <c r="G151" i="4"/>
  <c r="G159" i="4"/>
  <c r="G167" i="4"/>
  <c r="G175" i="4"/>
  <c r="G183" i="4"/>
  <c r="G191" i="4"/>
  <c r="G199" i="4"/>
  <c r="G207" i="4"/>
  <c r="G215" i="4"/>
  <c r="G223" i="4"/>
  <c r="G231" i="4"/>
  <c r="G239" i="4"/>
  <c r="G247" i="4"/>
  <c r="G255" i="4"/>
  <c r="G263" i="4"/>
  <c r="G271" i="4"/>
  <c r="G279" i="4"/>
  <c r="G287" i="4"/>
  <c r="G295" i="4"/>
  <c r="G303" i="4"/>
  <c r="G311" i="4"/>
  <c r="G319" i="4"/>
  <c r="G327" i="4"/>
  <c r="G335" i="4"/>
  <c r="G343" i="4"/>
  <c r="G351" i="4"/>
  <c r="G359" i="4"/>
  <c r="G367" i="4"/>
  <c r="G375" i="4"/>
  <c r="G383" i="4"/>
  <c r="G391" i="4"/>
  <c r="G399" i="4"/>
  <c r="G407" i="4"/>
  <c r="G415" i="4"/>
  <c r="G423" i="4"/>
  <c r="G431" i="4"/>
  <c r="G439" i="4"/>
  <c r="G447" i="4"/>
  <c r="G455" i="4"/>
  <c r="G463" i="4"/>
  <c r="G471" i="4"/>
  <c r="G479" i="4"/>
  <c r="G487" i="4"/>
  <c r="G687" i="4"/>
  <c r="G695" i="4"/>
  <c r="G703" i="4"/>
  <c r="G711" i="4"/>
  <c r="G719" i="4"/>
  <c r="G727" i="4"/>
  <c r="G735" i="4"/>
  <c r="G743" i="4"/>
  <c r="G751" i="4"/>
  <c r="G759" i="4"/>
  <c r="G767" i="4"/>
  <c r="G775" i="4"/>
  <c r="G783" i="4"/>
  <c r="G791" i="4"/>
  <c r="G799" i="4"/>
  <c r="G807" i="4"/>
  <c r="G815" i="4"/>
  <c r="G823" i="4"/>
  <c r="G831" i="4"/>
  <c r="G839" i="4"/>
  <c r="G847" i="4"/>
  <c r="G855" i="4"/>
  <c r="G863" i="4"/>
  <c r="G871" i="4"/>
  <c r="G879" i="4"/>
  <c r="G887" i="4"/>
  <c r="G895" i="4"/>
  <c r="G903" i="4"/>
  <c r="G911" i="4"/>
  <c r="G96" i="4"/>
  <c r="G104" i="4"/>
  <c r="G112" i="4"/>
  <c r="G120" i="4"/>
  <c r="G128" i="4"/>
  <c r="G136" i="4"/>
  <c r="G144" i="4"/>
  <c r="G152" i="4"/>
  <c r="G160" i="4"/>
  <c r="G168" i="4"/>
  <c r="G176" i="4"/>
  <c r="G184" i="4"/>
  <c r="G192" i="4"/>
  <c r="G200" i="4"/>
  <c r="G208" i="4"/>
  <c r="G216" i="4"/>
  <c r="G224" i="4"/>
  <c r="G232" i="4"/>
  <c r="G240" i="4"/>
  <c r="G248" i="4"/>
  <c r="G256" i="4"/>
  <c r="G264" i="4"/>
  <c r="G272" i="4"/>
  <c r="G280" i="4"/>
  <c r="G288" i="4"/>
  <c r="G296" i="4"/>
  <c r="G304" i="4"/>
  <c r="G312" i="4"/>
  <c r="G320" i="4"/>
  <c r="G328" i="4"/>
  <c r="G336" i="4"/>
  <c r="G344" i="4"/>
  <c r="G352" i="4"/>
  <c r="G360" i="4"/>
  <c r="G368" i="4"/>
  <c r="G376" i="4"/>
  <c r="G384" i="4"/>
  <c r="G392" i="4"/>
  <c r="G400" i="4"/>
  <c r="G408" i="4"/>
  <c r="G416" i="4"/>
  <c r="G424" i="4"/>
  <c r="G432" i="4"/>
  <c r="G440" i="4"/>
  <c r="G448" i="4"/>
  <c r="G456" i="4"/>
  <c r="G464" i="4"/>
  <c r="G472" i="4"/>
  <c r="G480" i="4"/>
  <c r="G488" i="4"/>
  <c r="G504" i="4"/>
  <c r="G512" i="4"/>
  <c r="G520" i="4"/>
  <c r="G528" i="4"/>
  <c r="G536" i="4"/>
  <c r="G544" i="4"/>
  <c r="G552" i="4"/>
  <c r="G568" i="4"/>
  <c r="G576" i="4"/>
  <c r="G584" i="4"/>
  <c r="G592" i="4"/>
  <c r="G600" i="4"/>
  <c r="G616" i="4"/>
  <c r="G624" i="4"/>
  <c r="G632" i="4"/>
  <c r="G648" i="4"/>
  <c r="G656" i="4"/>
  <c r="G664" i="4"/>
  <c r="G680" i="4"/>
  <c r="G688" i="4"/>
  <c r="G696" i="4"/>
  <c r="G704" i="4"/>
  <c r="G712" i="4"/>
  <c r="G720" i="4"/>
  <c r="G728" i="4"/>
  <c r="G736" i="4"/>
  <c r="G744" i="4"/>
  <c r="G481" i="4"/>
  <c r="G489" i="4"/>
  <c r="G497" i="4"/>
  <c r="G505" i="4"/>
  <c r="G513" i="4"/>
  <c r="G529" i="4"/>
  <c r="G537" i="4"/>
  <c r="G545" i="4"/>
  <c r="G553" i="4"/>
  <c r="G561" i="4"/>
  <c r="G569" i="4"/>
  <c r="G577" i="4"/>
  <c r="G593" i="4"/>
  <c r="G601" i="4"/>
  <c r="G609" i="4"/>
  <c r="G617" i="4"/>
  <c r="G625" i="4"/>
  <c r="G633" i="4"/>
  <c r="G641" i="4"/>
  <c r="G649" i="4"/>
  <c r="G657" i="4"/>
  <c r="G665" i="4"/>
  <c r="G673" i="4"/>
  <c r="G681" i="4"/>
  <c r="G689" i="4"/>
  <c r="G697" i="4"/>
  <c r="G705" i="4"/>
  <c r="G713" i="4"/>
  <c r="G721" i="4"/>
  <c r="G729" i="4"/>
  <c r="G737" i="4"/>
  <c r="G745" i="4"/>
  <c r="G753" i="4"/>
  <c r="G761" i="4"/>
  <c r="G769" i="4"/>
  <c r="G777" i="4"/>
  <c r="G785" i="4"/>
  <c r="G793" i="4"/>
  <c r="G801" i="4"/>
  <c r="G809" i="4"/>
  <c r="G817" i="4"/>
  <c r="G825" i="4"/>
  <c r="G833" i="4"/>
  <c r="G841" i="4"/>
  <c r="G849" i="4"/>
  <c r="G857" i="4"/>
  <c r="G865" i="4"/>
  <c r="G873" i="4"/>
  <c r="G881" i="4"/>
  <c r="G889" i="4"/>
  <c r="G897" i="4"/>
  <c r="G905" i="4"/>
  <c r="G913" i="4"/>
  <c r="G474" i="4"/>
  <c r="G482" i="4"/>
  <c r="G490" i="4"/>
  <c r="G498" i="4"/>
  <c r="G506" i="4"/>
  <c r="G514" i="4"/>
  <c r="G522" i="4"/>
  <c r="G530" i="4"/>
  <c r="G538" i="4"/>
  <c r="G546" i="4"/>
  <c r="G554" i="4"/>
  <c r="G562" i="4"/>
  <c r="G570" i="4"/>
  <c r="G578" i="4"/>
  <c r="G586" i="4"/>
  <c r="G594" i="4"/>
  <c r="G602" i="4"/>
  <c r="G610" i="4"/>
  <c r="G626" i="4"/>
  <c r="G634" i="4"/>
  <c r="G642" i="4"/>
  <c r="G658" i="4"/>
  <c r="G666" i="4"/>
  <c r="G674" i="4"/>
  <c r="G495" i="4"/>
  <c r="G503" i="4"/>
  <c r="G511" i="4"/>
  <c r="G519" i="4"/>
  <c r="G527" i="4"/>
  <c r="G535" i="4"/>
  <c r="G543" i="4"/>
  <c r="G551" i="4"/>
  <c r="G559" i="4"/>
  <c r="G567" i="4"/>
  <c r="G575" i="4"/>
  <c r="G583" i="4"/>
  <c r="G591" i="4"/>
  <c r="G599" i="4"/>
  <c r="G607" i="4"/>
  <c r="G615" i="4"/>
  <c r="G623" i="4"/>
  <c r="G631" i="4"/>
  <c r="G639" i="4"/>
  <c r="G647" i="4"/>
  <c r="G655" i="4"/>
  <c r="G663" i="4"/>
  <c r="G671" i="4"/>
  <c r="G679" i="4"/>
</calcChain>
</file>

<file path=xl/sharedStrings.xml><?xml version="1.0" encoding="utf-8"?>
<sst xmlns="http://schemas.openxmlformats.org/spreadsheetml/2006/main" count="12054" uniqueCount="2207">
  <si>
    <t>OrderID</t>
  </si>
  <si>
    <t>OrderDate</t>
  </si>
  <si>
    <t>CustomerID</t>
  </si>
  <si>
    <t>ProductID</t>
  </si>
  <si>
    <t>UnitsSold</t>
  </si>
  <si>
    <t>PricePerUnit</t>
  </si>
  <si>
    <t>TotalRevenue</t>
  </si>
  <si>
    <t>Region</t>
  </si>
  <si>
    <t>Country</t>
  </si>
  <si>
    <t>City</t>
  </si>
  <si>
    <t>SalesPerson</t>
  </si>
  <si>
    <t>CustomerType</t>
  </si>
  <si>
    <t>ORD-10001</t>
  </si>
  <si>
    <t>2024-01-30</t>
  </si>
  <si>
    <t>CUST-1143</t>
  </si>
  <si>
    <t>C302</t>
  </si>
  <si>
    <t>810.00</t>
  </si>
  <si>
    <t>LATAM</t>
  </si>
  <si>
    <t>Brazil</t>
  </si>
  <si>
    <t/>
  </si>
  <si>
    <t>Sales Rep 4</t>
  </si>
  <si>
    <t>Returning</t>
  </si>
  <si>
    <t>ORD-10002</t>
  </si>
  <si>
    <t>2023-01-03</t>
  </si>
  <si>
    <t>CUST-1061</t>
  </si>
  <si>
    <t>C301</t>
  </si>
  <si>
    <t>180.00</t>
  </si>
  <si>
    <t>NA</t>
  </si>
  <si>
    <t>USA</t>
  </si>
  <si>
    <t>Chicago</t>
  </si>
  <si>
    <t>Sales Rep 5</t>
  </si>
  <si>
    <t>VIP</t>
  </si>
  <si>
    <t>ORD-10003</t>
  </si>
  <si>
    <t>2024-03-19</t>
  </si>
  <si>
    <t>CUST-1021</t>
  </si>
  <si>
    <t>C303</t>
  </si>
  <si>
    <t>900.00</t>
  </si>
  <si>
    <t>EMEA</t>
  </si>
  <si>
    <t>Germany</t>
  </si>
  <si>
    <t>Berlin</t>
  </si>
  <si>
    <t>ORD-10004</t>
  </si>
  <si>
    <t>2023-08-29</t>
  </si>
  <si>
    <t>CUST-1079</t>
  </si>
  <si>
    <t>P103</t>
  </si>
  <si>
    <t>285.00</t>
  </si>
  <si>
    <t>Sales Rep 3</t>
  </si>
  <si>
    <t>New</t>
  </si>
  <si>
    <t>ORD-10005</t>
  </si>
  <si>
    <t>2025-08-31</t>
  </si>
  <si>
    <t>CUST-1041</t>
  </si>
  <si>
    <t>P202</t>
  </si>
  <si>
    <t>490.00</t>
  </si>
  <si>
    <t xml:space="preserve"> USA </t>
  </si>
  <si>
    <t xml:space="preserve"> New York </t>
  </si>
  <si>
    <t>Michael Johnson</t>
  </si>
  <si>
    <t>ORD-10006</t>
  </si>
  <si>
    <t>2022-07-06</t>
  </si>
  <si>
    <t>CUST-1125</t>
  </si>
  <si>
    <t>700.00</t>
  </si>
  <si>
    <t xml:space="preserve"> Berlin </t>
  </si>
  <si>
    <t>Sales Rep 1</t>
  </si>
  <si>
    <t>ORD-10007</t>
  </si>
  <si>
    <t>2024-09-28</t>
  </si>
  <si>
    <t>CUST-1161</t>
  </si>
  <si>
    <t>540.00</t>
  </si>
  <si>
    <t>SÃ£o Paulo</t>
  </si>
  <si>
    <t>Sales Rep 2</t>
  </si>
  <si>
    <t>2024-09-09</t>
  </si>
  <si>
    <t>CUST-1153</t>
  </si>
  <si>
    <t>1805.00</t>
  </si>
  <si>
    <t>APAC</t>
  </si>
  <si>
    <t>Japan</t>
  </si>
  <si>
    <t>Tokyo</t>
  </si>
  <si>
    <t>Hiroshi Tanaka</t>
  </si>
  <si>
    <t xml:space="preserve"> VIP </t>
  </si>
  <si>
    <t>ORD-10009</t>
  </si>
  <si>
    <t>2022-07-29</t>
  </si>
  <si>
    <t>CUST-1012</t>
  </si>
  <si>
    <t>120.00</t>
  </si>
  <si>
    <t>New York</t>
  </si>
  <si>
    <t>ORD-10010</t>
  </si>
  <si>
    <t>2026-03-13</t>
  </si>
  <si>
    <t>CUST-1130</t>
  </si>
  <si>
    <t>UK</t>
  </si>
  <si>
    <t>London</t>
  </si>
  <si>
    <t xml:space="preserve"> John Smith </t>
  </si>
  <si>
    <t>ORD-10011</t>
  </si>
  <si>
    <t>2022-05-28</t>
  </si>
  <si>
    <t>CUST-1127</t>
  </si>
  <si>
    <t xml:space="preserve"> 270.00 </t>
  </si>
  <si>
    <t>Argentina</t>
  </si>
  <si>
    <t>Buenos Aires</t>
  </si>
  <si>
    <t>ORD-10012</t>
  </si>
  <si>
    <t>2022-03-26</t>
  </si>
  <si>
    <t>P203</t>
  </si>
  <si>
    <t>441.00</t>
  </si>
  <si>
    <t>ORD-10013</t>
  </si>
  <si>
    <t>2025-11-30</t>
  </si>
  <si>
    <t>CUST-1027</t>
  </si>
  <si>
    <t>520.00</t>
  </si>
  <si>
    <t>Canada</t>
  </si>
  <si>
    <t>Toronto</t>
  </si>
  <si>
    <t>ORD-10014</t>
  </si>
  <si>
    <t>2024-09-30</t>
  </si>
  <si>
    <t>CUST-1058</t>
  </si>
  <si>
    <t>ORD-10015</t>
  </si>
  <si>
    <t>2023-09-15</t>
  </si>
  <si>
    <t>CUST-1139</t>
  </si>
  <si>
    <t>850.00</t>
  </si>
  <si>
    <t>ORD-10016</t>
  </si>
  <si>
    <t>2024-07-08</t>
  </si>
  <si>
    <t>1197.00</t>
  </si>
  <si>
    <t>ORD-10017</t>
  </si>
  <si>
    <t>CUST-1166</t>
  </si>
  <si>
    <t>495.00</t>
  </si>
  <si>
    <t>ORD-10018</t>
  </si>
  <si>
    <t>2026-05-30</t>
  </si>
  <si>
    <t>1080.00</t>
  </si>
  <si>
    <t>ORD-10019</t>
  </si>
  <si>
    <t>2023-06-17</t>
  </si>
  <si>
    <t>CUST-1193</t>
  </si>
  <si>
    <t>1022.00</t>
  </si>
  <si>
    <t>ORD-10020</t>
  </si>
  <si>
    <t>2023-08-28</t>
  </si>
  <si>
    <t>CUST-1158</t>
  </si>
  <si>
    <t>C304</t>
  </si>
  <si>
    <t>1134.00</t>
  </si>
  <si>
    <t>ORD-10021</t>
  </si>
  <si>
    <t>2022-03-28</t>
  </si>
  <si>
    <t>CUST-1051</t>
  </si>
  <si>
    <t>420.00</t>
  </si>
  <si>
    <t>ORD-10022</t>
  </si>
  <si>
    <t>2022-10-01</t>
  </si>
  <si>
    <t>CUST-1175</t>
  </si>
  <si>
    <t>ORD-10023</t>
  </si>
  <si>
    <t>2025-06-18</t>
  </si>
  <si>
    <t>CUST-1077</t>
  </si>
  <si>
    <t>450.00</t>
  </si>
  <si>
    <t xml:space="preserve"> Buenos Aires </t>
  </si>
  <si>
    <t xml:space="preserve"> Sales Rep 1 </t>
  </si>
  <si>
    <t>#N/A</t>
  </si>
  <si>
    <t>2023-03-28</t>
  </si>
  <si>
    <t>CUST-1042</t>
  </si>
  <si>
    <t>480.00</t>
  </si>
  <si>
    <t>2022-11-03</t>
  </si>
  <si>
    <t>CUST-1100</t>
  </si>
  <si>
    <t>P101</t>
  </si>
  <si>
    <t xml:space="preserve"> 255.00 </t>
  </si>
  <si>
    <t>2024-02-24</t>
  </si>
  <si>
    <t>CUST-1057</t>
  </si>
  <si>
    <t>150.00</t>
  </si>
  <si>
    <t>India</t>
  </si>
  <si>
    <t>Mumbai</t>
  </si>
  <si>
    <t>Aarav Patel</t>
  </si>
  <si>
    <t>ORD-10027</t>
  </si>
  <si>
    <t>2023-10-03</t>
  </si>
  <si>
    <t>CUST-1078</t>
  </si>
  <si>
    <t>975.00</t>
  </si>
  <si>
    <t>John Smith</t>
  </si>
  <si>
    <t>ORD-10028</t>
  </si>
  <si>
    <t>CUST-1054</t>
  </si>
  <si>
    <t>660.00</t>
  </si>
  <si>
    <t>ORD-10029</t>
  </si>
  <si>
    <t>2025-10-18</t>
  </si>
  <si>
    <t>CUST-1119</t>
  </si>
  <si>
    <t>464.00</t>
  </si>
  <si>
    <t>ORD-10030</t>
  </si>
  <si>
    <t>2023-04-21</t>
  </si>
  <si>
    <t>CUST-1015</t>
  </si>
  <si>
    <t>P102</t>
  </si>
  <si>
    <t>1425.00</t>
  </si>
  <si>
    <t>ORD-10031</t>
  </si>
  <si>
    <t>2024-01-07</t>
  </si>
  <si>
    <t xml:space="preserve"> CUST-1063 </t>
  </si>
  <si>
    <t>825.00</t>
  </si>
  <si>
    <t>ORD-10032</t>
  </si>
  <si>
    <t>2023-07-22</t>
  </si>
  <si>
    <t>CUST-1003</t>
  </si>
  <si>
    <t>1120.00</t>
  </si>
  <si>
    <t>ORD-10033</t>
  </si>
  <si>
    <t>2024-08-22</t>
  </si>
  <si>
    <t>CUST-1114</t>
  </si>
  <si>
    <t>1200.00</t>
  </si>
  <si>
    <t>Australia</t>
  </si>
  <si>
    <t>Sydney</t>
  </si>
  <si>
    <t>ORD-10034</t>
  </si>
  <si>
    <t>2025-10-07</t>
  </si>
  <si>
    <t>CUST-1120</t>
  </si>
  <si>
    <t>Bangalore</t>
  </si>
  <si>
    <t>ORD-10035</t>
  </si>
  <si>
    <t>CUST-1076</t>
  </si>
  <si>
    <t>1710.00</t>
  </si>
  <si>
    <t>2024-01-29</t>
  </si>
  <si>
    <t>ORD-10037</t>
  </si>
  <si>
    <t>2024-07-15</t>
  </si>
  <si>
    <t>1045.00</t>
  </si>
  <si>
    <t>ORD-10038</t>
  </si>
  <si>
    <t>2023-03-11</t>
  </si>
  <si>
    <t>195.00</t>
  </si>
  <si>
    <t>ORD-10039</t>
  </si>
  <si>
    <t>2023-05-23</t>
  </si>
  <si>
    <t>CUST-1080</t>
  </si>
  <si>
    <t>1105.00</t>
  </si>
  <si>
    <t>2023-08-07</t>
  </si>
  <si>
    <t>CUST-1066</t>
  </si>
  <si>
    <t>350.00</t>
  </si>
  <si>
    <t>ORD-10041</t>
  </si>
  <si>
    <t>2022-11-09</t>
  </si>
  <si>
    <t>CUST-1178</t>
  </si>
  <si>
    <t>2000.00</t>
  </si>
  <si>
    <t>ORD-10042</t>
  </si>
  <si>
    <t xml:space="preserve"> 2025-01-20 </t>
  </si>
  <si>
    <t>CUST-1144</t>
  </si>
  <si>
    <t xml:space="preserve"> C302 </t>
  </si>
  <si>
    <t>330.00</t>
  </si>
  <si>
    <t>2022-05-14</t>
  </si>
  <si>
    <t>219.00</t>
  </si>
  <si>
    <t>ORD-10044</t>
  </si>
  <si>
    <t>2026-05-23</t>
  </si>
  <si>
    <t>CUST-1089</t>
  </si>
  <si>
    <t>1520.00</t>
  </si>
  <si>
    <t>ORD-10045</t>
  </si>
  <si>
    <t>2022-07-19</t>
  </si>
  <si>
    <t>CUST-1190</t>
  </si>
  <si>
    <t xml:space="preserve"> 612.00 </t>
  </si>
  <si>
    <t>France</t>
  </si>
  <si>
    <t>Paris</t>
  </si>
  <si>
    <t>ORD-10046</t>
  </si>
  <si>
    <t>2022-07-17</t>
  </si>
  <si>
    <t>CUST-1149</t>
  </si>
  <si>
    <t>476.00</t>
  </si>
  <si>
    <t xml:space="preserve"> APAC </t>
  </si>
  <si>
    <t>ORD-10047</t>
  </si>
  <si>
    <t>2025-05-23</t>
  </si>
  <si>
    <t>CUST-1108</t>
  </si>
  <si>
    <t>770.00</t>
  </si>
  <si>
    <t>ORD-10048</t>
  </si>
  <si>
    <t>2025-04-28</t>
  </si>
  <si>
    <t>ORD-10049</t>
  </si>
  <si>
    <t>2022-02-03</t>
  </si>
  <si>
    <t>CUST-1095</t>
  </si>
  <si>
    <t>255.00</t>
  </si>
  <si>
    <t>ORD-10050</t>
  </si>
  <si>
    <t>2023-05-21</t>
  </si>
  <si>
    <t>CUST-1094</t>
  </si>
  <si>
    <t>ORD-10051</t>
  </si>
  <si>
    <t>2022-03-02</t>
  </si>
  <si>
    <t>360.00</t>
  </si>
  <si>
    <t>ORD-10052</t>
  </si>
  <si>
    <t>2024-06-30</t>
  </si>
  <si>
    <t>1160.00</t>
  </si>
  <si>
    <t>2025-02-10</t>
  </si>
  <si>
    <t>CUST-1122</t>
  </si>
  <si>
    <t>800.00</t>
  </si>
  <si>
    <t>ORD-10054</t>
  </si>
  <si>
    <t>2023-08-21</t>
  </si>
  <si>
    <t>CUST-1073</t>
  </si>
  <si>
    <t>ORD-10055</t>
  </si>
  <si>
    <t>2024-03-04</t>
  </si>
  <si>
    <t>CUST-1037</t>
  </si>
  <si>
    <t xml:space="preserve"> SÃ£o Paulo </t>
  </si>
  <si>
    <t>ORD-10056</t>
  </si>
  <si>
    <t>2025-09-27</t>
  </si>
  <si>
    <t xml:space="preserve"> Hiroshi Tanaka </t>
  </si>
  <si>
    <t>ORD-10057</t>
  </si>
  <si>
    <t>2026-04-04</t>
  </si>
  <si>
    <t>100.00</t>
  </si>
  <si>
    <t>ORD-10058</t>
  </si>
  <si>
    <t>2022-08-15</t>
  </si>
  <si>
    <t>CUST-1104</t>
  </si>
  <si>
    <t>220.00</t>
  </si>
  <si>
    <t>ORD-10060</t>
  </si>
  <si>
    <t>2023-11-05</t>
  </si>
  <si>
    <t>CUST-1084</t>
  </si>
  <si>
    <t>945.00</t>
  </si>
  <si>
    <t>ORD-10061</t>
  </si>
  <si>
    <t>2023-01-22</t>
  </si>
  <si>
    <t>80.00</t>
  </si>
  <si>
    <t>ORD-10062</t>
  </si>
  <si>
    <t>2025-04-12</t>
  </si>
  <si>
    <t>CUST-1191</t>
  </si>
  <si>
    <t>P201</t>
  </si>
  <si>
    <t>210.00</t>
  </si>
  <si>
    <t>ORD-10063</t>
  </si>
  <si>
    <t>2023-10-25</t>
  </si>
  <si>
    <t>CUST-1044</t>
  </si>
  <si>
    <t>901.00</t>
  </si>
  <si>
    <t>ORD-10064</t>
  </si>
  <si>
    <t xml:space="preserve"> 2024-03-29 </t>
  </si>
  <si>
    <t>CUST-1064</t>
  </si>
  <si>
    <t>ORD-10065</t>
  </si>
  <si>
    <t>2026-05-17</t>
  </si>
  <si>
    <t>CUST-1131</t>
  </si>
  <si>
    <t>400.00</t>
  </si>
  <si>
    <t xml:space="preserve"> Sydney </t>
  </si>
  <si>
    <t>ORD-10066</t>
  </si>
  <si>
    <t>2024-07-04</t>
  </si>
  <si>
    <t>63.00</t>
  </si>
  <si>
    <t xml:space="preserve"> Canada </t>
  </si>
  <si>
    <t>ORD-10067</t>
  </si>
  <si>
    <t>2024-11-05</t>
  </si>
  <si>
    <t>CUST-1105</t>
  </si>
  <si>
    <t>1900.00</t>
  </si>
  <si>
    <t>ORD-10068</t>
  </si>
  <si>
    <t>2024-12-06</t>
  </si>
  <si>
    <t>CUST-1167</t>
  </si>
  <si>
    <t>1360.00</t>
  </si>
  <si>
    <t>ORD-10069</t>
  </si>
  <si>
    <t>2025-11-08</t>
  </si>
  <si>
    <t>1100.00</t>
  </si>
  <si>
    <t>CUST-1164</t>
  </si>
  <si>
    <t>2023-05-25</t>
  </si>
  <si>
    <t>CUST-1154</t>
  </si>
  <si>
    <t>952.00</t>
  </si>
  <si>
    <t>ORD-10072</t>
  </si>
  <si>
    <t>2022-01-22</t>
  </si>
  <si>
    <t>CUST-1174</t>
  </si>
  <si>
    <t>560.00</t>
  </si>
  <si>
    <t>ORD-10073</t>
  </si>
  <si>
    <t>2023-12-29</t>
  </si>
  <si>
    <t>CUST-1074</t>
  </si>
  <si>
    <t>600.00</t>
  </si>
  <si>
    <t>ORD-10075</t>
  </si>
  <si>
    <t>2022-03-04</t>
  </si>
  <si>
    <t>ORD-10076</t>
  </si>
  <si>
    <t>2023-05-03</t>
  </si>
  <si>
    <t>CUST-1082</t>
  </si>
  <si>
    <t>ORD-10077</t>
  </si>
  <si>
    <t>2025-06-11</t>
  </si>
  <si>
    <t>CUST-1101</t>
  </si>
  <si>
    <t xml:space="preserve"> Sales Rep 5 </t>
  </si>
  <si>
    <t>ORD-10078</t>
  </si>
  <si>
    <t>2026-08-17</t>
  </si>
  <si>
    <t>910.00</t>
  </si>
  <si>
    <t>ORD-10079</t>
  </si>
  <si>
    <t>2022-10-20</t>
  </si>
  <si>
    <t>950.00</t>
  </si>
  <si>
    <t>ORD-10080</t>
  </si>
  <si>
    <t>2025-09-12</t>
  </si>
  <si>
    <t>CUST-1179</t>
  </si>
  <si>
    <t>1140.00</t>
  </si>
  <si>
    <t>ORD-10081</t>
  </si>
  <si>
    <t>2024-12-18</t>
  </si>
  <si>
    <t>CUST-1088</t>
  </si>
  <si>
    <t>1280.00</t>
  </si>
  <si>
    <t xml:space="preserve"> New </t>
  </si>
  <si>
    <t>ORD-10082</t>
  </si>
  <si>
    <t>2026-06-04</t>
  </si>
  <si>
    <t>1235.00</t>
  </si>
  <si>
    <t>ORD-10083</t>
  </si>
  <si>
    <t>2022-09-16</t>
  </si>
  <si>
    <t>754.00</t>
  </si>
  <si>
    <t>ORD-10084</t>
  </si>
  <si>
    <t>2022-08-27</t>
  </si>
  <si>
    <t>680.00</t>
  </si>
  <si>
    <t>ORD-10085</t>
  </si>
  <si>
    <t>2023-11-20</t>
  </si>
  <si>
    <t>CUST-1029</t>
  </si>
  <si>
    <t>ORD-10086</t>
  </si>
  <si>
    <t>2026-10-07</t>
  </si>
  <si>
    <t>CUST-1189</t>
  </si>
  <si>
    <t>525.00</t>
  </si>
  <si>
    <t xml:space="preserve"> 2026-04-23 </t>
  </si>
  <si>
    <t xml:space="preserve"> 420.00 </t>
  </si>
  <si>
    <t xml:space="preserve"> Mumbai </t>
  </si>
  <si>
    <t xml:space="preserve"> Aarav Patel </t>
  </si>
  <si>
    <t>ORD-10088</t>
  </si>
  <si>
    <t>2025-04-04</t>
  </si>
  <si>
    <t xml:space="preserve"> France </t>
  </si>
  <si>
    <t>ORD-10089</t>
  </si>
  <si>
    <t>2025-11-14</t>
  </si>
  <si>
    <t xml:space="preserve"> CUST-1191 </t>
  </si>
  <si>
    <t>1102.00</t>
  </si>
  <si>
    <t>ORD-10090</t>
  </si>
  <si>
    <t>CUST-1052</t>
  </si>
  <si>
    <t>ORD-10091</t>
  </si>
  <si>
    <t>2022-08-08</t>
  </si>
  <si>
    <t>CUST-1096</t>
  </si>
  <si>
    <t>204.00</t>
  </si>
  <si>
    <t>ORD-10092</t>
  </si>
  <si>
    <t>2023-11-02</t>
  </si>
  <si>
    <t xml:space="preserve"> 350.00 </t>
  </si>
  <si>
    <t>ORD-10093</t>
  </si>
  <si>
    <t>2022-09-29</t>
  </si>
  <si>
    <t>ORD-10094</t>
  </si>
  <si>
    <t xml:space="preserve"> 232.00 </t>
  </si>
  <si>
    <t>ORD-10095</t>
  </si>
  <si>
    <t>2025-10-13</t>
  </si>
  <si>
    <t>1040.00</t>
  </si>
  <si>
    <t>ORD-10097</t>
  </si>
  <si>
    <t>2022-07-20</t>
  </si>
  <si>
    <t xml:space="preserve"> 900.00 </t>
  </si>
  <si>
    <t>ORD-10098</t>
  </si>
  <si>
    <t>2023-07-26</t>
  </si>
  <si>
    <t>CUST-1020</t>
  </si>
  <si>
    <t>315.00</t>
  </si>
  <si>
    <t xml:space="preserve"> Toronto </t>
  </si>
  <si>
    <t>ORD-10099</t>
  </si>
  <si>
    <t>2023-09-28</t>
  </si>
  <si>
    <t>935.00</t>
  </si>
  <si>
    <t>ORD-10100</t>
  </si>
  <si>
    <t>2022-10-05</t>
  </si>
  <si>
    <t>CUST-1014</t>
  </si>
  <si>
    <t>CUST-1142</t>
  </si>
  <si>
    <t xml:space="preserve"> 212.00 </t>
  </si>
  <si>
    <t xml:space="preserve"> LATAM </t>
  </si>
  <si>
    <t>ORD-10102</t>
  </si>
  <si>
    <t>2026-09-27</t>
  </si>
  <si>
    <t>ORD-10103</t>
  </si>
  <si>
    <t>2025-11-04</t>
  </si>
  <si>
    <t>CUST-1170</t>
  </si>
  <si>
    <t>960.00</t>
  </si>
  <si>
    <t>ORD-10104</t>
  </si>
  <si>
    <t>2024-02-18</t>
  </si>
  <si>
    <t>CUST-1169</t>
  </si>
  <si>
    <t xml:space="preserve"> Sales Rep 3 </t>
  </si>
  <si>
    <t>ORD-10105</t>
  </si>
  <si>
    <t>2023-07-30</t>
  </si>
  <si>
    <t>720.00</t>
  </si>
  <si>
    <t>ORD-10106</t>
  </si>
  <si>
    <t>CUST-1118</t>
  </si>
  <si>
    <t xml:space="preserve"> Returning </t>
  </si>
  <si>
    <t>ORD-10107</t>
  </si>
  <si>
    <t>2022-10-24</t>
  </si>
  <si>
    <t>CUST-1194</t>
  </si>
  <si>
    <t>816.00</t>
  </si>
  <si>
    <t>ORD-10108</t>
  </si>
  <si>
    <t>2024-12-08</t>
  </si>
  <si>
    <t>CUST-1152</t>
  </si>
  <si>
    <t xml:space="preserve"> C304 </t>
  </si>
  <si>
    <t>ORD-10109</t>
  </si>
  <si>
    <t>2025-02-24</t>
  </si>
  <si>
    <t>CUST-1062</t>
  </si>
  <si>
    <t>605.00</t>
  </si>
  <si>
    <t>ORD-10110</t>
  </si>
  <si>
    <t>2023-05-14</t>
  </si>
  <si>
    <t xml:space="preserve"> Sales Rep 4 </t>
  </si>
  <si>
    <t>ORD-10111</t>
  </si>
  <si>
    <t>2022-01-24</t>
  </si>
  <si>
    <t>65.00</t>
  </si>
  <si>
    <t>ORD-10112</t>
  </si>
  <si>
    <t>2022-08-10</t>
  </si>
  <si>
    <t>CUST-1018</t>
  </si>
  <si>
    <t>320.00</t>
  </si>
  <si>
    <t>2023-04-04</t>
  </si>
  <si>
    <t>CUST-1136</t>
  </si>
  <si>
    <t>300.00</t>
  </si>
  <si>
    <t>2025-06-24</t>
  </si>
  <si>
    <t>CUST-1186</t>
  </si>
  <si>
    <t>ORD-10115</t>
  </si>
  <si>
    <t>2024-01-20</t>
  </si>
  <si>
    <t>85.00</t>
  </si>
  <si>
    <t>2023-12-09</t>
  </si>
  <si>
    <t>CUST-1004</t>
  </si>
  <si>
    <t xml:space="preserve"> C301 </t>
  </si>
  <si>
    <t>ORD-10117</t>
  </si>
  <si>
    <t>2023-01-25</t>
  </si>
  <si>
    <t>595.00</t>
  </si>
  <si>
    <t>ORD-10118</t>
  </si>
  <si>
    <t>2023-05-02</t>
  </si>
  <si>
    <t>CUST-1002</t>
  </si>
  <si>
    <t>ORD-10119</t>
  </si>
  <si>
    <t>2026-03-22</t>
  </si>
  <si>
    <t>CUST-1181</t>
  </si>
  <si>
    <t>406.00</t>
  </si>
  <si>
    <t xml:space="preserve"> Germany </t>
  </si>
  <si>
    <t>ORD-10120</t>
  </si>
  <si>
    <t>2026-03-08</t>
  </si>
  <si>
    <t>CUST-1107</t>
  </si>
  <si>
    <t>ORD-10121</t>
  </si>
  <si>
    <t>1700.00</t>
  </si>
  <si>
    <t>ORD-10122</t>
  </si>
  <si>
    <t>2022-12-23</t>
  </si>
  <si>
    <t>CUST-1113</t>
  </si>
  <si>
    <t>116.00</t>
  </si>
  <si>
    <t>ORD-10123</t>
  </si>
  <si>
    <t>2023-10-29</t>
  </si>
  <si>
    <t>CUST-1141</t>
  </si>
  <si>
    <t>803.00</t>
  </si>
  <si>
    <t xml:space="preserve"> Michael Johnson </t>
  </si>
  <si>
    <t>ORD-10124</t>
  </si>
  <si>
    <t>2023-12-28</t>
  </si>
  <si>
    <t xml:space="preserve"> CUST-1028 </t>
  </si>
  <si>
    <t>ORD-10125</t>
  </si>
  <si>
    <t>2026-04-25</t>
  </si>
  <si>
    <t xml:space="preserve"> 1400.00 </t>
  </si>
  <si>
    <t>ORD-10126</t>
  </si>
  <si>
    <t>2025-03-09</t>
  </si>
  <si>
    <t>CUST-1102</t>
  </si>
  <si>
    <t>ORD-10127</t>
  </si>
  <si>
    <t>2022-08-18</t>
  </si>
  <si>
    <t>CUST-1196</t>
  </si>
  <si>
    <t xml:space="preserve"> P102 </t>
  </si>
  <si>
    <t>425.00</t>
  </si>
  <si>
    <t>ORD-10128</t>
  </si>
  <si>
    <t>2026-05-19</t>
  </si>
  <si>
    <t>CUST-1022</t>
  </si>
  <si>
    <t>ORD-10129</t>
  </si>
  <si>
    <t xml:space="preserve"> 2026-01-22 </t>
  </si>
  <si>
    <t>1615.00</t>
  </si>
  <si>
    <t>ORD-10130</t>
  </si>
  <si>
    <t>2023-12-20</t>
  </si>
  <si>
    <t xml:space="preserve"> CUST-1093 </t>
  </si>
  <si>
    <t>390.00</t>
  </si>
  <si>
    <t>CUST-1093</t>
  </si>
  <si>
    <t>ORD-10132</t>
  </si>
  <si>
    <t>2022-02-21</t>
  </si>
  <si>
    <t>CUST-1177</t>
  </si>
  <si>
    <t>ORD-10133</t>
  </si>
  <si>
    <t>CUST-1112</t>
  </si>
  <si>
    <t>ORD-10134</t>
  </si>
  <si>
    <t>2022-12-19</t>
  </si>
  <si>
    <t>CUST-1182</t>
  </si>
  <si>
    <t>ORD-10135</t>
  </si>
  <si>
    <t xml:space="preserve"> 2025-03-20 </t>
  </si>
  <si>
    <t>CUST-1086</t>
  </si>
  <si>
    <t>ORD-10136</t>
  </si>
  <si>
    <t>2023-03-29</t>
  </si>
  <si>
    <t>190.00</t>
  </si>
  <si>
    <t>ORD-10137</t>
  </si>
  <si>
    <t>CUST-1028</t>
  </si>
  <si>
    <t>ORD-10138</t>
  </si>
  <si>
    <t>2025-09-30</t>
  </si>
  <si>
    <t>1440.00</t>
  </si>
  <si>
    <t>2026-10-02</t>
  </si>
  <si>
    <t>CUST-1147</t>
  </si>
  <si>
    <t>ORD-10140</t>
  </si>
  <si>
    <t>2025-02-17</t>
  </si>
  <si>
    <t>ORD-10141</t>
  </si>
  <si>
    <t>2025-05-08</t>
  </si>
  <si>
    <t>CUST-1026</t>
  </si>
  <si>
    <t>60.00</t>
  </si>
  <si>
    <t>ORD-10142</t>
  </si>
  <si>
    <t>2023-04-19</t>
  </si>
  <si>
    <t>260.00</t>
  </si>
  <si>
    <t>ORD-10143</t>
  </si>
  <si>
    <t>2025-07-28</t>
  </si>
  <si>
    <t xml:space="preserve"> 480.00 </t>
  </si>
  <si>
    <t>ORD-10144</t>
  </si>
  <si>
    <t>2024-05-11</t>
  </si>
  <si>
    <t>1292.00</t>
  </si>
  <si>
    <t>ORD-10145</t>
  </si>
  <si>
    <t>2024-10-12</t>
  </si>
  <si>
    <t>CUST-1195</t>
  </si>
  <si>
    <t>1088.00</t>
  </si>
  <si>
    <t>ORD-10146</t>
  </si>
  <si>
    <t>2025-01-25</t>
  </si>
  <si>
    <t>650.00</t>
  </si>
  <si>
    <t>ORD-10147</t>
  </si>
  <si>
    <t>2022-05-26</t>
  </si>
  <si>
    <t>ORD-10148</t>
  </si>
  <si>
    <t>2026-09-05</t>
  </si>
  <si>
    <t>CUST-1199</t>
  </si>
  <si>
    <t>325.00</t>
  </si>
  <si>
    <t>ORD-10149</t>
  </si>
  <si>
    <t>2023-10-14</t>
  </si>
  <si>
    <t>870.00</t>
  </si>
  <si>
    <t xml:space="preserve"> Tokyo </t>
  </si>
  <si>
    <t>ORD-10150</t>
  </si>
  <si>
    <t>2025-08-06</t>
  </si>
  <si>
    <t xml:space="preserve"> 605.00 </t>
  </si>
  <si>
    <t>ORD-10152</t>
  </si>
  <si>
    <t>2024-06-23</t>
  </si>
  <si>
    <t>CUST-1129</t>
  </si>
  <si>
    <t>760.00</t>
  </si>
  <si>
    <t>ORD-10153</t>
  </si>
  <si>
    <t>2026-03-11</t>
  </si>
  <si>
    <t>CUST-1049</t>
  </si>
  <si>
    <t>ORD-10154</t>
  </si>
  <si>
    <t>2023-09-18</t>
  </si>
  <si>
    <t>CUST-1198</t>
  </si>
  <si>
    <t>ORD-10155</t>
  </si>
  <si>
    <t>2026-01-17</t>
  </si>
  <si>
    <t>CUST-1055</t>
  </si>
  <si>
    <t>780.00</t>
  </si>
  <si>
    <t>ORD-10157</t>
  </si>
  <si>
    <t>2026-03-05</t>
  </si>
  <si>
    <t>CUST-1180</t>
  </si>
  <si>
    <t>ORD-10158</t>
  </si>
  <si>
    <t>2025-05-09</t>
  </si>
  <si>
    <t>CUST-1110</t>
  </si>
  <si>
    <t>ORD-10159</t>
  </si>
  <si>
    <t>2023-12-10</t>
  </si>
  <si>
    <t>CUST-1138</t>
  </si>
  <si>
    <t>385.00</t>
  </si>
  <si>
    <t xml:space="preserve"> EMEA </t>
  </si>
  <si>
    <t>ORD-10160</t>
  </si>
  <si>
    <t>2023-01-14</t>
  </si>
  <si>
    <t>CUST-1128</t>
  </si>
  <si>
    <t>550.00</t>
  </si>
  <si>
    <t>ORD-10161</t>
  </si>
  <si>
    <t>2024-07-11</t>
  </si>
  <si>
    <t>CUST-1132</t>
  </si>
  <si>
    <t>ORD-10162</t>
  </si>
  <si>
    <t>2022-03-22</t>
  </si>
  <si>
    <t>1275.00</t>
  </si>
  <si>
    <t>ORD-10163</t>
  </si>
  <si>
    <t>2022-05-05</t>
  </si>
  <si>
    <t>715.00</t>
  </si>
  <si>
    <t>2026-01-02</t>
  </si>
  <si>
    <t>CUST-1016</t>
  </si>
  <si>
    <t>1071.00</t>
  </si>
  <si>
    <t>ORD-10165</t>
  </si>
  <si>
    <t>CUST-1159</t>
  </si>
  <si>
    <t>440.00</t>
  </si>
  <si>
    <t>ORD-10167</t>
  </si>
  <si>
    <t>2025-10-20</t>
  </si>
  <si>
    <t>1224.00</t>
  </si>
  <si>
    <t>ORD-10168</t>
  </si>
  <si>
    <t>2025-03-05</t>
  </si>
  <si>
    <t>1170.00</t>
  </si>
  <si>
    <t>ORD-10170</t>
  </si>
  <si>
    <t>2026-06-13</t>
  </si>
  <si>
    <t>ORD-10171</t>
  </si>
  <si>
    <t>2023-05-08</t>
  </si>
  <si>
    <t>CUST-1163</t>
  </si>
  <si>
    <t>90.00</t>
  </si>
  <si>
    <t>ORD-10172</t>
  </si>
  <si>
    <t>2023-03-05</t>
  </si>
  <si>
    <t>ORD-10174</t>
  </si>
  <si>
    <t>2022-10-22</t>
  </si>
  <si>
    <t>CUST-1065</t>
  </si>
  <si>
    <t>ORD-10176</t>
  </si>
  <si>
    <t>2024-11-15</t>
  </si>
  <si>
    <t>CUST-1098</t>
  </si>
  <si>
    <t>ORD-10177</t>
  </si>
  <si>
    <t>2024-07-07</t>
  </si>
  <si>
    <t>CUST-1085</t>
  </si>
  <si>
    <t>ORD-10178</t>
  </si>
  <si>
    <t>2025-02-13</t>
  </si>
  <si>
    <t>CUST-1043</t>
  </si>
  <si>
    <t>585.00</t>
  </si>
  <si>
    <t>ORD-10179</t>
  </si>
  <si>
    <t>365.00</t>
  </si>
  <si>
    <t>ORD-10180</t>
  </si>
  <si>
    <t>2022-11-04</t>
  </si>
  <si>
    <t>275.00</t>
  </si>
  <si>
    <t>ORD-10181</t>
  </si>
  <si>
    <t>CUST-1047</t>
  </si>
  <si>
    <t>665.00</t>
  </si>
  <si>
    <t>ORD-10182</t>
  </si>
  <si>
    <t>2025-01-01</t>
  </si>
  <si>
    <t>630.00</t>
  </si>
  <si>
    <t>ORD-10183</t>
  </si>
  <si>
    <t>2025-10-30</t>
  </si>
  <si>
    <t>CUST-1081</t>
  </si>
  <si>
    <t>ORD-10184</t>
  </si>
  <si>
    <t>2026-09-11</t>
  </si>
  <si>
    <t>1314.00</t>
  </si>
  <si>
    <t>ORD-10186</t>
  </si>
  <si>
    <t>CUST-1035</t>
  </si>
  <si>
    <t>ORD-10187</t>
  </si>
  <si>
    <t xml:space="preserve"> 2023-12-25 </t>
  </si>
  <si>
    <t>CUST-1097</t>
  </si>
  <si>
    <t>ORD-10188</t>
  </si>
  <si>
    <t>2023-09-17</t>
  </si>
  <si>
    <t>1050.00</t>
  </si>
  <si>
    <t>2025-09-04</t>
  </si>
  <si>
    <t>CUST-1010</t>
  </si>
  <si>
    <t>ORD-10189</t>
  </si>
  <si>
    <t>ORD-10191</t>
  </si>
  <si>
    <t>2023-11-15</t>
  </si>
  <si>
    <t>1020.00</t>
  </si>
  <si>
    <t xml:space="preserve"> UK </t>
  </si>
  <si>
    <t>ORD-10192</t>
  </si>
  <si>
    <t>2025-12-10</t>
  </si>
  <si>
    <t>CUST-1116</t>
  </si>
  <si>
    <t xml:space="preserve"> P203 </t>
  </si>
  <si>
    <t>189.00</t>
  </si>
  <si>
    <t>ORD-10193</t>
  </si>
  <si>
    <t>2025-03-18</t>
  </si>
  <si>
    <t>1600.00</t>
  </si>
  <si>
    <t>ORD-10194</t>
  </si>
  <si>
    <t>ORD-10195</t>
  </si>
  <si>
    <t>2022-11-27</t>
  </si>
  <si>
    <t>CUST-1157</t>
  </si>
  <si>
    <t xml:space="preserve"> P103 </t>
  </si>
  <si>
    <t>ORD-10196</t>
  </si>
  <si>
    <t>2023-05-07</t>
  </si>
  <si>
    <t>272.00</t>
  </si>
  <si>
    <t>ORD-10197</t>
  </si>
  <si>
    <t>2022-09-22</t>
  </si>
  <si>
    <t xml:space="preserve"> Paris </t>
  </si>
  <si>
    <t>ORD-10198</t>
  </si>
  <si>
    <t>2025-05-14</t>
  </si>
  <si>
    <t>CUST-1036</t>
  </si>
  <si>
    <t>ORD-10199</t>
  </si>
  <si>
    <t>2025-02-12</t>
  </si>
  <si>
    <t>1190.00</t>
  </si>
  <si>
    <t xml:space="preserve"> Japan </t>
  </si>
  <si>
    <t>ORD-10200</t>
  </si>
  <si>
    <t>2025-06-04</t>
  </si>
  <si>
    <t>ORD-10201</t>
  </si>
  <si>
    <t>2024-08-20</t>
  </si>
  <si>
    <t>CUST-1106</t>
  </si>
  <si>
    <t>954.00</t>
  </si>
  <si>
    <t>ORD-10202</t>
  </si>
  <si>
    <t>CUST-1092</t>
  </si>
  <si>
    <t>1350.00</t>
  </si>
  <si>
    <t>2024-03-09</t>
  </si>
  <si>
    <t>ORD-10204</t>
  </si>
  <si>
    <t>CUST-1099</t>
  </si>
  <si>
    <t>ORD-10205</t>
  </si>
  <si>
    <t>2022-09-10</t>
  </si>
  <si>
    <t>ORD-10206</t>
  </si>
  <si>
    <t>2023-06-05</t>
  </si>
  <si>
    <t>140.00</t>
  </si>
  <si>
    <t>ORD-10207</t>
  </si>
  <si>
    <t>2024-01-22</t>
  </si>
  <si>
    <t>CUST-1024</t>
  </si>
  <si>
    <t>880.00</t>
  </si>
  <si>
    <t xml:space="preserve"> Sales Rep 2 </t>
  </si>
  <si>
    <t>ORD-10208</t>
  </si>
  <si>
    <t>2023-10-12</t>
  </si>
  <si>
    <t>ORD-10209</t>
  </si>
  <si>
    <t xml:space="preserve"> 2025-11-30 </t>
  </si>
  <si>
    <t>CUST-1087</t>
  </si>
  <si>
    <t>2022-07-10</t>
  </si>
  <si>
    <t>CUST-1188</t>
  </si>
  <si>
    <t>ORD-10210</t>
  </si>
  <si>
    <t>ORD-10212</t>
  </si>
  <si>
    <t>2024-04-06</t>
  </si>
  <si>
    <t>CUST-1050</t>
  </si>
  <si>
    <t>ORD-10213</t>
  </si>
  <si>
    <t>2023-05-24</t>
  </si>
  <si>
    <t>50.00</t>
  </si>
  <si>
    <t>ORD-10214</t>
  </si>
  <si>
    <t>2025-11-09</t>
  </si>
  <si>
    <t>ORD-10215</t>
  </si>
  <si>
    <t>2026-05-28</t>
  </si>
  <si>
    <t>ORD-10216</t>
  </si>
  <si>
    <t>ORD-10217</t>
  </si>
  <si>
    <t>2025-07-05</t>
  </si>
  <si>
    <t>ORD-10218</t>
  </si>
  <si>
    <t>2023-05-09</t>
  </si>
  <si>
    <t>522.00</t>
  </si>
  <si>
    <t>ORD-10219</t>
  </si>
  <si>
    <t>2026-04-15</t>
  </si>
  <si>
    <t>CUST-1156</t>
  </si>
  <si>
    <t>840.00</t>
  </si>
  <si>
    <t>ORD-10220</t>
  </si>
  <si>
    <t>2025-03-01</t>
  </si>
  <si>
    <t>CUST-1001</t>
  </si>
  <si>
    <t>511.00</t>
  </si>
  <si>
    <t>ORD-10221</t>
  </si>
  <si>
    <t>2023-12-02</t>
  </si>
  <si>
    <t>ORD-10222</t>
  </si>
  <si>
    <t>2025-12-13</t>
  </si>
  <si>
    <t>ORD-10223</t>
  </si>
  <si>
    <t>2023-10-30</t>
  </si>
  <si>
    <t>ORD-10224</t>
  </si>
  <si>
    <t>2026-08-25</t>
  </si>
  <si>
    <t>ORD-10225</t>
  </si>
  <si>
    <t>2022-10-26</t>
  </si>
  <si>
    <t>ORD-10226</t>
  </si>
  <si>
    <t>2024-01-18</t>
  </si>
  <si>
    <t>165.00</t>
  </si>
  <si>
    <t>ORD-10227</t>
  </si>
  <si>
    <t>2023-12-03</t>
  </si>
  <si>
    <t>CUST-1025</t>
  </si>
  <si>
    <t>1260.00</t>
  </si>
  <si>
    <t>ORD-10229</t>
  </si>
  <si>
    <t>2024-07-16</t>
  </si>
  <si>
    <t>CUST-1056</t>
  </si>
  <si>
    <t>ORD-10231</t>
  </si>
  <si>
    <t>2024-01-01</t>
  </si>
  <si>
    <t>CUST-1140</t>
  </si>
  <si>
    <t>ORD-10232</t>
  </si>
  <si>
    <t>2023-10-11</t>
  </si>
  <si>
    <t>ORD-10233</t>
  </si>
  <si>
    <t>2023-10-23</t>
  </si>
  <si>
    <t>ORD-10235</t>
  </si>
  <si>
    <t>2023-01-09</t>
  </si>
  <si>
    <t>ORD-10236</t>
  </si>
  <si>
    <t>2022-04-13</t>
  </si>
  <si>
    <t xml:space="preserve"> Australia </t>
  </si>
  <si>
    <t>ORD-10237</t>
  </si>
  <si>
    <t xml:space="preserve"> 2024-09-17 </t>
  </si>
  <si>
    <t>ORD-10238</t>
  </si>
  <si>
    <t>2026-01-23</t>
  </si>
  <si>
    <t>ORD-10239</t>
  </si>
  <si>
    <t>2022-07-14</t>
  </si>
  <si>
    <t>CUST-1200</t>
  </si>
  <si>
    <t>1300.00</t>
  </si>
  <si>
    <t>ORD-10240</t>
  </si>
  <si>
    <t>2026-05-09</t>
  </si>
  <si>
    <t>1095.00</t>
  </si>
  <si>
    <t>ORD-10241</t>
  </si>
  <si>
    <t>2026-01-07</t>
  </si>
  <si>
    <t>ORD-10244</t>
  </si>
  <si>
    <t>2024-10-05</t>
  </si>
  <si>
    <t>CUST-1038</t>
  </si>
  <si>
    <t>ORD-10245</t>
  </si>
  <si>
    <t>2025-08-21</t>
  </si>
  <si>
    <t>CUST-1005</t>
  </si>
  <si>
    <t>110.00</t>
  </si>
  <si>
    <t>ORD-10246</t>
  </si>
  <si>
    <t>2022-03-27</t>
  </si>
  <si>
    <t>ORD-10247</t>
  </si>
  <si>
    <t>2022-05-29</t>
  </si>
  <si>
    <t>ORD-10248</t>
  </si>
  <si>
    <t>2023-08-27</t>
  </si>
  <si>
    <t>ORD-10249</t>
  </si>
  <si>
    <t>2026-08-26</t>
  </si>
  <si>
    <t xml:space="preserve"> CUST-1131 </t>
  </si>
  <si>
    <t>1007.00</t>
  </si>
  <si>
    <t>ORD-10250</t>
  </si>
  <si>
    <t>2026-04-09</t>
  </si>
  <si>
    <t>CUST-1030</t>
  </si>
  <si>
    <t>1800.00</t>
  </si>
  <si>
    <t>ORD-10251</t>
  </si>
  <si>
    <t>748.00</t>
  </si>
  <si>
    <t>ORD-10252</t>
  </si>
  <si>
    <t>2022-12-18</t>
  </si>
  <si>
    <t>ORD-10253</t>
  </si>
  <si>
    <t>2026-09-04</t>
  </si>
  <si>
    <t>ORD-10254</t>
  </si>
  <si>
    <t>2023-02-10</t>
  </si>
  <si>
    <t>ORD-10255</t>
  </si>
  <si>
    <t>2024-01-05</t>
  </si>
  <si>
    <t>ORD-10256</t>
  </si>
  <si>
    <t>2023-08-05</t>
  </si>
  <si>
    <t>ORD-10257</t>
  </si>
  <si>
    <t>2023-08-16</t>
  </si>
  <si>
    <t>CUST-1072</t>
  </si>
  <si>
    <t>ORD-10258</t>
  </si>
  <si>
    <t>2024-02-16</t>
  </si>
  <si>
    <t>ORD-10259</t>
  </si>
  <si>
    <t>2025-12-01</t>
  </si>
  <si>
    <t>ORD-10261</t>
  </si>
  <si>
    <t>2025-12-29</t>
  </si>
  <si>
    <t>ORD-10262</t>
  </si>
  <si>
    <t>2026-05-18</t>
  </si>
  <si>
    <t>ORD-10263</t>
  </si>
  <si>
    <t>2026-01-20</t>
  </si>
  <si>
    <t>ORD-10264</t>
  </si>
  <si>
    <t>250.00</t>
  </si>
  <si>
    <t>ORD-10265</t>
  </si>
  <si>
    <t>2026-02-06</t>
  </si>
  <si>
    <t>CUST-1121</t>
  </si>
  <si>
    <t>ORD-10266</t>
  </si>
  <si>
    <t>CUST-1134</t>
  </si>
  <si>
    <t>567.00</t>
  </si>
  <si>
    <t>ORD-10267</t>
  </si>
  <si>
    <t>2026-02-01</t>
  </si>
  <si>
    <t>CUST-1007</t>
  </si>
  <si>
    <t xml:space="preserve"> NA </t>
  </si>
  <si>
    <t>ORD-10269</t>
  </si>
  <si>
    <t>ORD-10270</t>
  </si>
  <si>
    <t>2022-12-08</t>
  </si>
  <si>
    <t>CUST-1123</t>
  </si>
  <si>
    <t>ORD-10271</t>
  </si>
  <si>
    <t>2022-05-25</t>
  </si>
  <si>
    <t>CUST-1192</t>
  </si>
  <si>
    <t>500.00</t>
  </si>
  <si>
    <t>ORD-10272</t>
  </si>
  <si>
    <t>2025-06-22</t>
  </si>
  <si>
    <t>55.00</t>
  </si>
  <si>
    <t>ORD-10273</t>
  </si>
  <si>
    <t>2023-10-06</t>
  </si>
  <si>
    <t>ORD-10274</t>
  </si>
  <si>
    <t>2024-04-24</t>
  </si>
  <si>
    <t>CUST-1145</t>
  </si>
  <si>
    <t>ORD-10275</t>
  </si>
  <si>
    <t>2026-07-27</t>
  </si>
  <si>
    <t>ORD-10276</t>
  </si>
  <si>
    <t>2023-08-20</t>
  </si>
  <si>
    <t xml:space="preserve"> CUST-1067 </t>
  </si>
  <si>
    <t>ORD-10277</t>
  </si>
  <si>
    <t>2023-11-17</t>
  </si>
  <si>
    <t>ORD-10278</t>
  </si>
  <si>
    <t>2024-07-02</t>
  </si>
  <si>
    <t>ORD-10279</t>
  </si>
  <si>
    <t xml:space="preserve"> London </t>
  </si>
  <si>
    <t>ORD-10280</t>
  </si>
  <si>
    <t>2023-08-09</t>
  </si>
  <si>
    <t>504.00</t>
  </si>
  <si>
    <t>ORD-10281</t>
  </si>
  <si>
    <t>2024-10-04</t>
  </si>
  <si>
    <t>ORD-10282</t>
  </si>
  <si>
    <t>CUST-1197</t>
  </si>
  <si>
    <t>ORD-10283</t>
  </si>
  <si>
    <t>2023-04-09</t>
  </si>
  <si>
    <t xml:space="preserve"> 848.00 </t>
  </si>
  <si>
    <t>848.00</t>
  </si>
  <si>
    <t>ORD-10285</t>
  </si>
  <si>
    <t>2023-09-24</t>
  </si>
  <si>
    <t>CUST-1173</t>
  </si>
  <si>
    <t>ORD-10286</t>
  </si>
  <si>
    <t>2024-09-06</t>
  </si>
  <si>
    <t>980.00</t>
  </si>
  <si>
    <t>ORD-10287</t>
  </si>
  <si>
    <t>2024-12-31</t>
  </si>
  <si>
    <t>1156.00</t>
  </si>
  <si>
    <t>ORD-10288</t>
  </si>
  <si>
    <t>2026-07-06</t>
  </si>
  <si>
    <t>2026-02-12</t>
  </si>
  <si>
    <t>ORD-10290</t>
  </si>
  <si>
    <t>2023-08-17</t>
  </si>
  <si>
    <t xml:space="preserve"> 748.00 </t>
  </si>
  <si>
    <t>ORD-10291</t>
  </si>
  <si>
    <t>2025-12-30</t>
  </si>
  <si>
    <t>CUST-1075</t>
  </si>
  <si>
    <t>ORD-10292</t>
  </si>
  <si>
    <t>2024-04-26</t>
  </si>
  <si>
    <t xml:space="preserve"> 986.00 </t>
  </si>
  <si>
    <t>ORD-10293</t>
  </si>
  <si>
    <t>2023-11-12</t>
  </si>
  <si>
    <t>CUST-1126</t>
  </si>
  <si>
    <t>ORD-10294</t>
  </si>
  <si>
    <t>ORD-10295</t>
  </si>
  <si>
    <t>2023-04-30</t>
  </si>
  <si>
    <t>ORD-10297</t>
  </si>
  <si>
    <t>2022-02-19</t>
  </si>
  <si>
    <t>ORD-10298</t>
  </si>
  <si>
    <t>2023-03-08</t>
  </si>
  <si>
    <t>ORD-10299</t>
  </si>
  <si>
    <t>2023-12-01</t>
  </si>
  <si>
    <t>CUST-1032</t>
  </si>
  <si>
    <t>225.00</t>
  </si>
  <si>
    <t>ORD-10300</t>
  </si>
  <si>
    <t>2022-05-20</t>
  </si>
  <si>
    <t xml:space="preserve"> P101 </t>
  </si>
  <si>
    <t>ORD-10301</t>
  </si>
  <si>
    <t>2025-02-25</t>
  </si>
  <si>
    <t>ORD-10303</t>
  </si>
  <si>
    <t>2024-01-16</t>
  </si>
  <si>
    <t>ORD-10304</t>
  </si>
  <si>
    <t>ORD-10305</t>
  </si>
  <si>
    <t>1008.00</t>
  </si>
  <si>
    <t>ORD-10306</t>
  </si>
  <si>
    <t>ORD-10307</t>
  </si>
  <si>
    <t>2023-05-11</t>
  </si>
  <si>
    <t>ORD-10308</t>
  </si>
  <si>
    <t>2026-02-10</t>
  </si>
  <si>
    <t xml:space="preserve"> CUST-1133 </t>
  </si>
  <si>
    <t>2026-08-12</t>
  </si>
  <si>
    <t>73.00</t>
  </si>
  <si>
    <t>ORD-10309</t>
  </si>
  <si>
    <t>ORD-10311</t>
  </si>
  <si>
    <t>2025-11-17</t>
  </si>
  <si>
    <t>ORD-10312</t>
  </si>
  <si>
    <t>2025-10-19</t>
  </si>
  <si>
    <t>CUST-1069</t>
  </si>
  <si>
    <t>750.00</t>
  </si>
  <si>
    <t>ORD-10314</t>
  </si>
  <si>
    <t>2026-04-01</t>
  </si>
  <si>
    <t>ORD-10315</t>
  </si>
  <si>
    <t>1000.00</t>
  </si>
  <si>
    <t>ORD-10316</t>
  </si>
  <si>
    <t xml:space="preserve"> 845.00 </t>
  </si>
  <si>
    <t>ORD-10317</t>
  </si>
  <si>
    <t>2022-09-21</t>
  </si>
  <si>
    <t>2022-04-22</t>
  </si>
  <si>
    <t>CUST-1117</t>
  </si>
  <si>
    <t>1044.00</t>
  </si>
  <si>
    <t>ORD-10318</t>
  </si>
  <si>
    <t>ORD-10320</t>
  </si>
  <si>
    <t>2026-05-04</t>
  </si>
  <si>
    <t>ORD-10321</t>
  </si>
  <si>
    <t>2026-09-13</t>
  </si>
  <si>
    <t>ORD-10322</t>
  </si>
  <si>
    <t>CUST-1137</t>
  </si>
  <si>
    <t>477.00</t>
  </si>
  <si>
    <t>ORD-10323</t>
  </si>
  <si>
    <t>2025-04-22</t>
  </si>
  <si>
    <t>CUST-1184</t>
  </si>
  <si>
    <t>ORD-10324</t>
  </si>
  <si>
    <t>2023-09-01</t>
  </si>
  <si>
    <t>CUST-1006</t>
  </si>
  <si>
    <t>ORD-10325</t>
  </si>
  <si>
    <t>2023-09-08</t>
  </si>
  <si>
    <t>ORD-10326</t>
  </si>
  <si>
    <t>2025-03-23</t>
  </si>
  <si>
    <t>ORD-10328</t>
  </si>
  <si>
    <t xml:space="preserve"> CUST-1183 </t>
  </si>
  <si>
    <t>ORD-10329</t>
  </si>
  <si>
    <t>ORD-10330</t>
  </si>
  <si>
    <t>696.00</t>
  </si>
  <si>
    <t>ORD-10331</t>
  </si>
  <si>
    <t xml:space="preserve"> 2025-07-19 </t>
  </si>
  <si>
    <t>CUST-1148</t>
  </si>
  <si>
    <t>ORD-10332</t>
  </si>
  <si>
    <t>2025-02-08</t>
  </si>
  <si>
    <t>ORD-10333</t>
  </si>
  <si>
    <t xml:space="preserve"> 2026-06-12 </t>
  </si>
  <si>
    <t>1400.00</t>
  </si>
  <si>
    <t>ORD-10334</t>
  </si>
  <si>
    <t>2024-08-13</t>
  </si>
  <si>
    <t>ORD-10335</t>
  </si>
  <si>
    <t>2022-06-15</t>
  </si>
  <si>
    <t>ORD-10336</t>
  </si>
  <si>
    <t>2026-06-26</t>
  </si>
  <si>
    <t xml:space="preserve"> C303 </t>
  </si>
  <si>
    <t>ORD-10337</t>
  </si>
  <si>
    <t>CUST-1160</t>
  </si>
  <si>
    <t>ORD-10338</t>
  </si>
  <si>
    <t>2023-06-16</t>
  </si>
  <si>
    <t>ORD-10339</t>
  </si>
  <si>
    <t>2023-12-30</t>
  </si>
  <si>
    <t>ORD-10340</t>
  </si>
  <si>
    <t>2026-04-30</t>
  </si>
  <si>
    <t>CUST-1135</t>
  </si>
  <si>
    <t>ORD-10341</t>
  </si>
  <si>
    <t>2026-08-20</t>
  </si>
  <si>
    <t>ORD-10342</t>
  </si>
  <si>
    <t>2024-12-27</t>
  </si>
  <si>
    <t>ORD-10343</t>
  </si>
  <si>
    <t>2022-02-02</t>
  </si>
  <si>
    <t>ORD-10344</t>
  </si>
  <si>
    <t>2022-12-14</t>
  </si>
  <si>
    <t>CUST-1150</t>
  </si>
  <si>
    <t>ORD-10345</t>
  </si>
  <si>
    <t xml:space="preserve"> 2024-08-11 </t>
  </si>
  <si>
    <t>ORD-10346</t>
  </si>
  <si>
    <t xml:space="preserve"> 2023-01-23 </t>
  </si>
  <si>
    <t>1387.00</t>
  </si>
  <si>
    <t>ORD-10347</t>
  </si>
  <si>
    <t>2025-01-04</t>
  </si>
  <si>
    <t>240.00</t>
  </si>
  <si>
    <t>ORD-10348</t>
  </si>
  <si>
    <t xml:space="preserve"> 650.00 </t>
  </si>
  <si>
    <t>ORD-10349</t>
  </si>
  <si>
    <t>ORD-10350</t>
  </si>
  <si>
    <t>2024-02-23</t>
  </si>
  <si>
    <t>ORD-10351</t>
  </si>
  <si>
    <t>2025-03-19</t>
  </si>
  <si>
    <t>CUST-1017</t>
  </si>
  <si>
    <t>ORD-10352</t>
  </si>
  <si>
    <t>2025-04-08</t>
  </si>
  <si>
    <t>882.00</t>
  </si>
  <si>
    <t>ORD-10353</t>
  </si>
  <si>
    <t>2022-02-16</t>
  </si>
  <si>
    <t>ORD-10354</t>
  </si>
  <si>
    <t>2025-12-23</t>
  </si>
  <si>
    <t xml:space="preserve"> CUST-1064 </t>
  </si>
  <si>
    <t>636.00</t>
  </si>
  <si>
    <t>ORD-10356</t>
  </si>
  <si>
    <t>2024-08-03</t>
  </si>
  <si>
    <t>ORD-10357</t>
  </si>
  <si>
    <t>2025-11-23</t>
  </si>
  <si>
    <t>2023-11-28</t>
  </si>
  <si>
    <t>ORD-10359</t>
  </si>
  <si>
    <t>2024-01-14</t>
  </si>
  <si>
    <t>ORD-10360</t>
  </si>
  <si>
    <t>2024-02-05</t>
  </si>
  <si>
    <t>ORD-10361</t>
  </si>
  <si>
    <t>ORD-10362</t>
  </si>
  <si>
    <t>2022-06-12</t>
  </si>
  <si>
    <t>ORD-10363</t>
  </si>
  <si>
    <t>2025-07-08</t>
  </si>
  <si>
    <t>ORD-10364</t>
  </si>
  <si>
    <t>2025-04-14</t>
  </si>
  <si>
    <t>ORD-10365</t>
  </si>
  <si>
    <t>2025-11-22</t>
  </si>
  <si>
    <t>ORD-10366</t>
  </si>
  <si>
    <t>2025-02-16</t>
  </si>
  <si>
    <t>CUST-1155</t>
  </si>
  <si>
    <t>ORD-10368</t>
  </si>
  <si>
    <t>2023-11-13</t>
  </si>
  <si>
    <t>200.00</t>
  </si>
  <si>
    <t>ORD-10369</t>
  </si>
  <si>
    <t>2024-02-06</t>
  </si>
  <si>
    <t>ORD-10370</t>
  </si>
  <si>
    <t>2022-01-25</t>
  </si>
  <si>
    <t>ORD-10372</t>
  </si>
  <si>
    <t xml:space="preserve"> 2022-08-06 </t>
  </si>
  <si>
    <t>CUST-1111</t>
  </si>
  <si>
    <t>2025-02-28</t>
  </si>
  <si>
    <t>ORD-10374</t>
  </si>
  <si>
    <t>2026-04-29</t>
  </si>
  <si>
    <t>ORD-10375</t>
  </si>
  <si>
    <t>2022-07-31</t>
  </si>
  <si>
    <t xml:space="preserve"> 840.00 </t>
  </si>
  <si>
    <t>ORD-10376</t>
  </si>
  <si>
    <t>2024-12-03</t>
  </si>
  <si>
    <t>2026-05-05</t>
  </si>
  <si>
    <t>1060.00</t>
  </si>
  <si>
    <t>ORD-10379</t>
  </si>
  <si>
    <t>2025-04-29</t>
  </si>
  <si>
    <t>ORD-10380</t>
  </si>
  <si>
    <t xml:space="preserve"> 2023-11-22 </t>
  </si>
  <si>
    <t xml:space="preserve"> 400.00 </t>
  </si>
  <si>
    <t xml:space="preserve"> Brazil </t>
  </si>
  <si>
    <t>ORD-10381</t>
  </si>
  <si>
    <t>2026-04-12</t>
  </si>
  <si>
    <t>ORD-10382</t>
  </si>
  <si>
    <t>ORD-10383</t>
  </si>
  <si>
    <t>2022-07-08</t>
  </si>
  <si>
    <t>2022-12-15</t>
  </si>
  <si>
    <t>ORD-10385</t>
  </si>
  <si>
    <t>2025-07-21</t>
  </si>
  <si>
    <t>CUST-1013</t>
  </si>
  <si>
    <t>ORD-10386</t>
  </si>
  <si>
    <t>CUST-1068</t>
  </si>
  <si>
    <t>ORD-10388</t>
  </si>
  <si>
    <t>2024-04-16</t>
  </si>
  <si>
    <t>1241.00</t>
  </si>
  <si>
    <t>ORD-10390</t>
  </si>
  <si>
    <t>ORD-10391</t>
  </si>
  <si>
    <t>2022-05-13</t>
  </si>
  <si>
    <t xml:space="preserve"> 952.00 </t>
  </si>
  <si>
    <t>ORD-10392</t>
  </si>
  <si>
    <t>2024-03-10</t>
  </si>
  <si>
    <t xml:space="preserve"> CUST-1125 </t>
  </si>
  <si>
    <t>1445.00</t>
  </si>
  <si>
    <t>ORD-10393</t>
  </si>
  <si>
    <t>CUST-1171</t>
  </si>
  <si>
    <t>ORD-10394</t>
  </si>
  <si>
    <t>2023-07-11</t>
  </si>
  <si>
    <t xml:space="preserve"> 110.00 </t>
  </si>
  <si>
    <t>ORD-10395</t>
  </si>
  <si>
    <t xml:space="preserve"> 2025-04-19 </t>
  </si>
  <si>
    <t xml:space="preserve"> 1300.00 </t>
  </si>
  <si>
    <t xml:space="preserve"> 2022-01-02 </t>
  </si>
  <si>
    <t>ORD-10397</t>
  </si>
  <si>
    <t>675.00</t>
  </si>
  <si>
    <t>ORD-10398</t>
  </si>
  <si>
    <t>ORD-10399</t>
  </si>
  <si>
    <t>2025-12-31</t>
  </si>
  <si>
    <t>ORD-10400</t>
  </si>
  <si>
    <t>2025-08-09</t>
  </si>
  <si>
    <t xml:space="preserve"> 800.00 </t>
  </si>
  <si>
    <t>ORD-10401</t>
  </si>
  <si>
    <t>2026-03-29</t>
  </si>
  <si>
    <t>ORD-10402</t>
  </si>
  <si>
    <t>2023-12-31</t>
  </si>
  <si>
    <t>CUST-1009</t>
  </si>
  <si>
    <t xml:space="preserve"> 1425.00 </t>
  </si>
  <si>
    <t>ORD-10403</t>
  </si>
  <si>
    <t>2023-05-01</t>
  </si>
  <si>
    <t>ORD-10404</t>
  </si>
  <si>
    <t>2024-10-18</t>
  </si>
  <si>
    <t>ORD-10405</t>
  </si>
  <si>
    <t xml:space="preserve"> 540.00 </t>
  </si>
  <si>
    <t>ORD-10406</t>
  </si>
  <si>
    <t xml:space="preserve"> 240.00 </t>
  </si>
  <si>
    <t>ORD-10407</t>
  </si>
  <si>
    <t>2026-09-01</t>
  </si>
  <si>
    <t>ORD-10408</t>
  </si>
  <si>
    <t>2024-01-25</t>
  </si>
  <si>
    <t>252.00</t>
  </si>
  <si>
    <t>ORD-10409</t>
  </si>
  <si>
    <t>2025-02-19</t>
  </si>
  <si>
    <t>ORD-10410</t>
  </si>
  <si>
    <t>2023-12-13</t>
  </si>
  <si>
    <t>ORD-10412</t>
  </si>
  <si>
    <t>2024-02-10</t>
  </si>
  <si>
    <t>ORD-10413</t>
  </si>
  <si>
    <t>2024-10-08</t>
  </si>
  <si>
    <t xml:space="preserve"> 1387.00 </t>
  </si>
  <si>
    <t>ORD-10414</t>
  </si>
  <si>
    <t>ORD-10415</t>
  </si>
  <si>
    <t>130.00</t>
  </si>
  <si>
    <t>ORD-10416</t>
  </si>
  <si>
    <t>2025-04-18</t>
  </si>
  <si>
    <t>ORD-10417</t>
  </si>
  <si>
    <t>2025-05-27</t>
  </si>
  <si>
    <t>2022-05-02</t>
  </si>
  <si>
    <t>CUST-1187</t>
  </si>
  <si>
    <t>ORD-10419</t>
  </si>
  <si>
    <t>2022-03-16</t>
  </si>
  <si>
    <t>ORD-10420</t>
  </si>
  <si>
    <t>ORD-10421</t>
  </si>
  <si>
    <t>2025-09-03</t>
  </si>
  <si>
    <t>375.00</t>
  </si>
  <si>
    <t>ORD-10422</t>
  </si>
  <si>
    <t>ORD-10423</t>
  </si>
  <si>
    <t>ORD-10424</t>
  </si>
  <si>
    <t>2024-12-28</t>
  </si>
  <si>
    <t>ORD-10425</t>
  </si>
  <si>
    <t>2023-05-29</t>
  </si>
  <si>
    <t>ORD-10426</t>
  </si>
  <si>
    <t>2023-01-10</t>
  </si>
  <si>
    <t>ORD-10427</t>
  </si>
  <si>
    <t>2025-07-17</t>
  </si>
  <si>
    <t>160.00</t>
  </si>
  <si>
    <t>ORD-10428</t>
  </si>
  <si>
    <t>2022-04-20</t>
  </si>
  <si>
    <t>ORD-10429</t>
  </si>
  <si>
    <t>2025-02-27</t>
  </si>
  <si>
    <t>ORD-10430</t>
  </si>
  <si>
    <t>2023-11-03</t>
  </si>
  <si>
    <t>ORD-10431</t>
  </si>
  <si>
    <t>2022-06-30</t>
  </si>
  <si>
    <t>ORD-10432</t>
  </si>
  <si>
    <t>2026-04-21</t>
  </si>
  <si>
    <t>ORD-10433</t>
  </si>
  <si>
    <t>2024-04-13</t>
  </si>
  <si>
    <t>ORD-10434</t>
  </si>
  <si>
    <t>2023-12-23</t>
  </si>
  <si>
    <t xml:space="preserve"> India </t>
  </si>
  <si>
    <t>ORD-10435</t>
  </si>
  <si>
    <t>2023-07-01</t>
  </si>
  <si>
    <t>2026-10-03</t>
  </si>
  <si>
    <t>ORD-10437</t>
  </si>
  <si>
    <t>2023-12-14</t>
  </si>
  <si>
    <t>CUST-1011</t>
  </si>
  <si>
    <t>380.00</t>
  </si>
  <si>
    <t>ORD-10438</t>
  </si>
  <si>
    <t>2025-01-21</t>
  </si>
  <si>
    <t xml:space="preserve"> Bangalore </t>
  </si>
  <si>
    <t>ORD-10439</t>
  </si>
  <si>
    <t>2022-06-25</t>
  </si>
  <si>
    <t>2024-07-17</t>
  </si>
  <si>
    <t>CUST-1059</t>
  </si>
  <si>
    <t>ORD-10441</t>
  </si>
  <si>
    <t>2023-07-17</t>
  </si>
  <si>
    <t xml:space="preserve"> CUST-1112 </t>
  </si>
  <si>
    <t>ORD-10442</t>
  </si>
  <si>
    <t xml:space="preserve"> P202 </t>
  </si>
  <si>
    <t>ORD-10443</t>
  </si>
  <si>
    <t>2026-03-30</t>
  </si>
  <si>
    <t>ORD-10444</t>
  </si>
  <si>
    <t>2024-06-24</t>
  </si>
  <si>
    <t>ORD-10445</t>
  </si>
  <si>
    <t>2022-09-25</t>
  </si>
  <si>
    <t>1500.00</t>
  </si>
  <si>
    <t>ORD-10446</t>
  </si>
  <si>
    <t>ORD-10447</t>
  </si>
  <si>
    <t>2022-07-24</t>
  </si>
  <si>
    <t>ORD-10448</t>
  </si>
  <si>
    <t>2025-01-29</t>
  </si>
  <si>
    <t xml:space="preserve"> 640.00 </t>
  </si>
  <si>
    <t>ORD-10449</t>
  </si>
  <si>
    <t>2022-05-15</t>
  </si>
  <si>
    <t>CUST-1115</t>
  </si>
  <si>
    <t>ORD-10450</t>
  </si>
  <si>
    <t>2022-10-14</t>
  </si>
  <si>
    <t>126.00</t>
  </si>
  <si>
    <t>ORD-10451</t>
  </si>
  <si>
    <t>693.00</t>
  </si>
  <si>
    <t xml:space="preserve"> Argentina </t>
  </si>
  <si>
    <t>2023-04-16</t>
  </si>
  <si>
    <t>1530.00</t>
  </si>
  <si>
    <t>ORD-10454</t>
  </si>
  <si>
    <t>2023-03-22</t>
  </si>
  <si>
    <t>CUST-1067</t>
  </si>
  <si>
    <t>ORD-10455</t>
  </si>
  <si>
    <t>2024-01-24</t>
  </si>
  <si>
    <t>765.00</t>
  </si>
  <si>
    <t>ORD-10456</t>
  </si>
  <si>
    <t>ORD-10457</t>
  </si>
  <si>
    <t>ORD-10458</t>
  </si>
  <si>
    <t>2025-02-03</t>
  </si>
  <si>
    <t>ORD-10459</t>
  </si>
  <si>
    <t>ORD-10460</t>
  </si>
  <si>
    <t>2023-07-06</t>
  </si>
  <si>
    <t>CUST-1165</t>
  </si>
  <si>
    <t>ORD-10461</t>
  </si>
  <si>
    <t>2024-11-11</t>
  </si>
  <si>
    <t xml:space="preserve"> 560.00 </t>
  </si>
  <si>
    <t>ORD-10462</t>
  </si>
  <si>
    <t>ORD-10463</t>
  </si>
  <si>
    <t xml:space="preserve"> 2022-01-01 </t>
  </si>
  <si>
    <t>ORD-10464</t>
  </si>
  <si>
    <t>ORD-10465</t>
  </si>
  <si>
    <t>ORD-10466</t>
  </si>
  <si>
    <t xml:space="preserve"> 2022-11-24 </t>
  </si>
  <si>
    <t>ORD-10467</t>
  </si>
  <si>
    <t>ORD-10468</t>
  </si>
  <si>
    <t>2024-02-25</t>
  </si>
  <si>
    <t>ORD-10469</t>
  </si>
  <si>
    <t>ORD-10470</t>
  </si>
  <si>
    <t>2023-03-30</t>
  </si>
  <si>
    <t xml:space="preserve"> CUST-1089 </t>
  </si>
  <si>
    <t>ORD-10471</t>
  </si>
  <si>
    <t>2022-06-26</t>
  </si>
  <si>
    <t>ORD-10472</t>
  </si>
  <si>
    <t xml:space="preserve"> CUST-1026 </t>
  </si>
  <si>
    <t>ORD-10473</t>
  </si>
  <si>
    <t>2025-12-18</t>
  </si>
  <si>
    <t>ORD-10474</t>
  </si>
  <si>
    <t>2022-02-11</t>
  </si>
  <si>
    <t xml:space="preserve"> 1200.00 </t>
  </si>
  <si>
    <t>ORD-10475</t>
  </si>
  <si>
    <t>2023-04-27</t>
  </si>
  <si>
    <t>ORD-10476</t>
  </si>
  <si>
    <t>CUST-1124</t>
  </si>
  <si>
    <t>ORD-10477</t>
  </si>
  <si>
    <t>ORD-10478</t>
  </si>
  <si>
    <t>2023-06-11</t>
  </si>
  <si>
    <t>CUST-1039</t>
  </si>
  <si>
    <t xml:space="preserve"> 330.00 </t>
  </si>
  <si>
    <t>ORD-10479</t>
  </si>
  <si>
    <t xml:space="preserve"> 2026-09-24 </t>
  </si>
  <si>
    <t>174.00</t>
  </si>
  <si>
    <t>2025-02-21</t>
  </si>
  <si>
    <t>ORD-10481</t>
  </si>
  <si>
    <t>2026-09-02</t>
  </si>
  <si>
    <t>ORD-10482</t>
  </si>
  <si>
    <t>2026-06-05</t>
  </si>
  <si>
    <t>2022-02-10</t>
  </si>
  <si>
    <t>CUST-1034</t>
  </si>
  <si>
    <t>ORD-10485</t>
  </si>
  <si>
    <t>2025-05-02</t>
  </si>
  <si>
    <t>CUST-1008</t>
  </si>
  <si>
    <t>ORD-10486</t>
  </si>
  <si>
    <t>2024-10-31</t>
  </si>
  <si>
    <t>CUST-1091</t>
  </si>
  <si>
    <t>ORD-10487</t>
  </si>
  <si>
    <t>2024-01-21</t>
  </si>
  <si>
    <t>CUST-1172</t>
  </si>
  <si>
    <t>ORD-10488</t>
  </si>
  <si>
    <t>ORD-10489</t>
  </si>
  <si>
    <t>2022-11-01</t>
  </si>
  <si>
    <t>290.00</t>
  </si>
  <si>
    <t>ORD-10490</t>
  </si>
  <si>
    <t xml:space="preserve"> 2022-03-01 </t>
  </si>
  <si>
    <t>ORD-10491</t>
  </si>
  <si>
    <t>ORD-10492</t>
  </si>
  <si>
    <t>2025-07-15</t>
  </si>
  <si>
    <t>ORD-10493</t>
  </si>
  <si>
    <t>2023-11-21</t>
  </si>
  <si>
    <t>CUST-1151</t>
  </si>
  <si>
    <t>ORD-10494</t>
  </si>
  <si>
    <t>2024-03-17</t>
  </si>
  <si>
    <t>ORD-10495</t>
  </si>
  <si>
    <t>2022-09-24</t>
  </si>
  <si>
    <t>845.00</t>
  </si>
  <si>
    <t>2026-05-25</t>
  </si>
  <si>
    <t>135.00</t>
  </si>
  <si>
    <t>ORD-10497</t>
  </si>
  <si>
    <t>2022-08-06</t>
  </si>
  <si>
    <t>ORD-10498</t>
  </si>
  <si>
    <t>2025-11-20</t>
  </si>
  <si>
    <t>ORD-10499</t>
  </si>
  <si>
    <t>ORD-10500</t>
  </si>
  <si>
    <t>2025-04-24</t>
  </si>
  <si>
    <t>ORD-10501</t>
  </si>
  <si>
    <t>ORD-10502</t>
  </si>
  <si>
    <t>2026-04-20</t>
  </si>
  <si>
    <t>68.00</t>
  </si>
  <si>
    <t>ORD-10503</t>
  </si>
  <si>
    <t>2024-08-06</t>
  </si>
  <si>
    <t>ORD-10504</t>
  </si>
  <si>
    <t xml:space="preserve"> 2022-11-14 </t>
  </si>
  <si>
    <t>CUST-1023</t>
  </si>
  <si>
    <t>ORD-10505</t>
  </si>
  <si>
    <t>2022-10-06</t>
  </si>
  <si>
    <t>ORD-10506</t>
  </si>
  <si>
    <t>2025-03-24</t>
  </si>
  <si>
    <t>ORD-10507</t>
  </si>
  <si>
    <t>2023-05-26</t>
  </si>
  <si>
    <t>CUST-1070</t>
  </si>
  <si>
    <t>ORD-10508</t>
  </si>
  <si>
    <t>2024-10-01</t>
  </si>
  <si>
    <t>146.00</t>
  </si>
  <si>
    <t>ORD-10509</t>
  </si>
  <si>
    <t>2024-02-09</t>
  </si>
  <si>
    <t>ORD-10510</t>
  </si>
  <si>
    <t>ORD-10511</t>
  </si>
  <si>
    <t>2024-08-09</t>
  </si>
  <si>
    <t>ORD-10512</t>
  </si>
  <si>
    <t>ORD-10513</t>
  </si>
  <si>
    <t>2024-10-10</t>
  </si>
  <si>
    <t>CUST-1048</t>
  </si>
  <si>
    <t>ORD-10514</t>
  </si>
  <si>
    <t>2022-04-18</t>
  </si>
  <si>
    <t>ORD-10515</t>
  </si>
  <si>
    <t>2025-08-15</t>
  </si>
  <si>
    <t>ORD-10517</t>
  </si>
  <si>
    <t>2023-01-19</t>
  </si>
  <si>
    <t>58.00</t>
  </si>
  <si>
    <t>ORD-10518</t>
  </si>
  <si>
    <t xml:space="preserve"> 2024-07-08 </t>
  </si>
  <si>
    <t xml:space="preserve"> 1102.00 </t>
  </si>
  <si>
    <t>ORD-10519</t>
  </si>
  <si>
    <t>2023-05-04</t>
  </si>
  <si>
    <t>ORD-10520</t>
  </si>
  <si>
    <t>2025-07-14</t>
  </si>
  <si>
    <t xml:space="preserve"> Chicago </t>
  </si>
  <si>
    <t>ORD-10521</t>
  </si>
  <si>
    <t>2022-05-27</t>
  </si>
  <si>
    <t>ORD-10522</t>
  </si>
  <si>
    <t>2024-04-22</t>
  </si>
  <si>
    <t xml:space="preserve"> 1330.00 </t>
  </si>
  <si>
    <t>ORD-10523</t>
  </si>
  <si>
    <t>2024-02-08</t>
  </si>
  <si>
    <t>ORD-10524</t>
  </si>
  <si>
    <t>2023-07-25</t>
  </si>
  <si>
    <t>2026-02-21</t>
  </si>
  <si>
    <t>ORD-10526</t>
  </si>
  <si>
    <t>ORD-10527</t>
  </si>
  <si>
    <t>2025-12-03</t>
  </si>
  <si>
    <t>1168.00</t>
  </si>
  <si>
    <t>ORD-10528</t>
  </si>
  <si>
    <t>2022-12-27</t>
  </si>
  <si>
    <t xml:space="preserve"> 765.00 </t>
  </si>
  <si>
    <t xml:space="preserve"> 2022-09-04 </t>
  </si>
  <si>
    <t>ORD-10530</t>
  </si>
  <si>
    <t>2022-11-28</t>
  </si>
  <si>
    <t>ORD-10531</t>
  </si>
  <si>
    <t>2023-11-18</t>
  </si>
  <si>
    <t>75.00</t>
  </si>
  <si>
    <t>ORD-10532</t>
  </si>
  <si>
    <t>2025-11-27</t>
  </si>
  <si>
    <t>ORD-10533</t>
  </si>
  <si>
    <t>2024-05-13</t>
  </si>
  <si>
    <t>ORD-10535</t>
  </si>
  <si>
    <t>2022-09-13</t>
  </si>
  <si>
    <t>ORD-10536</t>
  </si>
  <si>
    <t>2023-03-15</t>
  </si>
  <si>
    <t>CUST-1162</t>
  </si>
  <si>
    <t>510.00</t>
  </si>
  <si>
    <t>ORD-10537</t>
  </si>
  <si>
    <t>2025-12-20</t>
  </si>
  <si>
    <t>ORD-10538</t>
  </si>
  <si>
    <t>ORD-10539</t>
  </si>
  <si>
    <t>2026-07-30</t>
  </si>
  <si>
    <t>170.00</t>
  </si>
  <si>
    <t>ORD-10540</t>
  </si>
  <si>
    <t>2024-11-24</t>
  </si>
  <si>
    <t>ORD-10541</t>
  </si>
  <si>
    <t>2023-03-14</t>
  </si>
  <si>
    <t xml:space="preserve"> CUST-1160 </t>
  </si>
  <si>
    <t>ORD-10542</t>
  </si>
  <si>
    <t>2025-07-07</t>
  </si>
  <si>
    <t>ORD-10543</t>
  </si>
  <si>
    <t>2026-08-13</t>
  </si>
  <si>
    <t>ORD-10544</t>
  </si>
  <si>
    <t>2024-03-02</t>
  </si>
  <si>
    <t>CUST-1033</t>
  </si>
  <si>
    <t>ORD-10545</t>
  </si>
  <si>
    <t>ORD-10546</t>
  </si>
  <si>
    <t>2024-11-18</t>
  </si>
  <si>
    <t>570.00</t>
  </si>
  <si>
    <t>ORD-10547</t>
  </si>
  <si>
    <t>2023-03-31</t>
  </si>
  <si>
    <t>CUST-1031</t>
  </si>
  <si>
    <t>ORD-10548</t>
  </si>
  <si>
    <t>ORD-10549</t>
  </si>
  <si>
    <t>2024-11-17</t>
  </si>
  <si>
    <t>ORD-10550</t>
  </si>
  <si>
    <t>2025-03-12</t>
  </si>
  <si>
    <t>ORD-10551</t>
  </si>
  <si>
    <t>2024-12-10</t>
  </si>
  <si>
    <t>270.00</t>
  </si>
  <si>
    <t>ORD-10552</t>
  </si>
  <si>
    <t>2022-12-16</t>
  </si>
  <si>
    <t>ORD-10553</t>
  </si>
  <si>
    <t>2022-01-27</t>
  </si>
  <si>
    <t>ORD-10554</t>
  </si>
  <si>
    <t>2022-11-21</t>
  </si>
  <si>
    <t>ORD-10555</t>
  </si>
  <si>
    <t>2024-10-17</t>
  </si>
  <si>
    <t>ORD-10556</t>
  </si>
  <si>
    <t>2025-04-17</t>
  </si>
  <si>
    <t>ORD-10557</t>
  </si>
  <si>
    <t>2023-09-05</t>
  </si>
  <si>
    <t>ORD-10558</t>
  </si>
  <si>
    <t>2025-08-19</t>
  </si>
  <si>
    <t>ORD-10560</t>
  </si>
  <si>
    <t>2022-04-14</t>
  </si>
  <si>
    <t>ORD-10561</t>
  </si>
  <si>
    <t>2026-02-15</t>
  </si>
  <si>
    <t>CUST-1176</t>
  </si>
  <si>
    <t>ORD-10562</t>
  </si>
  <si>
    <t>ORD-10563</t>
  </si>
  <si>
    <t>ORD-10564</t>
  </si>
  <si>
    <t>ORD-10565</t>
  </si>
  <si>
    <t>2026-03-26</t>
  </si>
  <si>
    <t>ORD-10566</t>
  </si>
  <si>
    <t>2024-09-03</t>
  </si>
  <si>
    <t>ORD-10567</t>
  </si>
  <si>
    <t>2024-04-03</t>
  </si>
  <si>
    <t>ORD-10568</t>
  </si>
  <si>
    <t>2023-04-01</t>
  </si>
  <si>
    <t>ORD-10569</t>
  </si>
  <si>
    <t>ORD-10570</t>
  </si>
  <si>
    <t>2026-07-29</t>
  </si>
  <si>
    <t>378.00</t>
  </si>
  <si>
    <t>ORD-10571</t>
  </si>
  <si>
    <t>2026-07-04</t>
  </si>
  <si>
    <t>ORD-10573</t>
  </si>
  <si>
    <t>2025-04-20</t>
  </si>
  <si>
    <t xml:space="preserve"> CUST-1059 </t>
  </si>
  <si>
    <t>ORD-10574</t>
  </si>
  <si>
    <t>ORD-10575</t>
  </si>
  <si>
    <t>2023-03-07</t>
  </si>
  <si>
    <t>95.00</t>
  </si>
  <si>
    <t>ORD-10576</t>
  </si>
  <si>
    <t>ORD-10577</t>
  </si>
  <si>
    <t>2024-07-09</t>
  </si>
  <si>
    <t>ORD-10578</t>
  </si>
  <si>
    <t>2023-10-10</t>
  </si>
  <si>
    <t>ORD-10580</t>
  </si>
  <si>
    <t>ORD-10581</t>
  </si>
  <si>
    <t>2024-01-17</t>
  </si>
  <si>
    <t>CUST-1133</t>
  </si>
  <si>
    <t xml:space="preserve"> 135.00 </t>
  </si>
  <si>
    <t>ORD-10582</t>
  </si>
  <si>
    <t>2023-02-07</t>
  </si>
  <si>
    <t>ORD-10583</t>
  </si>
  <si>
    <t>ORD-10585</t>
  </si>
  <si>
    <t>2026-09-26</t>
  </si>
  <si>
    <t>ORD-10586</t>
  </si>
  <si>
    <t>2024-10-27</t>
  </si>
  <si>
    <t>232.00</t>
  </si>
  <si>
    <t>ORD-10587</t>
  </si>
  <si>
    <t>2022-04-24</t>
  </si>
  <si>
    <t>ORD-10588</t>
  </si>
  <si>
    <t>2022-04-06</t>
  </si>
  <si>
    <t>ORD-10589</t>
  </si>
  <si>
    <t>2023-04-11</t>
  </si>
  <si>
    <t>ORD-10590</t>
  </si>
  <si>
    <t>2026-07-12</t>
  </si>
  <si>
    <t>ORD-10591</t>
  </si>
  <si>
    <t>2023-03-25</t>
  </si>
  <si>
    <t>CUST-1060</t>
  </si>
  <si>
    <t>ORD-10592</t>
  </si>
  <si>
    <t>ORD-10593</t>
  </si>
  <si>
    <t>2024-08-14</t>
  </si>
  <si>
    <t>ORD-10594</t>
  </si>
  <si>
    <t>2022-01-12</t>
  </si>
  <si>
    <t xml:space="preserve"> 975.00 </t>
  </si>
  <si>
    <t>ORD-10595</t>
  </si>
  <si>
    <t>ORD-10596</t>
  </si>
  <si>
    <t>ORD-10597</t>
  </si>
  <si>
    <t>2026-01-06</t>
  </si>
  <si>
    <t>ORD-10598</t>
  </si>
  <si>
    <t>2022-07-15</t>
  </si>
  <si>
    <t>ORD-10599</t>
  </si>
  <si>
    <t>2022-04-25</t>
  </si>
  <si>
    <t>ORD-10600</t>
  </si>
  <si>
    <t>2025-05-12</t>
  </si>
  <si>
    <t>CUST-1185</t>
  </si>
  <si>
    <t>ORD-10601</t>
  </si>
  <si>
    <t>ORD-10602</t>
  </si>
  <si>
    <t>2023-11-19</t>
  </si>
  <si>
    <t>ORD-10603</t>
  </si>
  <si>
    <t>2025-07-16</t>
  </si>
  <si>
    <t xml:space="preserve"> 1520.00 </t>
  </si>
  <si>
    <t xml:space="preserve"> 950.00 </t>
  </si>
  <si>
    <t>ORD-10606</t>
  </si>
  <si>
    <t>2026-07-05</t>
  </si>
  <si>
    <t xml:space="preserve"> CUST-1084 </t>
  </si>
  <si>
    <t>ORD-10607</t>
  </si>
  <si>
    <t xml:space="preserve"> 2022-12-01 </t>
  </si>
  <si>
    <t>2022-12-01</t>
  </si>
  <si>
    <t>2022-07-27</t>
  </si>
  <si>
    <t>ORD-10610</t>
  </si>
  <si>
    <t>ORD-10611</t>
  </si>
  <si>
    <t>2024-03-07</t>
  </si>
  <si>
    <t xml:space="preserve"> CUST-1085 </t>
  </si>
  <si>
    <t>2022-02-06</t>
  </si>
  <si>
    <t>ORD-10613</t>
  </si>
  <si>
    <t>2025-06-17</t>
  </si>
  <si>
    <t>ORD-10614</t>
  </si>
  <si>
    <t>2025-05-15</t>
  </si>
  <si>
    <t>ORD-10615</t>
  </si>
  <si>
    <t>2025-10-05</t>
  </si>
  <si>
    <t>ORD-10616</t>
  </si>
  <si>
    <t>2022-10-09</t>
  </si>
  <si>
    <t>ORD-10617</t>
  </si>
  <si>
    <t>2024-07-27</t>
  </si>
  <si>
    <t>ORD-10618</t>
  </si>
  <si>
    <t>2024-11-28</t>
  </si>
  <si>
    <t>ORD-10619</t>
  </si>
  <si>
    <t>2023-09-30</t>
  </si>
  <si>
    <t>ORD-10620</t>
  </si>
  <si>
    <t>2022-09-30</t>
  </si>
  <si>
    <t xml:space="preserve"> 1260.00 </t>
  </si>
  <si>
    <t>ORD-10621</t>
  </si>
  <si>
    <t>2026-06-11</t>
  </si>
  <si>
    <t>ORD-10622</t>
  </si>
  <si>
    <t>ORD-10623</t>
  </si>
  <si>
    <t>ORD-10624</t>
  </si>
  <si>
    <t>ORD-10626</t>
  </si>
  <si>
    <t>2022-08-26</t>
  </si>
  <si>
    <t>ORD-10627</t>
  </si>
  <si>
    <t>ORD-10628</t>
  </si>
  <si>
    <t>2024-06-17</t>
  </si>
  <si>
    <t>ORD-10629</t>
  </si>
  <si>
    <t>2024-03-29</t>
  </si>
  <si>
    <t>855.00</t>
  </si>
  <si>
    <t>ORD-10630</t>
  </si>
  <si>
    <t>2023-08-26</t>
  </si>
  <si>
    <t>CUST-1063</t>
  </si>
  <si>
    <t>ORD-10631</t>
  </si>
  <si>
    <t>2024-12-26</t>
  </si>
  <si>
    <t>ORD-10632</t>
  </si>
  <si>
    <t>2025-01-18</t>
  </si>
  <si>
    <t>ORD-10633</t>
  </si>
  <si>
    <t>2026-09-06</t>
  </si>
  <si>
    <t>ORD-10634</t>
  </si>
  <si>
    <t xml:space="preserve"> 2023-11-04 </t>
  </si>
  <si>
    <t>ORD-10635</t>
  </si>
  <si>
    <t xml:space="preserve"> 2023-01-19 </t>
  </si>
  <si>
    <t>ORD-10636</t>
  </si>
  <si>
    <t>2023-10-09</t>
  </si>
  <si>
    <t>ORD-10637</t>
  </si>
  <si>
    <t>2022-08-21</t>
  </si>
  <si>
    <t>ORD-10638</t>
  </si>
  <si>
    <t>ORD-10639</t>
  </si>
  <si>
    <t>2023-01-27</t>
  </si>
  <si>
    <t>ORD-10641</t>
  </si>
  <si>
    <t>ORD-10642</t>
  </si>
  <si>
    <t>2023-06-26</t>
  </si>
  <si>
    <t xml:space="preserve"> 720.00 </t>
  </si>
  <si>
    <t>ORD-10644</t>
  </si>
  <si>
    <t>2025-03-02</t>
  </si>
  <si>
    <t>CUST-1103</t>
  </si>
  <si>
    <t>2024-09-16</t>
  </si>
  <si>
    <t>ORD-10647</t>
  </si>
  <si>
    <t xml:space="preserve"> 2024-02-22 </t>
  </si>
  <si>
    <t>ORD-10648</t>
  </si>
  <si>
    <t>2022-03-09</t>
  </si>
  <si>
    <t>ORD-10649</t>
  </si>
  <si>
    <t>CUST-1045</t>
  </si>
  <si>
    <t>ORD-10651</t>
  </si>
  <si>
    <t>2023-02-27</t>
  </si>
  <si>
    <t xml:space="preserve"> CUST-1027 </t>
  </si>
  <si>
    <t>ORD-10652</t>
  </si>
  <si>
    <t>2025-03-15</t>
  </si>
  <si>
    <t>ORD-10653</t>
  </si>
  <si>
    <t>2022-11-14</t>
  </si>
  <si>
    <t>ORD-10654</t>
  </si>
  <si>
    <t>2024-12-02</t>
  </si>
  <si>
    <t>ORD-10655</t>
  </si>
  <si>
    <t>2026-09-14</t>
  </si>
  <si>
    <t>ORD-10656</t>
  </si>
  <si>
    <t>CUST-1183</t>
  </si>
  <si>
    <t>584.00</t>
  </si>
  <si>
    <t>ORD-10657</t>
  </si>
  <si>
    <t>ORD-10658</t>
  </si>
  <si>
    <t>2025-07-30</t>
  </si>
  <si>
    <t>ORD-10659</t>
  </si>
  <si>
    <t>2024-08-08</t>
  </si>
  <si>
    <t>990.00</t>
  </si>
  <si>
    <t>ORD-10661</t>
  </si>
  <si>
    <t>2025-08-18</t>
  </si>
  <si>
    <t>1620.00</t>
  </si>
  <si>
    <t>ORD-10662</t>
  </si>
  <si>
    <t>2025-08-03</t>
  </si>
  <si>
    <t>ORD-10663</t>
  </si>
  <si>
    <t>2022-10-31</t>
  </si>
  <si>
    <t>ORD-10664</t>
  </si>
  <si>
    <t>2024-05-26</t>
  </si>
  <si>
    <t>2026-08-01</t>
  </si>
  <si>
    <t>ORD-10667</t>
  </si>
  <si>
    <t>ORD-10668</t>
  </si>
  <si>
    <t>ORD-10669</t>
  </si>
  <si>
    <t>ORD-10670</t>
  </si>
  <si>
    <t>2026-04-02</t>
  </si>
  <si>
    <t xml:space="preserve"> 450.00 </t>
  </si>
  <si>
    <t>ORD-10671</t>
  </si>
  <si>
    <t>2023-10-16</t>
  </si>
  <si>
    <t>ORD-10672</t>
  </si>
  <si>
    <t>2025-09-18</t>
  </si>
  <si>
    <t>ORD-10673</t>
  </si>
  <si>
    <t>ORD-10674</t>
  </si>
  <si>
    <t>2026-08-23</t>
  </si>
  <si>
    <t>ORD-10675</t>
  </si>
  <si>
    <t>2026-04-03</t>
  </si>
  <si>
    <t>ORD-10676</t>
  </si>
  <si>
    <t>2026-02-13</t>
  </si>
  <si>
    <t>ORD-10677</t>
  </si>
  <si>
    <t>2023-10-02</t>
  </si>
  <si>
    <t>340.00</t>
  </si>
  <si>
    <t>ORD-10678</t>
  </si>
  <si>
    <t>2024-01-19</t>
  </si>
  <si>
    <t xml:space="preserve"> CUST-1095 </t>
  </si>
  <si>
    <t>ORD-10679</t>
  </si>
  <si>
    <t>2025-08-13</t>
  </si>
  <si>
    <t>ORD-10680</t>
  </si>
  <si>
    <t>2026-03-27</t>
  </si>
  <si>
    <t>ORD-10681</t>
  </si>
  <si>
    <t>ORD-10682</t>
  </si>
  <si>
    <t>2026-02-03</t>
  </si>
  <si>
    <t xml:space="preserve"> 75.00 </t>
  </si>
  <si>
    <t>ORD-10683</t>
  </si>
  <si>
    <t>2023-06-25</t>
  </si>
  <si>
    <t>ORD-10684</t>
  </si>
  <si>
    <t>2025-09-21</t>
  </si>
  <si>
    <t>ORD-10686</t>
  </si>
  <si>
    <t>ORD-10687</t>
  </si>
  <si>
    <t>ORD-10688</t>
  </si>
  <si>
    <t>2023-02-15</t>
  </si>
  <si>
    <t>ORD-10689</t>
  </si>
  <si>
    <t xml:space="preserve"> 2024-10-03 </t>
  </si>
  <si>
    <t>ORD-10690</t>
  </si>
  <si>
    <t>2022-12-24</t>
  </si>
  <si>
    <t>ORD-10692</t>
  </si>
  <si>
    <t>2022-12-07</t>
  </si>
  <si>
    <t>ORD-10693</t>
  </si>
  <si>
    <t>ORD-10694</t>
  </si>
  <si>
    <t>ORD-10695</t>
  </si>
  <si>
    <t>2024-12-15</t>
  </si>
  <si>
    <t>ORD-10696</t>
  </si>
  <si>
    <t>2024-12-16</t>
  </si>
  <si>
    <t xml:space="preserve"> 165.00 </t>
  </si>
  <si>
    <t>ORD-10697</t>
  </si>
  <si>
    <t>2024-03-14</t>
  </si>
  <si>
    <t>ORD-10698</t>
  </si>
  <si>
    <t>CUST-1090</t>
  </si>
  <si>
    <t>ORD-10699</t>
  </si>
  <si>
    <t>ORD-10700</t>
  </si>
  <si>
    <t>2023-04-03</t>
  </si>
  <si>
    <t>ORD-10701</t>
  </si>
  <si>
    <t>2022-01-18</t>
  </si>
  <si>
    <t xml:space="preserve"> CUST-1139 </t>
  </si>
  <si>
    <t>ORD-10702</t>
  </si>
  <si>
    <t>ORD-10703</t>
  </si>
  <si>
    <t>2022-06-06</t>
  </si>
  <si>
    <t>ORD-10704</t>
  </si>
  <si>
    <t>ORD-10705</t>
  </si>
  <si>
    <t>ORD-10706</t>
  </si>
  <si>
    <t>2022-02-15</t>
  </si>
  <si>
    <t>2023-11-14</t>
  </si>
  <si>
    <t xml:space="preserve"> P201 </t>
  </si>
  <si>
    <t>ORD-10708</t>
  </si>
  <si>
    <t>2022-02-20</t>
  </si>
  <si>
    <t>657.00</t>
  </si>
  <si>
    <t>ORD-10709</t>
  </si>
  <si>
    <t>ORD-10710</t>
  </si>
  <si>
    <t>ORD-10711</t>
  </si>
  <si>
    <t>ORD-10712</t>
  </si>
  <si>
    <t>2025-07-10</t>
  </si>
  <si>
    <t>CUST-1071</t>
  </si>
  <si>
    <t>ORD-10713</t>
  </si>
  <si>
    <t>2025-06-21</t>
  </si>
  <si>
    <t>ORD-10714</t>
  </si>
  <si>
    <t>2023-05-28</t>
  </si>
  <si>
    <t>ORD-10715</t>
  </si>
  <si>
    <t>2022-11-29</t>
  </si>
  <si>
    <t>ORD-10716</t>
  </si>
  <si>
    <t>ORD-10717</t>
  </si>
  <si>
    <t>CUST-1109</t>
  </si>
  <si>
    <t>812.00</t>
  </si>
  <si>
    <t>ORD-10718</t>
  </si>
  <si>
    <t>ORD-10719</t>
  </si>
  <si>
    <t>2025-03-22</t>
  </si>
  <si>
    <t>ORD-10720</t>
  </si>
  <si>
    <t>2026-09-22</t>
  </si>
  <si>
    <t>2024-10-26</t>
  </si>
  <si>
    <t>2022-11-25</t>
  </si>
  <si>
    <t>ORD-10723</t>
  </si>
  <si>
    <t>ORD-10724</t>
  </si>
  <si>
    <t>2022-01-09</t>
  </si>
  <si>
    <t>ORD-10726</t>
  </si>
  <si>
    <t>2026-07-10</t>
  </si>
  <si>
    <t>ORD-10727</t>
  </si>
  <si>
    <t>ORD-10728</t>
  </si>
  <si>
    <t xml:space="preserve"> 2026-02-04 </t>
  </si>
  <si>
    <t>ORD-10729</t>
  </si>
  <si>
    <t>ORD-10730</t>
  </si>
  <si>
    <t>2023-02-16</t>
  </si>
  <si>
    <t>ORD-10731</t>
  </si>
  <si>
    <t>2025-08-22</t>
  </si>
  <si>
    <t>ORD-10732</t>
  </si>
  <si>
    <t>2023-05-17</t>
  </si>
  <si>
    <t>ORD-10733</t>
  </si>
  <si>
    <t>ORD-10734</t>
  </si>
  <si>
    <t>2022-11-06</t>
  </si>
  <si>
    <t>819.00</t>
  </si>
  <si>
    <t>ORD-10735</t>
  </si>
  <si>
    <t>ORD-10737</t>
  </si>
  <si>
    <t>2023-09-06</t>
  </si>
  <si>
    <t>ORD-10738</t>
  </si>
  <si>
    <t>2022-12-26</t>
  </si>
  <si>
    <t>ORD-10739</t>
  </si>
  <si>
    <t>2025-10-08</t>
  </si>
  <si>
    <t>ORD-10740</t>
  </si>
  <si>
    <t>2024-06-12</t>
  </si>
  <si>
    <t>ORD-10742</t>
  </si>
  <si>
    <t>2022-03-12</t>
  </si>
  <si>
    <t>ORD-10743</t>
  </si>
  <si>
    <t>2024-05-09</t>
  </si>
  <si>
    <t>CUST-1083</t>
  </si>
  <si>
    <t>ORD-10745</t>
  </si>
  <si>
    <t>2024-10-14</t>
  </si>
  <si>
    <t>986.00</t>
  </si>
  <si>
    <t>ORD-10746</t>
  </si>
  <si>
    <t xml:space="preserve"> CUST-1060 </t>
  </si>
  <si>
    <t>ORD-10747</t>
  </si>
  <si>
    <t>ORD-10748</t>
  </si>
  <si>
    <t>2023-02-25</t>
  </si>
  <si>
    <t>ORD-10749</t>
  </si>
  <si>
    <t>2024-01-04</t>
  </si>
  <si>
    <t>2025-09-06</t>
  </si>
  <si>
    <t>ORD-10751</t>
  </si>
  <si>
    <t xml:space="preserve"> 2025-04-02 </t>
  </si>
  <si>
    <t>ORD-10752</t>
  </si>
  <si>
    <t>2022-07-03</t>
  </si>
  <si>
    <t>ORD-10753</t>
  </si>
  <si>
    <t>2022-06-18</t>
  </si>
  <si>
    <t>ORD-10755</t>
  </si>
  <si>
    <t>ORD-10756</t>
  </si>
  <si>
    <t>2024-07-28</t>
  </si>
  <si>
    <t>ORD-10757</t>
  </si>
  <si>
    <t xml:space="preserve"> CUST-1074 </t>
  </si>
  <si>
    <t>ORD-10758</t>
  </si>
  <si>
    <t>ORD-10759</t>
  </si>
  <si>
    <t>2024-12-30</t>
  </si>
  <si>
    <t>ORD-10760</t>
  </si>
  <si>
    <t>ORD-10761</t>
  </si>
  <si>
    <t>2025-08-17</t>
  </si>
  <si>
    <t>ORD-10763</t>
  </si>
  <si>
    <t>ORD-10764</t>
  </si>
  <si>
    <t>2023-12-18</t>
  </si>
  <si>
    <t xml:space="preserve"> CUST-1129 </t>
  </si>
  <si>
    <t>ORD-10765</t>
  </si>
  <si>
    <t>2026-10-04</t>
  </si>
  <si>
    <t xml:space="preserve"> CUST-1178 </t>
  </si>
  <si>
    <t>ORD-10766</t>
  </si>
  <si>
    <t>2025-12-27</t>
  </si>
  <si>
    <t>ORD-10767</t>
  </si>
  <si>
    <t>2022-11-05</t>
  </si>
  <si>
    <t>ORD-10768</t>
  </si>
  <si>
    <t>2023-05-27</t>
  </si>
  <si>
    <t>ORD-10769</t>
  </si>
  <si>
    <t>2023-06-14</t>
  </si>
  <si>
    <t>ORD-10770</t>
  </si>
  <si>
    <t>ORD-10771</t>
  </si>
  <si>
    <t>2026-03-12</t>
  </si>
  <si>
    <t>ORD-10772</t>
  </si>
  <si>
    <t>2023-02-14</t>
  </si>
  <si>
    <t xml:space="preserve"> 855.00 </t>
  </si>
  <si>
    <t>ORD-10773</t>
  </si>
  <si>
    <t>2025-10-22</t>
  </si>
  <si>
    <t>ORD-10774</t>
  </si>
  <si>
    <t>2025-01-12</t>
  </si>
  <si>
    <t>ORD-10775</t>
  </si>
  <si>
    <t>ORD-10776</t>
  </si>
  <si>
    <t>2026-06-18</t>
  </si>
  <si>
    <t>ORD-10777</t>
  </si>
  <si>
    <t>2023-09-11</t>
  </si>
  <si>
    <t>ORD-10778</t>
  </si>
  <si>
    <t>ORD-10779</t>
  </si>
  <si>
    <t xml:space="preserve"> 250.00 </t>
  </si>
  <si>
    <t>ORD-10780</t>
  </si>
  <si>
    <t>2023-03-20</t>
  </si>
  <si>
    <t>159.00</t>
  </si>
  <si>
    <t>ORD-10781</t>
  </si>
  <si>
    <t>2025-03-16</t>
  </si>
  <si>
    <t>ORD-10782</t>
  </si>
  <si>
    <t>2023-02-13</t>
  </si>
  <si>
    <t xml:space="preserve"> 1140.00 </t>
  </si>
  <si>
    <t>ORD-10783</t>
  </si>
  <si>
    <t>2023-04-08</t>
  </si>
  <si>
    <t xml:space="preserve"> CUST-1123 </t>
  </si>
  <si>
    <t>ORD-10784</t>
  </si>
  <si>
    <t>2024-11-30</t>
  </si>
  <si>
    <t>ORD-10785</t>
  </si>
  <si>
    <t>45.00</t>
  </si>
  <si>
    <t>ORD-10786</t>
  </si>
  <si>
    <t>2024-10-22</t>
  </si>
  <si>
    <t>ORD-10787</t>
  </si>
  <si>
    <t>2024-05-12</t>
  </si>
  <si>
    <t>ORD-10788</t>
  </si>
  <si>
    <t>2024-01-23</t>
  </si>
  <si>
    <t>ORD-10789</t>
  </si>
  <si>
    <t>2024-11-07</t>
  </si>
  <si>
    <t>ORD-10790</t>
  </si>
  <si>
    <t>2023-06-23</t>
  </si>
  <si>
    <t>ORD-10791</t>
  </si>
  <si>
    <t>2022-07-26</t>
  </si>
  <si>
    <t>ORD-10793</t>
  </si>
  <si>
    <t>2024-09-20</t>
  </si>
  <si>
    <t>ORD-10794</t>
  </si>
  <si>
    <t>2024-08-24</t>
  </si>
  <si>
    <t>ORD-10795</t>
  </si>
  <si>
    <t>2025-04-10</t>
  </si>
  <si>
    <t>ORD-10796</t>
  </si>
  <si>
    <t>ORD-10797</t>
  </si>
  <si>
    <t xml:space="preserve"> 2023-03-08 </t>
  </si>
  <si>
    <t xml:space="preserve"> CUST-1051 </t>
  </si>
  <si>
    <t>ORD-10799</t>
  </si>
  <si>
    <t>2025-04-06</t>
  </si>
  <si>
    <t>70.00</t>
  </si>
  <si>
    <t>ORD-10800</t>
  </si>
  <si>
    <t>2023-08-06</t>
  </si>
  <si>
    <t>ORD-10801</t>
  </si>
  <si>
    <t>2022-10-15</t>
  </si>
  <si>
    <t>CUST-1168</t>
  </si>
  <si>
    <t>ORD-10803</t>
  </si>
  <si>
    <t>2025-06-03</t>
  </si>
  <si>
    <t>612.00</t>
  </si>
  <si>
    <t>ORD-10804</t>
  </si>
  <si>
    <t>ORD-10805</t>
  </si>
  <si>
    <t>ORD-10806</t>
  </si>
  <si>
    <t xml:space="preserve"> 636.00 </t>
  </si>
  <si>
    <t>ORD-10807</t>
  </si>
  <si>
    <t>2024-05-28</t>
  </si>
  <si>
    <t>ORD-10808</t>
  </si>
  <si>
    <t>ORD-10809</t>
  </si>
  <si>
    <t>2026-07-26</t>
  </si>
  <si>
    <t xml:space="preserve"> CUST-1037 </t>
  </si>
  <si>
    <t>2022-02-08</t>
  </si>
  <si>
    <t>ORD-10811</t>
  </si>
  <si>
    <t>2024-04-19</t>
  </si>
  <si>
    <t>2026-07-16</t>
  </si>
  <si>
    <t>1125.00</t>
  </si>
  <si>
    <t>ORD-10813</t>
  </si>
  <si>
    <t>2023-01-28</t>
  </si>
  <si>
    <t>ORD-10814</t>
  </si>
  <si>
    <t>ORD-10815</t>
  </si>
  <si>
    <t>ORD-10816</t>
  </si>
  <si>
    <t>2023-06-21</t>
  </si>
  <si>
    <t>ORD-10817</t>
  </si>
  <si>
    <t>2024-09-02</t>
  </si>
  <si>
    <t>ORD-10818</t>
  </si>
  <si>
    <t>ORD-10819</t>
  </si>
  <si>
    <t>2022-11-12</t>
  </si>
  <si>
    <t>ORD-10821</t>
  </si>
  <si>
    <t>2025-01-19</t>
  </si>
  <si>
    <t>ORD-10822</t>
  </si>
  <si>
    <t>ORD-10823</t>
  </si>
  <si>
    <t>CUST-1019</t>
  </si>
  <si>
    <t>ORD-10824</t>
  </si>
  <si>
    <t>2023-10-19</t>
  </si>
  <si>
    <t>ORD-10825</t>
  </si>
  <si>
    <t>2024-04-12</t>
  </si>
  <si>
    <t>ORD-10826</t>
  </si>
  <si>
    <t xml:space="preserve"> 1224.00 </t>
  </si>
  <si>
    <t>CUST-1053</t>
  </si>
  <si>
    <t>ORD-10828</t>
  </si>
  <si>
    <t>2022-03-18</t>
  </si>
  <si>
    <t>ORD-10829</t>
  </si>
  <si>
    <t>2025-07-04</t>
  </si>
  <si>
    <t>ORD-10830</t>
  </si>
  <si>
    <t>2024-07-13</t>
  </si>
  <si>
    <t>2023-05-20</t>
  </si>
  <si>
    <t>CUST-1046</t>
  </si>
  <si>
    <t>ORD-10832</t>
  </si>
  <si>
    <t>ORD-10833</t>
  </si>
  <si>
    <t>2023-07-02</t>
  </si>
  <si>
    <t>ORD-10834</t>
  </si>
  <si>
    <t>2026-08-30</t>
  </si>
  <si>
    <t>876.00</t>
  </si>
  <si>
    <t>ORD-10835</t>
  </si>
  <si>
    <t xml:space="preserve"> 2023-01-24 </t>
  </si>
  <si>
    <t>ORD-10836</t>
  </si>
  <si>
    <t>2025-02-06</t>
  </si>
  <si>
    <t>ORD-10837</t>
  </si>
  <si>
    <t>2022-04-02</t>
  </si>
  <si>
    <t>ORD-10839</t>
  </si>
  <si>
    <t>ORD-10840</t>
  </si>
  <si>
    <t>ORD-10842</t>
  </si>
  <si>
    <t>2023-12-12</t>
  </si>
  <si>
    <t>ORD-10843</t>
  </si>
  <si>
    <t>ORD-10844</t>
  </si>
  <si>
    <t>2026-06-08</t>
  </si>
  <si>
    <t>ORD-10845</t>
  </si>
  <si>
    <t>2022-08-03</t>
  </si>
  <si>
    <t>ORD-10846</t>
  </si>
  <si>
    <t>ORD-10848</t>
  </si>
  <si>
    <t>2023-05-15</t>
  </si>
  <si>
    <t>ORD-10849</t>
  </si>
  <si>
    <t>2024-10-19</t>
  </si>
  <si>
    <t>ORD-10850</t>
  </si>
  <si>
    <t>2025-10-14</t>
  </si>
  <si>
    <t xml:space="preserve"> 219.00 </t>
  </si>
  <si>
    <t>ORD-10851</t>
  </si>
  <si>
    <t>2024-03-30</t>
  </si>
  <si>
    <t>ORD-10852</t>
  </si>
  <si>
    <t>2022-10-08</t>
  </si>
  <si>
    <t>ORD-10853</t>
  </si>
  <si>
    <t>ORD-10854</t>
  </si>
  <si>
    <t>2022-06-11</t>
  </si>
  <si>
    <t>ORD-10855</t>
  </si>
  <si>
    <t>455.00</t>
  </si>
  <si>
    <t>ORD-10856</t>
  </si>
  <si>
    <t xml:space="preserve"> 2024-10-25 </t>
  </si>
  <si>
    <t>ORD-10857</t>
  </si>
  <si>
    <t>2025-03-06</t>
  </si>
  <si>
    <t>ORD-10858</t>
  </si>
  <si>
    <t>2026-08-18</t>
  </si>
  <si>
    <t>ORD-10859</t>
  </si>
  <si>
    <t>ORD-10860</t>
  </si>
  <si>
    <t>ORD-10861</t>
  </si>
  <si>
    <t>2025-06-27</t>
  </si>
  <si>
    <t>ORD-10862</t>
  </si>
  <si>
    <t xml:space="preserve"> 2023-09-22 </t>
  </si>
  <si>
    <t>ORD-10863</t>
  </si>
  <si>
    <t>2024-05-30</t>
  </si>
  <si>
    <t>ORD-10864</t>
  </si>
  <si>
    <t>2026-01-18</t>
  </si>
  <si>
    <t xml:space="preserve"> CUST-1146 </t>
  </si>
  <si>
    <t>ORD-10865</t>
  </si>
  <si>
    <t>2026-04-18</t>
  </si>
  <si>
    <t>ORD-10866</t>
  </si>
  <si>
    <t>2025-03-30</t>
  </si>
  <si>
    <t>ORD-10867</t>
  </si>
  <si>
    <t>ORD-10868</t>
  </si>
  <si>
    <t xml:space="preserve"> 2024-11-28 </t>
  </si>
  <si>
    <t>CUST-1146</t>
  </si>
  <si>
    <t>2023-01-04</t>
  </si>
  <si>
    <t>ORD-10870</t>
  </si>
  <si>
    <t>2023-03-10</t>
  </si>
  <si>
    <t>ORD-10871</t>
  </si>
  <si>
    <t>2022-11-23</t>
  </si>
  <si>
    <t>ORD-10872</t>
  </si>
  <si>
    <t>2026-01-13</t>
  </si>
  <si>
    <t>ORD-10873</t>
  </si>
  <si>
    <t>ORD-10874</t>
  </si>
  <si>
    <t>ORD-10875</t>
  </si>
  <si>
    <t>2022-04-04</t>
  </si>
  <si>
    <t>ORD-10876</t>
  </si>
  <si>
    <t>2024-11-21</t>
  </si>
  <si>
    <t>ORD-10877</t>
  </si>
  <si>
    <t>2023-11-24</t>
  </si>
  <si>
    <t>ORD-10878</t>
  </si>
  <si>
    <t>2023-06-02</t>
  </si>
  <si>
    <t>ORD-10879</t>
  </si>
  <si>
    <t>2025-11-06</t>
  </si>
  <si>
    <t>ORD-10880</t>
  </si>
  <si>
    <t>2023-12-24</t>
  </si>
  <si>
    <t>ORD-10881</t>
  </si>
  <si>
    <t>2022-04-23</t>
  </si>
  <si>
    <t xml:space="preserve"> CUST-1077 </t>
  </si>
  <si>
    <t>ORD-10882</t>
  </si>
  <si>
    <t>2023-06-01</t>
  </si>
  <si>
    <t>ORD-10884</t>
  </si>
  <si>
    <t>2023-05-16</t>
  </si>
  <si>
    <t>ORD-10885</t>
  </si>
  <si>
    <t>2026-08-16</t>
  </si>
  <si>
    <t xml:space="preserve"> 2024-08-22 </t>
  </si>
  <si>
    <t>ORD-10887</t>
  </si>
  <si>
    <t>2023-10-13</t>
  </si>
  <si>
    <t>ORD-10889</t>
  </si>
  <si>
    <t>2025-02-20</t>
  </si>
  <si>
    <t>ORD-10890</t>
  </si>
  <si>
    <t>2023-03-27</t>
  </si>
  <si>
    <t>756.00</t>
  </si>
  <si>
    <t>ORD-10891</t>
  </si>
  <si>
    <t>ORD-10892</t>
  </si>
  <si>
    <t xml:space="preserve"> 2023-10-20 </t>
  </si>
  <si>
    <t>2022-05-03</t>
  </si>
  <si>
    <t>ORD-10894</t>
  </si>
  <si>
    <t>ORD-10895</t>
  </si>
  <si>
    <t>2024-05-16</t>
  </si>
  <si>
    <t>ORD-10896</t>
  </si>
  <si>
    <t>ORD-10897</t>
  </si>
  <si>
    <t>ORD-10898</t>
  </si>
  <si>
    <t>2023-12-17</t>
  </si>
  <si>
    <t>ORD-10899</t>
  </si>
  <si>
    <t>ORD-10900</t>
  </si>
  <si>
    <t>2025-02-14</t>
  </si>
  <si>
    <t>ORD-10901</t>
  </si>
  <si>
    <t>ORD-10903</t>
  </si>
  <si>
    <t>2024-08-30</t>
  </si>
  <si>
    <t>ORD-10904</t>
  </si>
  <si>
    <t>ORD-10905</t>
  </si>
  <si>
    <t>2025-09-26</t>
  </si>
  <si>
    <t>ORD-10906</t>
  </si>
  <si>
    <t xml:space="preserve"> 2023-02-08 </t>
  </si>
  <si>
    <t>ORD-10907</t>
  </si>
  <si>
    <t xml:space="preserve"> 2024-03-03 </t>
  </si>
  <si>
    <t>2026-04-10</t>
  </si>
  <si>
    <t>2024-05-02</t>
  </si>
  <si>
    <t>ORD-10910</t>
  </si>
  <si>
    <t>2022-08-31</t>
  </si>
  <si>
    <t xml:space="preserve"> 95.00 </t>
  </si>
  <si>
    <t>ORD-10911</t>
  </si>
  <si>
    <t>2025-04-26</t>
  </si>
  <si>
    <t>ORD-10912</t>
  </si>
  <si>
    <t>2026-01-16</t>
  </si>
  <si>
    <t>ORD-10914</t>
  </si>
  <si>
    <t>2025-08-08</t>
  </si>
  <si>
    <t>ORD-10915</t>
  </si>
  <si>
    <t>2024-02-17</t>
  </si>
  <si>
    <t>ORD-10916</t>
  </si>
  <si>
    <t>2025-05-13</t>
  </si>
  <si>
    <t>ORD-10917</t>
  </si>
  <si>
    <t>2026-03-23</t>
  </si>
  <si>
    <t>CUST-1040</t>
  </si>
  <si>
    <t>ORD-10918</t>
  </si>
  <si>
    <t>ORD-10919</t>
  </si>
  <si>
    <t>ORD-10920</t>
  </si>
  <si>
    <t>ORD-10922</t>
  </si>
  <si>
    <t>ORD-10924</t>
  </si>
  <si>
    <t>ORD-10925</t>
  </si>
  <si>
    <t>ORD-10926</t>
  </si>
  <si>
    <t>ORD-10927</t>
  </si>
  <si>
    <t>ORD-10928</t>
  </si>
  <si>
    <t>ORD-10929</t>
  </si>
  <si>
    <t>ORD-10930</t>
  </si>
  <si>
    <t>ORD-10931</t>
  </si>
  <si>
    <t>ORD-10933</t>
  </si>
  <si>
    <t>ORD-10934</t>
  </si>
  <si>
    <t>ORD-10935</t>
  </si>
  <si>
    <t>ORD-10936</t>
  </si>
  <si>
    <t>ORD-10937</t>
  </si>
  <si>
    <t>ORD-10938</t>
  </si>
  <si>
    <t>ORD-10939</t>
  </si>
  <si>
    <t>ORD-10940</t>
  </si>
  <si>
    <t>ORD-10942</t>
  </si>
  <si>
    <t>ORD-10943</t>
  </si>
  <si>
    <t>ORD-10945</t>
  </si>
  <si>
    <t>ORD-10946</t>
  </si>
  <si>
    <t>ORD-10948</t>
  </si>
  <si>
    <t>ORD-10949</t>
  </si>
  <si>
    <t>ORD-10950</t>
  </si>
  <si>
    <t>ORD-10953</t>
  </si>
  <si>
    <t>ORD-10954</t>
  </si>
  <si>
    <t>ORD-10955</t>
  </si>
  <si>
    <t>ORD-10956</t>
  </si>
  <si>
    <t>ORD-10957</t>
  </si>
  <si>
    <t>ORD-10958</t>
  </si>
  <si>
    <t>ORD-10960</t>
  </si>
  <si>
    <t>ORD-10961</t>
  </si>
  <si>
    <t>ORD-10962</t>
  </si>
  <si>
    <t>ORD-10964</t>
  </si>
  <si>
    <t>ORD-10965</t>
  </si>
  <si>
    <t>ORD-10966</t>
  </si>
  <si>
    <t>ORD-10967</t>
  </si>
  <si>
    <t>ORD-10968</t>
  </si>
  <si>
    <t>ORD-10969</t>
  </si>
  <si>
    <t>ORD-10970</t>
  </si>
  <si>
    <t>ORD-10971</t>
  </si>
  <si>
    <t>ORD-10973</t>
  </si>
  <si>
    <t>ORD-10974</t>
  </si>
  <si>
    <t>ORD-10975</t>
  </si>
  <si>
    <t>ORD-10976</t>
  </si>
  <si>
    <t>ORD-10977</t>
  </si>
  <si>
    <t>ORD-10979</t>
  </si>
  <si>
    <t>ORD-10980</t>
  </si>
  <si>
    <t>ORD-10981</t>
  </si>
  <si>
    <t>ORD-10982</t>
  </si>
  <si>
    <t>ORD-10983</t>
  </si>
  <si>
    <t>ORD-10984</t>
  </si>
  <si>
    <t>ORD-10985</t>
  </si>
  <si>
    <t>ORD-10986</t>
  </si>
  <si>
    <t>ORD-10987</t>
  </si>
  <si>
    <t>ORD-10988</t>
  </si>
  <si>
    <t>ORD-10989</t>
  </si>
  <si>
    <t>ORD-10990</t>
  </si>
  <si>
    <t>ORD-10991</t>
  </si>
  <si>
    <t>ORD-10992</t>
  </si>
  <si>
    <t>ORD-10993</t>
  </si>
  <si>
    <t>ORD-10994</t>
  </si>
  <si>
    <t>ORD-10995</t>
  </si>
  <si>
    <t>ORD-10996</t>
  </si>
  <si>
    <t>ORD-10997</t>
  </si>
  <si>
    <t>ORD-10998</t>
  </si>
  <si>
    <t>ORD-10999</t>
  </si>
  <si>
    <t>ORD-11000</t>
  </si>
  <si>
    <t>ORD-10025</t>
  </si>
  <si>
    <t>ORD-10053</t>
  </si>
  <si>
    <t>ORD-10101</t>
  </si>
  <si>
    <t>ORD-10113</t>
  </si>
  <si>
    <t>ORD-10114</t>
  </si>
  <si>
    <t>ORD-10139</t>
  </si>
  <si>
    <t>ORD-10243</t>
  </si>
  <si>
    <t>ORD-10355</t>
  </si>
  <si>
    <t>ORD-10358</t>
  </si>
  <si>
    <t>ORD-10367</t>
  </si>
  <si>
    <t>ORD-10373</t>
  </si>
  <si>
    <t>ORD-10378</t>
  </si>
  <si>
    <t>ORD-10384</t>
  </si>
  <si>
    <t>ORD-10396</t>
  </si>
  <si>
    <t>ORD-10418</t>
  </si>
  <si>
    <t>ORD-10436</t>
  </si>
  <si>
    <t>ORD-10440</t>
  </si>
  <si>
    <t>ORD-10453</t>
  </si>
  <si>
    <t>ORD-10480</t>
  </si>
  <si>
    <t>ORD-10496</t>
  </si>
  <si>
    <t>ORD-10529</t>
  </si>
  <si>
    <t>ORD-10579</t>
  </si>
  <si>
    <t>ORD-10612</t>
  </si>
  <si>
    <t>ORD-10645</t>
  </si>
  <si>
    <t>ORD-10646</t>
  </si>
  <si>
    <t>ORD-10665</t>
  </si>
  <si>
    <t>ORD-10666</t>
  </si>
  <si>
    <t>ORD-10707</t>
  </si>
  <si>
    <t>ORD-10721</t>
  </si>
  <si>
    <t>ORD-10741</t>
  </si>
  <si>
    <t>ORD-10762</t>
  </si>
  <si>
    <t>ORD-10792</t>
  </si>
  <si>
    <t>ORD-10810</t>
  </si>
  <si>
    <t>ORD-10812</t>
  </si>
  <si>
    <t>ORD-10827</t>
  </si>
  <si>
    <t>ORD-10831</t>
  </si>
  <si>
    <t>ORD-10869</t>
  </si>
  <si>
    <t>ORD-10883</t>
  </si>
  <si>
    <t>ORD-10888</t>
  </si>
  <si>
    <t>ORD-10893</t>
  </si>
  <si>
    <t>ORD-10908</t>
  </si>
  <si>
    <t>ORD-10909</t>
  </si>
  <si>
    <t>ORD-10932</t>
  </si>
  <si>
    <t>ORD-10947</t>
  </si>
  <si>
    <t>ORD-10952</t>
  </si>
  <si>
    <t>ORD-10959</t>
  </si>
  <si>
    <t>ORD-10963</t>
  </si>
  <si>
    <t>ORD-10972</t>
  </si>
  <si>
    <t>ORD-10978</t>
  </si>
  <si>
    <t>UNKNOWN</t>
  </si>
  <si>
    <t xml:space="preserve">UNKNOWN </t>
  </si>
  <si>
    <t>Unknown</t>
  </si>
  <si>
    <t xml:space="preserve"> Date</t>
  </si>
  <si>
    <t xml:space="preserve"> Order Id</t>
  </si>
  <si>
    <t>Customer id</t>
  </si>
  <si>
    <t xml:space="preserve"> Product id </t>
  </si>
  <si>
    <t xml:space="preserve"> Unite sold</t>
  </si>
  <si>
    <t>NewYork</t>
  </si>
  <si>
    <t>SÃ£oPaulo</t>
  </si>
  <si>
    <t>BuenosAires</t>
  </si>
  <si>
    <t>Price per unit</t>
  </si>
  <si>
    <t>Total Revenue</t>
  </si>
  <si>
    <t>(blank)</t>
  </si>
  <si>
    <t>Grand Total</t>
  </si>
  <si>
    <t>Sum of Total Revenue</t>
  </si>
  <si>
    <t>Count of  Unite sold</t>
  </si>
  <si>
    <t xml:space="preserve">Sales Person </t>
  </si>
  <si>
    <t>Customer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</si>
</sst>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2">
    <xf numFmtId="0" fontId="0" fillId="0" borderId="0" xfId="0" applyNumberFormat="1"/>
    <xf numFmtId="0" fontId="2" fillId="2" borderId="0" xfId="0" applyNumberFormat="1" applyFont="1" applyFill="1" applyAlignment="1">
      <alignment horizontal="center" vertical="center"/>
    </xf>
    <xf numFmtId="0" fontId="0" fillId="0" borderId="0" xfId="0" applyNumberFormat="1" applyFill="1"/>
    <xf numFmtId="0" fontId="0" fillId="3" borderId="0" xfId="0" applyNumberFormat="1" applyFill="1"/>
    <xf numFmtId="43" fontId="0" fillId="0" borderId="0" xfId="1" applyFont="1"/>
    <xf numFmtId="2" fontId="0" fillId="0" borderId="0" xfId="0" applyNumberFormat="1"/>
    <xf numFmtId="44" fontId="2" fillId="2" borderId="0" xfId="2" applyFont="1" applyFill="1" applyAlignment="1">
      <alignment horizontal="center" vertical="center"/>
    </xf>
    <xf numFmtId="44" fontId="0" fillId="0" borderId="0" xfId="2" applyFon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3" fontId="0" fillId="0" borderId="0" xfId="0" applyNumberFormat="1"/>
    <xf numFmtId="44" fontId="0" fillId="0" borderId="0" xfId="0" applyNumberFormat="1"/>
  </cellXfs>
  <cellStyles count="3">
    <cellStyle name="Comma" xfId="1" builtinId="3"/>
    <cellStyle name="Currency" xfId="2" builtinId="4"/>
    <cellStyle name="Normal" xfId="0" builtinId="0"/>
  </cellStyles>
  <dxfs count="6">
    <dxf>
      <numFmt numFmtId="34" formatCode="_(&quot;$&quot;* #,##0.00_);_(&quot;$&quot;* \(#,##0.00\);_(&quot;$&quot;* &quot;-&quot;??_);_(@_)"/>
    </dxf>
    <dxf>
      <numFmt numFmtId="35" formatCode="_(* #,##0.00_);_(* \(#,##0.00\);_(* &quot;-&quot;??_);_(@_)"/>
    </dxf>
    <dxf>
      <numFmt numFmtId="34" formatCode="_(&quot;$&quot;* #,##0.00_);_(&quot;$&quot;* \(#,##0.00\);_(&quot;$&quot;* &quot;-&quot;??_);_(@_)"/>
    </dxf>
    <dxf>
      <numFmt numFmtId="35" formatCode="_(* #,##0.00_);_(* \(#,##0.00\);_(* &quot;-&quot;??_);_(@_)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ELL" refreshedDate="46308.536751388892" createdVersion="6" refreshedVersion="6" minRefreshableVersion="3" recordCount="918">
  <cacheSource type="worksheet">
    <worksheetSource ref="A1:L1048576" sheet="Imputed Retail sales data "/>
  </cacheSource>
  <cacheFields count="12">
    <cacheField name=" Order Id" numFmtId="0">
      <sharedItems containsBlank="1" count="918">
        <s v="ORD-10001"/>
        <s v="ORD-10002"/>
        <s v="ORD-10003"/>
        <s v="ORD-10004"/>
        <s v="ORD-10005"/>
        <s v="ORD-10006"/>
        <s v="ORD-10007"/>
        <s v="UNKNOWN"/>
        <s v="ORD-10009"/>
        <s v="ORD-10010"/>
        <s v="ORD-10011"/>
        <s v="ORD-10012"/>
        <s v="ORD-10013"/>
        <s v="ORD-10014"/>
        <s v="ORD-10015"/>
        <s v="ORD-10016"/>
        <s v="ORD-10017"/>
        <s v="ORD-10018"/>
        <s v="ORD-10019"/>
        <s v="ORD-10020"/>
        <s v="ORD-10021"/>
        <s v="ORD-10022"/>
        <s v="ORD-10023"/>
        <s v="UNKNOWN "/>
        <s v="ORD-10025"/>
        <s v="ORD-10027"/>
        <s v="ORD-10028"/>
        <s v="ORD-10029"/>
        <s v="ORD-10030"/>
        <s v="ORD-10031"/>
        <s v="ORD-10032"/>
        <s v="ORD-10033"/>
        <s v="ORD-10034"/>
        <s v="ORD-10035"/>
        <s v="ORD-10037"/>
        <s v="ORD-10038"/>
        <s v="ORD-10039"/>
        <s v="ORD-10041"/>
        <s v="ORD-10042"/>
        <s v="ORD-10044"/>
        <s v="ORD-10045"/>
        <s v="ORD-10046"/>
        <s v="ORD-10047"/>
        <s v="ORD-10048"/>
        <s v="ORD-10049"/>
        <s v="ORD-10050"/>
        <s v="ORD-10051"/>
        <s v="ORD-10052"/>
        <s v="ORD-10053"/>
        <s v="ORD-10054"/>
        <s v="ORD-10055"/>
        <s v="ORD-10056"/>
        <s v="ORD-10057"/>
        <s v="ORD-10058"/>
        <s v="ORD-10060"/>
        <s v="ORD-10061"/>
        <s v="ORD-10062"/>
        <s v="ORD-10063"/>
        <s v="ORD-10064"/>
        <s v="ORD-10065"/>
        <s v="ORD-10066"/>
        <s v="ORD-10067"/>
        <s v="ORD-10068"/>
        <s v="ORD-10069"/>
        <s v="ORD-10072"/>
        <s v="ORD-10073"/>
        <s v="ORD-10075"/>
        <s v="ORD-10076"/>
        <s v="ORD-10077"/>
        <s v="ORD-10078"/>
        <s v="ORD-10079"/>
        <s v="ORD-10080"/>
        <s v="ORD-10081"/>
        <s v="ORD-10082"/>
        <s v="ORD-10083"/>
        <s v="ORD-10084"/>
        <s v="ORD-10085"/>
        <s v="ORD-10086"/>
        <s v="ORD-10088"/>
        <s v="ORD-10089"/>
        <s v="ORD-10090"/>
        <s v="ORD-10091"/>
        <s v="ORD-10092"/>
        <s v="ORD-10093"/>
        <s v="ORD-10094"/>
        <s v="ORD-10095"/>
        <s v="ORD-10097"/>
        <s v="ORD-10098"/>
        <s v="ORD-10099"/>
        <s v="ORD-10100"/>
        <s v="ORD-10101"/>
        <s v="ORD-10102"/>
        <s v="ORD-10103"/>
        <s v="ORD-10104"/>
        <s v="ORD-10105"/>
        <s v="ORD-10106"/>
        <s v="ORD-10107"/>
        <s v="ORD-10108"/>
        <s v="ORD-10109"/>
        <s v="ORD-10110"/>
        <s v="ORD-10111"/>
        <s v="ORD-10112"/>
        <s v="ORD-10113"/>
        <s v="ORD-10114"/>
        <s v="ORD-10115"/>
        <s v="ORD-10117"/>
        <s v="ORD-10118"/>
        <s v="ORD-10119"/>
        <s v="ORD-10120"/>
        <s v="ORD-10121"/>
        <s v="ORD-10122"/>
        <s v="ORD-10123"/>
        <s v="ORD-10124"/>
        <s v="ORD-10125"/>
        <s v="ORD-10126"/>
        <s v="ORD-10127"/>
        <s v="ORD-10128"/>
        <s v="ORD-10129"/>
        <s v="ORD-10130"/>
        <s v="ORD-10132"/>
        <s v="ORD-10133"/>
        <s v="ORD-10134"/>
        <s v="ORD-10135"/>
        <s v="ORD-10136"/>
        <s v="ORD-10137"/>
        <s v="ORD-10138"/>
        <s v="ORD-10139"/>
        <s v="ORD-10140"/>
        <s v="ORD-10141"/>
        <s v="ORD-10142"/>
        <s v="ORD-10143"/>
        <s v="ORD-10144"/>
        <s v="ORD-10145"/>
        <s v="ORD-10146"/>
        <s v="ORD-10147"/>
        <s v="ORD-10148"/>
        <s v="ORD-10149"/>
        <s v="ORD-10150"/>
        <s v="ORD-10152"/>
        <s v="ORD-10153"/>
        <s v="ORD-10154"/>
        <s v="ORD-10155"/>
        <s v="ORD-10157"/>
        <s v="ORD-10158"/>
        <s v="ORD-10159"/>
        <s v="ORD-10160"/>
        <s v="ORD-10161"/>
        <s v="ORD-10162"/>
        <s v="ORD-10163"/>
        <s v="ORD-10165"/>
        <s v="ORD-10167"/>
        <s v="ORD-10168"/>
        <s v="ORD-10170"/>
        <s v="ORD-10171"/>
        <s v="ORD-10172"/>
        <s v="ORD-10174"/>
        <s v="ORD-10176"/>
        <s v="ORD-10177"/>
        <s v="ORD-10178"/>
        <s v="ORD-10179"/>
        <s v="ORD-10180"/>
        <s v="ORD-10181"/>
        <s v="ORD-10182"/>
        <s v="ORD-10183"/>
        <s v="ORD-10184"/>
        <s v="ORD-10186"/>
        <s v="ORD-10187"/>
        <s v="ORD-10188"/>
        <s v="ORD-10189"/>
        <s v="ORD-10191"/>
        <s v="ORD-10192"/>
        <s v="ORD-10193"/>
        <s v="ORD-10194"/>
        <s v="ORD-10195"/>
        <s v="ORD-10196"/>
        <s v="ORD-10197"/>
        <s v="ORD-10198"/>
        <s v="ORD-10199"/>
        <s v="ORD-10200"/>
        <s v="ORD-10201"/>
        <s v="ORD-10202"/>
        <s v="ORD-10204"/>
        <s v="ORD-10205"/>
        <s v="ORD-10206"/>
        <s v="ORD-10207"/>
        <s v="ORD-10208"/>
        <s v="ORD-10209"/>
        <s v="ORD-10210"/>
        <s v="ORD-10212"/>
        <s v="ORD-10213"/>
        <s v="ORD-10214"/>
        <s v="ORD-10215"/>
        <s v="ORD-10216"/>
        <s v="ORD-10217"/>
        <s v="ORD-10218"/>
        <s v="ORD-10219"/>
        <s v="ORD-10220"/>
        <s v="ORD-10221"/>
        <s v="ORD-10222"/>
        <s v="ORD-10223"/>
        <s v="ORD-10224"/>
        <s v="ORD-10225"/>
        <s v="ORD-10226"/>
        <s v="ORD-10227"/>
        <s v="ORD-10229"/>
        <s v="ORD-10231"/>
        <s v="ORD-10232"/>
        <s v="ORD-10233"/>
        <s v="ORD-10235"/>
        <s v="ORD-10236"/>
        <s v="ORD-10237"/>
        <s v="ORD-10238"/>
        <s v="ORD-10239"/>
        <s v="ORD-10240"/>
        <s v="ORD-10241"/>
        <s v="ORD-10243"/>
        <s v="ORD-10244"/>
        <s v="ORD-10245"/>
        <s v="ORD-10246"/>
        <s v="ORD-10247"/>
        <s v="ORD-10248"/>
        <s v="ORD-10249"/>
        <s v="ORD-10250"/>
        <s v="ORD-10251"/>
        <s v="ORD-10252"/>
        <s v="ORD-10253"/>
        <s v="ORD-10254"/>
        <s v="ORD-10255"/>
        <s v="ORD-10256"/>
        <s v="ORD-10257"/>
        <s v="ORD-10258"/>
        <s v="ORD-10259"/>
        <s v="ORD-10261"/>
        <s v="ORD-10262"/>
        <s v="ORD-10263"/>
        <s v="ORD-10264"/>
        <s v="ORD-10265"/>
        <s v="ORD-10266"/>
        <s v="ORD-10267"/>
        <s v="ORD-10269"/>
        <s v="ORD-10270"/>
        <s v="ORD-10271"/>
        <s v="ORD-10272"/>
        <s v="ORD-10273"/>
        <s v="ORD-10274"/>
        <s v="ORD-10275"/>
        <s v="ORD-10276"/>
        <s v="ORD-10277"/>
        <s v="ORD-10278"/>
        <s v="ORD-10279"/>
        <s v="ORD-10280"/>
        <s v="ORD-10281"/>
        <s v="ORD-10282"/>
        <s v="ORD-10283"/>
        <s v="ORD-10285"/>
        <s v="ORD-10286"/>
        <s v="ORD-10287"/>
        <s v="ORD-10288"/>
        <s v="ORD-10290"/>
        <s v="ORD-10291"/>
        <s v="ORD-10292"/>
        <s v="ORD-10293"/>
        <s v="ORD-10294"/>
        <s v="ORD-10295"/>
        <s v="ORD-10297"/>
        <s v="ORD-10298"/>
        <s v="ORD-10299"/>
        <s v="ORD-10300"/>
        <s v="ORD-10301"/>
        <s v="ORD-10303"/>
        <s v="ORD-10304"/>
        <s v="ORD-10305"/>
        <s v="ORD-10306"/>
        <s v="ORD-10307"/>
        <s v="ORD-10308"/>
        <s v="ORD-10309"/>
        <s v="ORD-10311"/>
        <s v="ORD-10312"/>
        <s v="ORD-10314"/>
        <s v="ORD-10315"/>
        <s v="ORD-10316"/>
        <s v="ORD-10317"/>
        <s v="ORD-10318"/>
        <s v="ORD-10320"/>
        <s v="ORD-10321"/>
        <s v="ORD-10322"/>
        <s v="ORD-10323"/>
        <s v="ORD-10324"/>
        <s v="ORD-10325"/>
        <s v="ORD-10326"/>
        <s v="ORD-10328"/>
        <s v="ORD-10329"/>
        <s v="ORD-10330"/>
        <s v="ORD-10331"/>
        <s v="ORD-10332"/>
        <s v="ORD-10333"/>
        <s v="ORD-10334"/>
        <s v="ORD-10335"/>
        <s v="ORD-10336"/>
        <s v="ORD-10337"/>
        <s v="ORD-10338"/>
        <s v="ORD-10339"/>
        <s v="ORD-10340"/>
        <s v="ORD-10341"/>
        <s v="ORD-10342"/>
        <s v="ORD-10343"/>
        <s v="ORD-10344"/>
        <s v="ORD-10345"/>
        <s v="ORD-10346"/>
        <s v="ORD-10347"/>
        <s v="ORD-10348"/>
        <s v="ORD-10349"/>
        <s v="ORD-10350"/>
        <s v="ORD-10351"/>
        <s v="ORD-10352"/>
        <s v="ORD-10353"/>
        <s v="ORD-10354"/>
        <s v="ORD-10355"/>
        <s v="ORD-10356"/>
        <s v="ORD-10357"/>
        <s v="ORD-10358"/>
        <s v="ORD-10359"/>
        <s v="ORD-10360"/>
        <s v="ORD-10361"/>
        <s v="ORD-10362"/>
        <s v="ORD-10363"/>
        <s v="ORD-10364"/>
        <s v="ORD-10365"/>
        <s v="ORD-10366"/>
        <s v="ORD-10367"/>
        <s v="ORD-10368"/>
        <s v="ORD-10369"/>
        <s v="ORD-10370"/>
        <s v="ORD-10372"/>
        <s v="ORD-10373"/>
        <s v="ORD-10374"/>
        <s v="ORD-10375"/>
        <s v="ORD-10376"/>
        <s v="ORD-10378"/>
        <s v="ORD-10379"/>
        <s v="ORD-10380"/>
        <s v="ORD-10381"/>
        <s v="ORD-10382"/>
        <s v="ORD-10383"/>
        <s v="ORD-10384"/>
        <s v="ORD-10385"/>
        <s v="ORD-10386"/>
        <s v="ORD-10388"/>
        <s v="ORD-10390"/>
        <s v="ORD-10391"/>
        <s v="ORD-10392"/>
        <s v="ORD-10393"/>
        <s v="ORD-10394"/>
        <s v="ORD-10395"/>
        <s v="ORD-10396"/>
        <s v="ORD-10397"/>
        <s v="ORD-10398"/>
        <s v="ORD-10399"/>
        <s v="ORD-10400"/>
        <s v="ORD-10401"/>
        <s v="ORD-10402"/>
        <s v="ORD-10403"/>
        <s v="ORD-10404"/>
        <s v="ORD-10405"/>
        <s v="ORD-10406"/>
        <s v="ORD-10407"/>
        <s v="ORD-10408"/>
        <s v="ORD-10409"/>
        <s v="ORD-10410"/>
        <s v="ORD-10412"/>
        <s v="ORD-10413"/>
        <s v="ORD-10414"/>
        <s v="ORD-10415"/>
        <s v="ORD-10416"/>
        <s v="ORD-10417"/>
        <s v="ORD-10418"/>
        <s v="ORD-10419"/>
        <s v="ORD-10420"/>
        <s v="ORD-10421"/>
        <s v="ORD-10422"/>
        <s v="ORD-10423"/>
        <s v="ORD-10424"/>
        <s v="ORD-10425"/>
        <s v="ORD-10426"/>
        <s v="ORD-10427"/>
        <s v="ORD-10428"/>
        <s v="ORD-10429"/>
        <s v="ORD-10430"/>
        <s v="ORD-10431"/>
        <s v="ORD-10432"/>
        <s v="ORD-10433"/>
        <s v="ORD-10434"/>
        <s v="ORD-10435"/>
        <s v="ORD-10436"/>
        <s v="ORD-10437"/>
        <s v="ORD-10438"/>
        <s v="ORD-10439"/>
        <s v="ORD-10440"/>
        <s v="ORD-10441"/>
        <s v="ORD-10442"/>
        <s v="ORD-10443"/>
        <s v="ORD-10444"/>
        <s v="ORD-10445"/>
        <s v="ORD-10446"/>
        <s v="ORD-10447"/>
        <s v="ORD-10448"/>
        <s v="ORD-10449"/>
        <s v="ORD-10450"/>
        <s v="ORD-10451"/>
        <s v="ORD-10453"/>
        <s v="ORD-10454"/>
        <s v="ORD-10455"/>
        <s v="ORD-10456"/>
        <s v="ORD-10457"/>
        <s v="ORD-10458"/>
        <s v="ORD-10459"/>
        <s v="ORD-10460"/>
        <s v="ORD-10461"/>
        <s v="ORD-10462"/>
        <s v="ORD-10463"/>
        <s v="ORD-10464"/>
        <s v="ORD-10465"/>
        <s v="ORD-10466"/>
        <s v="ORD-10467"/>
        <s v="ORD-10468"/>
        <s v="ORD-10469"/>
        <s v="ORD-10470"/>
        <s v="ORD-10471"/>
        <s v="ORD-10472"/>
        <s v="ORD-10473"/>
        <s v="ORD-10474"/>
        <s v="ORD-10475"/>
        <s v="ORD-10476"/>
        <s v="ORD-10477"/>
        <s v="ORD-10478"/>
        <s v="ORD-10479"/>
        <s v="ORD-10480"/>
        <s v="ORD-10481"/>
        <s v="ORD-10482"/>
        <s v="ORD-10485"/>
        <s v="ORD-10486"/>
        <s v="ORD-10487"/>
        <s v="ORD-10488"/>
        <s v="ORD-10489"/>
        <s v="ORD-10490"/>
        <s v="ORD-10491"/>
        <s v="ORD-10492"/>
        <s v="ORD-10493"/>
        <s v="ORD-10494"/>
        <s v="ORD-10495"/>
        <s v="ORD-10496"/>
        <s v="ORD-10497"/>
        <s v="ORD-10498"/>
        <s v="ORD-10499"/>
        <s v="ORD-10500"/>
        <s v="ORD-10501"/>
        <s v="ORD-10502"/>
        <s v="ORD-10503"/>
        <s v="ORD-10504"/>
        <s v="ORD-10505"/>
        <s v="ORD-10506"/>
        <s v="ORD-10507"/>
        <s v="ORD-10508"/>
        <s v="ORD-10509"/>
        <s v="ORD-10510"/>
        <s v="ORD-10511"/>
        <s v="ORD-10512"/>
        <s v="ORD-10513"/>
        <s v="ORD-10514"/>
        <s v="ORD-10515"/>
        <s v="ORD-10517"/>
        <s v="ORD-10518"/>
        <s v="ORD-10519"/>
        <s v="ORD-10520"/>
        <s v="ORD-10521"/>
        <s v="ORD-10522"/>
        <s v="ORD-10523"/>
        <s v="ORD-10524"/>
        <s v="ORD-10526"/>
        <s v="ORD-10527"/>
        <s v="ORD-10528"/>
        <s v="ORD-10529"/>
        <s v="ORD-10530"/>
        <s v="ORD-10531"/>
        <s v="ORD-10532"/>
        <s v="ORD-10533"/>
        <s v="ORD-10535"/>
        <s v="ORD-10536"/>
        <s v="ORD-10537"/>
        <s v="ORD-10538"/>
        <s v="ORD-10539"/>
        <s v="ORD-10540"/>
        <s v="ORD-10541"/>
        <s v="ORD-10542"/>
        <s v="ORD-10543"/>
        <s v="ORD-10544"/>
        <s v="ORD-10545"/>
        <s v="ORD-10546"/>
        <s v="ORD-10547"/>
        <s v="ORD-10548"/>
        <s v="ORD-10549"/>
        <s v="ORD-10550"/>
        <s v="ORD-10551"/>
        <s v="ORD-10552"/>
        <s v="ORD-10553"/>
        <s v="ORD-10554"/>
        <s v="ORD-10555"/>
        <s v="ORD-10556"/>
        <s v="ORD-10557"/>
        <s v="ORD-10558"/>
        <s v="ORD-10560"/>
        <s v="ORD-10561"/>
        <s v="ORD-10562"/>
        <s v="ORD-10563"/>
        <s v="ORD-10564"/>
        <s v="ORD-10565"/>
        <s v="ORD-10566"/>
        <s v="ORD-10567"/>
        <s v="ORD-10568"/>
        <s v="ORD-10569"/>
        <s v="ORD-10570"/>
        <s v="ORD-10571"/>
        <s v="ORD-10573"/>
        <s v="ORD-10574"/>
        <s v="ORD-10575"/>
        <s v="ORD-10576"/>
        <s v="ORD-10577"/>
        <s v="ORD-10578"/>
        <s v="ORD-10579"/>
        <s v="ORD-10580"/>
        <s v="ORD-10581"/>
        <s v="ORD-10582"/>
        <s v="ORD-10583"/>
        <s v="ORD-10585"/>
        <s v="ORD-10586"/>
        <s v="ORD-10587"/>
        <s v="ORD-10588"/>
        <s v="ORD-10589"/>
        <s v="ORD-10590"/>
        <s v="ORD-10591"/>
        <s v="ORD-10592"/>
        <s v="ORD-10593"/>
        <s v="ORD-10594"/>
        <s v="ORD-10595"/>
        <s v="ORD-10596"/>
        <s v="ORD-10597"/>
        <s v="ORD-10598"/>
        <s v="ORD-10599"/>
        <s v="ORD-10600"/>
        <s v="ORD-10601"/>
        <s v="ORD-10602"/>
        <s v="ORD-10603"/>
        <s v="ORD-10606"/>
        <s v="ORD-10607"/>
        <s v="ORD-10610"/>
        <s v="ORD-10611"/>
        <s v="ORD-10612"/>
        <s v="ORD-10613"/>
        <s v="ORD-10614"/>
        <s v="ORD-10615"/>
        <s v="ORD-10616"/>
        <s v="ORD-10617"/>
        <s v="ORD-10618"/>
        <s v="ORD-10619"/>
        <s v="ORD-10620"/>
        <s v="ORD-10621"/>
        <s v="ORD-10622"/>
        <s v="ORD-10623"/>
        <s v="ORD-10624"/>
        <s v="ORD-10626"/>
        <s v="ORD-10627"/>
        <s v="ORD-10628"/>
        <s v="ORD-10629"/>
        <s v="ORD-10630"/>
        <s v="ORD-10631"/>
        <s v="ORD-10632"/>
        <s v="ORD-10633"/>
        <s v="ORD-10634"/>
        <s v="ORD-10635"/>
        <s v="ORD-10636"/>
        <s v="ORD-10637"/>
        <s v="ORD-10638"/>
        <s v="ORD-10639"/>
        <s v="ORD-10641"/>
        <s v="ORD-10642"/>
        <s v="ORD-10644"/>
        <s v="ORD-10645"/>
        <s v="ORD-10646"/>
        <s v="ORD-10647"/>
        <s v="ORD-10648"/>
        <s v="ORD-10649"/>
        <s v="ORD-10651"/>
        <s v="ORD-10652"/>
        <s v="ORD-10653"/>
        <s v="ORD-10654"/>
        <s v="ORD-10655"/>
        <s v="ORD-10656"/>
        <s v="ORD-10657"/>
        <s v="ORD-10658"/>
        <s v="ORD-10659"/>
        <s v="ORD-10661"/>
        <s v="ORD-10662"/>
        <s v="ORD-10663"/>
        <s v="ORD-10664"/>
        <s v="ORD-10665"/>
        <s v="ORD-10666"/>
        <s v="ORD-10667"/>
        <s v="ORD-10668"/>
        <s v="ORD-10669"/>
        <s v="ORD-10670"/>
        <s v="ORD-10671"/>
        <s v="ORD-10672"/>
        <s v="ORD-10673"/>
        <s v="ORD-10674"/>
        <s v="ORD-10675"/>
        <s v="ORD-10676"/>
        <s v="ORD-10677"/>
        <s v="ORD-10678"/>
        <s v="ORD-10679"/>
        <s v="ORD-10680"/>
        <s v="ORD-10681"/>
        <s v="ORD-10682"/>
        <s v="ORD-10683"/>
        <s v="ORD-10684"/>
        <s v="ORD-10686"/>
        <s v="ORD-10687"/>
        <s v="ORD-10688"/>
        <s v="ORD-10689"/>
        <s v="ORD-10690"/>
        <s v="ORD-10692"/>
        <s v="ORD-10693"/>
        <s v="ORD-10694"/>
        <s v="ORD-10695"/>
        <s v="ORD-10696"/>
        <s v="ORD-10697"/>
        <s v="ORD-10698"/>
        <s v="ORD-10699"/>
        <s v="ORD-10700"/>
        <s v="ORD-10701"/>
        <s v="ORD-10702"/>
        <s v="ORD-10703"/>
        <s v="ORD-10704"/>
        <s v="ORD-10705"/>
        <s v="ORD-10706"/>
        <s v="ORD-10707"/>
        <s v="ORD-10708"/>
        <s v="ORD-10709"/>
        <s v="ORD-10710"/>
        <s v="ORD-10711"/>
        <s v="ORD-10712"/>
        <s v="ORD-10713"/>
        <s v="ORD-10714"/>
        <s v="ORD-10715"/>
        <s v="ORD-10716"/>
        <s v="ORD-10717"/>
        <s v="ORD-10718"/>
        <s v="ORD-10719"/>
        <s v="ORD-10720"/>
        <s v="ORD-10721"/>
        <s v="ORD-10723"/>
        <s v="ORD-10724"/>
        <s v="ORD-10726"/>
        <s v="ORD-10727"/>
        <s v="ORD-10728"/>
        <s v="ORD-10729"/>
        <s v="ORD-10730"/>
        <s v="ORD-10731"/>
        <s v="ORD-10732"/>
        <s v="ORD-10733"/>
        <s v="ORD-10734"/>
        <s v="ORD-10735"/>
        <s v="ORD-10737"/>
        <s v="ORD-10738"/>
        <s v="ORD-10739"/>
        <s v="ORD-10740"/>
        <s v="ORD-10741"/>
        <s v="ORD-10742"/>
        <s v="ORD-10743"/>
        <s v="ORD-10745"/>
        <s v="ORD-10746"/>
        <s v="ORD-10747"/>
        <s v="ORD-10748"/>
        <s v="ORD-10749"/>
        <s v="ORD-10751"/>
        <s v="ORD-10752"/>
        <s v="ORD-10753"/>
        <s v="ORD-10755"/>
        <s v="ORD-10756"/>
        <s v="ORD-10757"/>
        <s v="ORD-10758"/>
        <s v="ORD-10759"/>
        <s v="ORD-10760"/>
        <s v="ORD-10761"/>
        <s v="ORD-10762"/>
        <s v="ORD-10763"/>
        <s v="ORD-10764"/>
        <s v="ORD-10765"/>
        <s v="ORD-10766"/>
        <s v="ORD-10767"/>
        <s v="ORD-10768"/>
        <s v="ORD-10769"/>
        <s v="ORD-10770"/>
        <s v="ORD-10771"/>
        <s v="ORD-10772"/>
        <s v="ORD-10773"/>
        <s v="ORD-10774"/>
        <s v="ORD-10775"/>
        <s v="ORD-10776"/>
        <s v="ORD-10777"/>
        <s v="ORD-10778"/>
        <s v="ORD-10779"/>
        <s v="ORD-10780"/>
        <s v="ORD-10781"/>
        <s v="ORD-10782"/>
        <s v="ORD-10783"/>
        <s v="ORD-10784"/>
        <s v="ORD-10785"/>
        <s v="ORD-10786"/>
        <s v="ORD-10787"/>
        <s v="ORD-10788"/>
        <s v="ORD-10789"/>
        <s v="ORD-10790"/>
        <s v="ORD-10791"/>
        <s v="ORD-10792"/>
        <s v="ORD-10793"/>
        <s v="ORD-10794"/>
        <s v="ORD-10795"/>
        <s v="ORD-10796"/>
        <s v="ORD-10797"/>
        <s v="ORD-10799"/>
        <s v="ORD-10800"/>
        <s v="ORD-10801"/>
        <s v="ORD-10803"/>
        <s v="ORD-10804"/>
        <s v="ORD-10805"/>
        <s v="ORD-10806"/>
        <s v="ORD-10807"/>
        <s v="ORD-10808"/>
        <s v="ORD-10809"/>
        <s v="ORD-10810"/>
        <s v="ORD-10811"/>
        <s v="ORD-10812"/>
        <s v="ORD-10813"/>
        <s v="ORD-10814"/>
        <s v="ORD-10815"/>
        <s v="ORD-10816"/>
        <s v="ORD-10817"/>
        <s v="ORD-10818"/>
        <s v="ORD-10819"/>
        <s v="ORD-10821"/>
        <s v="ORD-10822"/>
        <s v="ORD-10823"/>
        <s v="ORD-10824"/>
        <s v="ORD-10825"/>
        <s v="ORD-10826"/>
        <s v="ORD-10827"/>
        <s v="ORD-10828"/>
        <s v="ORD-10829"/>
        <s v="ORD-10830"/>
        <s v="ORD-10831"/>
        <s v="ORD-10832"/>
        <s v="ORD-10833"/>
        <s v="ORD-10834"/>
        <s v="ORD-10835"/>
        <s v="ORD-10836"/>
        <s v="ORD-10837"/>
        <s v="ORD-10839"/>
        <s v="ORD-10840"/>
        <s v="ORD-10842"/>
        <s v="ORD-10843"/>
        <s v="ORD-10844"/>
        <s v="ORD-10845"/>
        <s v="ORD-10846"/>
        <s v="ORD-10848"/>
        <s v="ORD-10849"/>
        <s v="ORD-10850"/>
        <s v="ORD-10851"/>
        <s v="ORD-10852"/>
        <s v="ORD-10853"/>
        <s v="ORD-10854"/>
        <s v="ORD-10855"/>
        <s v="ORD-10856"/>
        <s v="ORD-10857"/>
        <s v="ORD-10858"/>
        <s v="ORD-10859"/>
        <s v="ORD-10860"/>
        <s v="ORD-10861"/>
        <s v="ORD-10862"/>
        <s v="ORD-10863"/>
        <s v="ORD-10864"/>
        <s v="ORD-10865"/>
        <s v="ORD-10866"/>
        <s v="ORD-10867"/>
        <s v="ORD-10868"/>
        <s v="ORD-10869"/>
        <s v="ORD-10870"/>
        <s v="ORD-10871"/>
        <s v="ORD-10872"/>
        <s v="ORD-10873"/>
        <s v="ORD-10874"/>
        <s v="ORD-10875"/>
        <s v="ORD-10876"/>
        <s v="ORD-10877"/>
        <s v="ORD-10878"/>
        <s v="ORD-10879"/>
        <s v="ORD-10880"/>
        <s v="ORD-10881"/>
        <s v="ORD-10882"/>
        <s v="ORD-10883"/>
        <s v="ORD-10884"/>
        <s v="ORD-10885"/>
        <s v="ORD-10887"/>
        <s v="ORD-10888"/>
        <s v="ORD-10889"/>
        <s v="ORD-10890"/>
        <s v="ORD-10891"/>
        <s v="ORD-10892"/>
        <s v="ORD-10893"/>
        <s v="ORD-10894"/>
        <s v="ORD-10895"/>
        <s v="ORD-10896"/>
        <s v="ORD-10897"/>
        <s v="ORD-10898"/>
        <s v="ORD-10899"/>
        <s v="ORD-10900"/>
        <s v="ORD-10901"/>
        <s v="ORD-10903"/>
        <s v="ORD-10904"/>
        <s v="ORD-10905"/>
        <s v="ORD-10906"/>
        <s v="ORD-10907"/>
        <s v="ORD-10908"/>
        <s v="ORD-10909"/>
        <s v="ORD-10910"/>
        <s v="ORD-10911"/>
        <s v="ORD-10912"/>
        <s v="ORD-10914"/>
        <s v="ORD-10915"/>
        <s v="ORD-10916"/>
        <s v="ORD-10917"/>
        <s v="ORD-10918"/>
        <s v="ORD-10919"/>
        <s v="ORD-10920"/>
        <s v="ORD-10922"/>
        <s v="ORD-10924"/>
        <s v="ORD-10925"/>
        <s v="ORD-10926"/>
        <s v="ORD-10927"/>
        <s v="ORD-10928"/>
        <s v="ORD-10929"/>
        <s v="ORD-10930"/>
        <s v="ORD-10931"/>
        <s v="ORD-10932"/>
        <s v="ORD-10933"/>
        <s v="ORD-10934"/>
        <s v="ORD-10935"/>
        <s v="ORD-10936"/>
        <s v="ORD-10937"/>
        <s v="ORD-10938"/>
        <s v="ORD-10939"/>
        <s v="ORD-10940"/>
        <s v="ORD-10942"/>
        <s v="ORD-10943"/>
        <s v="ORD-10945"/>
        <s v="ORD-10946"/>
        <s v="ORD-10947"/>
        <s v="ORD-10948"/>
        <s v="ORD-10949"/>
        <s v="ORD-10950"/>
        <s v="ORD-10952"/>
        <s v="ORD-10953"/>
        <s v="ORD-10954"/>
        <s v="ORD-10955"/>
        <s v="ORD-10956"/>
        <s v="ORD-10957"/>
        <s v="ORD-10958"/>
        <s v="ORD-10959"/>
        <s v="ORD-10960"/>
        <s v="ORD-10961"/>
        <s v="ORD-10962"/>
        <s v="ORD-10963"/>
        <s v="ORD-10964"/>
        <s v="ORD-10965"/>
        <s v="ORD-10966"/>
        <s v="ORD-10967"/>
        <s v="ORD-10968"/>
        <s v="ORD-10969"/>
        <s v="ORD-10970"/>
        <s v="ORD-10971"/>
        <s v="ORD-10972"/>
        <s v="ORD-10973"/>
        <s v="ORD-10974"/>
        <s v="ORD-10975"/>
        <s v="ORD-10976"/>
        <s v="ORD-10977"/>
        <s v="ORD-10978"/>
        <s v="ORD-10979"/>
        <s v="ORD-10980"/>
        <s v="ORD-10981"/>
        <s v="ORD-10982"/>
        <s v="ORD-10983"/>
        <s v="ORD-10984"/>
        <s v="ORD-10985"/>
        <s v="ORD-10986"/>
        <s v="ORD-10987"/>
        <s v="ORD-10988"/>
        <s v="ORD-10989"/>
        <s v="ORD-10990"/>
        <s v="ORD-10991"/>
        <s v="ORD-10993"/>
        <s v="ORD-10994"/>
        <s v="ORD-10995"/>
        <s v="ORD-10996"/>
        <s v="ORD-10997"/>
        <s v="ORD-10998"/>
        <s v="ORD-10999"/>
        <s v="ORD-11000"/>
        <m/>
      </sharedItems>
    </cacheField>
    <cacheField name=" Date" numFmtId="0">
      <sharedItems containsBlank="1"/>
    </cacheField>
    <cacheField name="Customer id" numFmtId="0">
      <sharedItems containsBlank="1"/>
    </cacheField>
    <cacheField name=" Product id " numFmtId="0">
      <sharedItems containsBlank="1"/>
    </cacheField>
    <cacheField name=" Unite sold" numFmtId="0">
      <sharedItems containsString="0" containsBlank="1" containsNumber="1" minValue="5.2631578947368418E-2" maxValue="20"/>
    </cacheField>
    <cacheField name="Price per unit" numFmtId="44">
      <sharedItems containsString="0" containsBlank="1" containsNumber="1" containsInteger="1" minValue="45" maxValue="100"/>
    </cacheField>
    <cacheField name="Total Revenue" numFmtId="44">
      <sharedItems containsString="0" containsBlank="1" containsNumber="1" minValue="2.7777777777777777" maxValue="2000"/>
    </cacheField>
    <cacheField name="Region" numFmtId="2">
      <sharedItems containsBlank="1" count="11">
        <s v="LATAM"/>
        <s v="NA"/>
        <s v="EMEA"/>
        <s v="APAC"/>
        <s v=" APAC "/>
        <s v="Unknown"/>
        <s v=" LATAM "/>
        <s v="#N/A"/>
        <s v=" EMEA "/>
        <s v=" NA "/>
        <m/>
      </sharedItems>
    </cacheField>
    <cacheField name="Country" numFmtId="0">
      <sharedItems containsBlank="1" count="13">
        <s v="Brazil"/>
        <s v="USA"/>
        <s v="Germany"/>
        <s v="Japan"/>
        <s v="UK"/>
        <s v="Argentina"/>
        <s v="Canada"/>
        <s v="India"/>
        <s v="Australia"/>
        <s v="France"/>
        <s v="Unknown"/>
        <s v="#N/A"/>
        <m/>
      </sharedItems>
    </cacheField>
    <cacheField name="City" numFmtId="0">
      <sharedItems containsBlank="1" count="15">
        <s v="Unknown"/>
        <s v="Chicago"/>
        <s v="Berlin"/>
        <s v="NewYork"/>
        <s v="SÃ£oPaulo"/>
        <s v="Tokyo"/>
        <s v="London"/>
        <s v="BuenosAires"/>
        <s v="Toronto"/>
        <s v="Mumbai"/>
        <s v="Sydney"/>
        <s v="Bangalore"/>
        <s v="Paris"/>
        <s v="#N/A"/>
        <m/>
      </sharedItems>
    </cacheField>
    <cacheField name="SalesPerson" numFmtId="0">
      <sharedItems containsBlank="1" count="12">
        <s v="Sales Rep 4"/>
        <s v="Sales Rep 5"/>
        <s v="Sales Rep 3"/>
        <s v="Michael Johnson"/>
        <s v="Sales Rep 1"/>
        <s v="Sales Rep 2"/>
        <s v="Hiroshi Tanaka"/>
        <s v="John Smith"/>
        <s v="Unknown"/>
        <s v="Aarav Patel"/>
        <s v="#N/A"/>
        <m/>
      </sharedItems>
    </cacheField>
    <cacheField name="CustomerType" numFmtId="0">
      <sharedItems containsBlank="1" count="6">
        <s v="Returning"/>
        <s v="VIP"/>
        <s v="New"/>
        <s v="Unknown"/>
        <s v="#N/A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18">
  <r>
    <x v="0"/>
    <s v="2024-01-30"/>
    <s v="CUST-1143"/>
    <s v="C302"/>
    <n v="18"/>
    <n v="45"/>
    <n v="810"/>
    <x v="0"/>
    <x v="0"/>
    <x v="0"/>
    <x v="0"/>
    <x v="0"/>
  </r>
  <r>
    <x v="1"/>
    <s v="2023-01-03"/>
    <s v="CUST-1061"/>
    <s v="C301"/>
    <n v="3"/>
    <n v="60"/>
    <n v="180"/>
    <x v="1"/>
    <x v="1"/>
    <x v="1"/>
    <x v="1"/>
    <x v="1"/>
  </r>
  <r>
    <x v="2"/>
    <s v="2024-03-19"/>
    <s v="CUST-1021"/>
    <s v="C303"/>
    <n v="15"/>
    <n v="60"/>
    <n v="900"/>
    <x v="2"/>
    <x v="2"/>
    <x v="2"/>
    <x v="1"/>
    <x v="1"/>
  </r>
  <r>
    <x v="3"/>
    <s v="2023-08-29"/>
    <s v="CUST-1079"/>
    <s v="P103"/>
    <n v="3"/>
    <n v="95"/>
    <n v="285"/>
    <x v="2"/>
    <x v="2"/>
    <x v="2"/>
    <x v="2"/>
    <x v="2"/>
  </r>
  <r>
    <x v="4"/>
    <s v="2025-08-31"/>
    <s v="CUST-1041"/>
    <s v="P202"/>
    <n v="7"/>
    <n v="70"/>
    <n v="490"/>
    <x v="1"/>
    <x v="1"/>
    <x v="3"/>
    <x v="3"/>
    <x v="0"/>
  </r>
  <r>
    <x v="5"/>
    <s v="2022-07-06"/>
    <s v="CUST-1125"/>
    <s v="C302"/>
    <n v="14"/>
    <n v="50"/>
    <n v="700"/>
    <x v="2"/>
    <x v="2"/>
    <x v="2"/>
    <x v="4"/>
    <x v="2"/>
  </r>
  <r>
    <x v="6"/>
    <s v="2024-09-28"/>
    <s v="CUST-1161"/>
    <s v="P103"/>
    <n v="6"/>
    <n v="90"/>
    <n v="540"/>
    <x v="0"/>
    <x v="0"/>
    <x v="4"/>
    <x v="5"/>
    <x v="1"/>
  </r>
  <r>
    <x v="7"/>
    <s v="2024-09-09"/>
    <s v="CUST-1153"/>
    <s v="P103"/>
    <n v="19"/>
    <n v="95"/>
    <n v="1805"/>
    <x v="3"/>
    <x v="3"/>
    <x v="5"/>
    <x v="6"/>
    <x v="1"/>
  </r>
  <r>
    <x v="8"/>
    <s v="2022-07-29"/>
    <s v="CUST-1012"/>
    <s v="C301"/>
    <n v="2"/>
    <n v="60"/>
    <n v="120"/>
    <x v="1"/>
    <x v="1"/>
    <x v="3"/>
    <x v="3"/>
    <x v="1"/>
  </r>
  <r>
    <x v="9"/>
    <s v="2026-03-13"/>
    <s v="CUST-1130"/>
    <s v="P103"/>
    <n v="3"/>
    <n v="95"/>
    <n v="285"/>
    <x v="2"/>
    <x v="4"/>
    <x v="6"/>
    <x v="7"/>
    <x v="0"/>
  </r>
  <r>
    <x v="10"/>
    <s v="2022-05-28"/>
    <s v="CUST-1127"/>
    <s v="C302"/>
    <n v="0.16666666666666666"/>
    <n v="45"/>
    <n v="7.5"/>
    <x v="0"/>
    <x v="5"/>
    <x v="7"/>
    <x v="5"/>
    <x v="2"/>
  </r>
  <r>
    <x v="11"/>
    <s v="2022-03-26"/>
    <s v="CUST-1161"/>
    <s v="P203"/>
    <n v="7"/>
    <n v="63"/>
    <n v="441"/>
    <x v="0"/>
    <x v="0"/>
    <x v="4"/>
    <x v="8"/>
    <x v="0"/>
  </r>
  <r>
    <x v="12"/>
    <s v="2025-11-30"/>
    <s v="CUST-1027"/>
    <s v="C303"/>
    <n v="8"/>
    <n v="65"/>
    <n v="520"/>
    <x v="1"/>
    <x v="6"/>
    <x v="8"/>
    <x v="2"/>
    <x v="1"/>
  </r>
  <r>
    <x v="13"/>
    <s v="2024-09-30"/>
    <s v="CUST-1058"/>
    <s v="P202"/>
    <n v="2"/>
    <n v="60"/>
    <n v="120"/>
    <x v="0"/>
    <x v="5"/>
    <x v="7"/>
    <x v="0"/>
    <x v="0"/>
  </r>
  <r>
    <x v="14"/>
    <s v="2023-09-15"/>
    <s v="CUST-1139"/>
    <s v="C302"/>
    <n v="17"/>
    <n v="50"/>
    <n v="850"/>
    <x v="2"/>
    <x v="2"/>
    <x v="2"/>
    <x v="0"/>
    <x v="3"/>
  </r>
  <r>
    <x v="15"/>
    <s v="2024-07-08"/>
    <s v="UNKNOW"/>
    <s v="P203"/>
    <n v="19"/>
    <n v="63"/>
    <n v="1197"/>
    <x v="0"/>
    <x v="0"/>
    <x v="4"/>
    <x v="1"/>
    <x v="0"/>
  </r>
  <r>
    <x v="16"/>
    <s v="2024-09-30"/>
    <s v="CUST-1166"/>
    <s v="C303"/>
    <n v="9"/>
    <n v="55"/>
    <n v="495"/>
    <x v="0"/>
    <x v="0"/>
    <x v="4"/>
    <x v="1"/>
    <x v="0"/>
  </r>
  <r>
    <x v="17"/>
    <s v="2026-05-30"/>
    <s v="CUST-1143"/>
    <s v="C301"/>
    <n v="18"/>
    <n v="60"/>
    <n v="1080"/>
    <x v="1"/>
    <x v="1"/>
    <x v="1"/>
    <x v="4"/>
    <x v="2"/>
  </r>
  <r>
    <x v="18"/>
    <s v="2023-06-17"/>
    <s v="CUST-1193"/>
    <s v="P203"/>
    <n v="14"/>
    <n v="73"/>
    <n v="1022"/>
    <x v="1"/>
    <x v="1"/>
    <x v="1"/>
    <x v="5"/>
    <x v="2"/>
  </r>
  <r>
    <x v="19"/>
    <s v="2023-08-28"/>
    <s v="CUST-1158"/>
    <s v="C304"/>
    <n v="18"/>
    <n v="63"/>
    <n v="1134"/>
    <x v="1"/>
    <x v="6"/>
    <x v="8"/>
    <x v="1"/>
    <x v="1"/>
  </r>
  <r>
    <x v="20"/>
    <s v="2022-03-28"/>
    <s v="CUST-1051"/>
    <s v="C301"/>
    <n v="7"/>
    <n v="60"/>
    <n v="420"/>
    <x v="1"/>
    <x v="1"/>
    <x v="3"/>
    <x v="3"/>
    <x v="1"/>
  </r>
  <r>
    <x v="21"/>
    <s v="2022-10-01"/>
    <s v="CUST-1175"/>
    <s v="P203"/>
    <n v="11"/>
    <n v="68"/>
    <n v="748"/>
    <x v="3"/>
    <x v="3"/>
    <x v="5"/>
    <x v="6"/>
    <x v="0"/>
  </r>
  <r>
    <x v="22"/>
    <s v="2025-06-18"/>
    <s v="CUST-1077"/>
    <s v="C302"/>
    <n v="10"/>
    <n v="45"/>
    <n v="450"/>
    <x v="0"/>
    <x v="5"/>
    <x v="7"/>
    <x v="4"/>
    <x v="1"/>
  </r>
  <r>
    <x v="23"/>
    <s v="2023-03-28"/>
    <s v="CUST-1042"/>
    <s v="P202"/>
    <n v="8"/>
    <n v="60"/>
    <n v="480"/>
    <x v="0"/>
    <x v="0"/>
    <x v="4"/>
    <x v="2"/>
    <x v="2"/>
  </r>
  <r>
    <x v="24"/>
    <s v="2022-11-03"/>
    <s v="CUST-1100"/>
    <s v="P101"/>
    <n v="3"/>
    <n v="85"/>
    <n v="255"/>
    <x v="2"/>
    <x v="2"/>
    <x v="2"/>
    <x v="5"/>
    <x v="2"/>
  </r>
  <r>
    <x v="25"/>
    <s v="2024-02-24"/>
    <s v="CUST-1057"/>
    <s v="C302"/>
    <n v="3"/>
    <n v="50"/>
    <n v="150"/>
    <x v="3"/>
    <x v="7"/>
    <x v="9"/>
    <x v="9"/>
    <x v="2"/>
  </r>
  <r>
    <x v="26"/>
    <s v="2023-10-03"/>
    <s v="CUST-1078"/>
    <s v="P202"/>
    <n v="15"/>
    <n v="65"/>
    <n v="975"/>
    <x v="2"/>
    <x v="4"/>
    <x v="6"/>
    <x v="7"/>
    <x v="2"/>
  </r>
  <r>
    <x v="27"/>
    <s v="UNKNOWN"/>
    <s v="CUST-1054"/>
    <s v="C301"/>
    <n v="12"/>
    <n v="55"/>
    <n v="660"/>
    <x v="2"/>
    <x v="2"/>
    <x v="2"/>
    <x v="5"/>
    <x v="0"/>
  </r>
  <r>
    <x v="28"/>
    <s v="2025-10-18"/>
    <s v="CUST-1119"/>
    <s v="C304"/>
    <n v="8"/>
    <n v="58"/>
    <n v="464"/>
    <x v="3"/>
    <x v="3"/>
    <x v="5"/>
    <x v="6"/>
    <x v="0"/>
  </r>
  <r>
    <x v="29"/>
    <s v="2023-04-21"/>
    <s v="CUST-1015"/>
    <s v="P102"/>
    <n v="19"/>
    <n v="75"/>
    <n v="1425"/>
    <x v="0"/>
    <x v="0"/>
    <x v="4"/>
    <x v="8"/>
    <x v="1"/>
  </r>
  <r>
    <x v="30"/>
    <s v="2024-01-07"/>
    <s v=" CUST-1063 "/>
    <s v="P102"/>
    <n v="11"/>
    <n v="75"/>
    <n v="825"/>
    <x v="0"/>
    <x v="5"/>
    <x v="7"/>
    <x v="0"/>
    <x v="1"/>
  </r>
  <r>
    <x v="31"/>
    <s v="2023-07-22"/>
    <s v="CUST-1003"/>
    <s v="P101"/>
    <n v="14"/>
    <n v="80"/>
    <n v="1120"/>
    <x v="0"/>
    <x v="0"/>
    <x v="4"/>
    <x v="0"/>
    <x v="0"/>
  </r>
  <r>
    <x v="32"/>
    <s v="2024-08-22"/>
    <s v="CUST-1114"/>
    <s v="C303"/>
    <n v="20"/>
    <n v="60"/>
    <n v="1200"/>
    <x v="3"/>
    <x v="8"/>
    <x v="10"/>
    <x v="2"/>
    <x v="1"/>
  </r>
  <r>
    <x v="33"/>
    <s v="2025-10-07"/>
    <s v="CUST-1120"/>
    <s v="C302"/>
    <n v="18"/>
    <n v="50"/>
    <n v="900"/>
    <x v="3"/>
    <x v="7"/>
    <x v="11"/>
    <x v="1"/>
    <x v="0"/>
  </r>
  <r>
    <x v="34"/>
    <s v="#N/A"/>
    <s v="CUST-1076"/>
    <s v="P103"/>
    <n v="19"/>
    <n v="90"/>
    <n v="1710"/>
    <x v="0"/>
    <x v="5"/>
    <x v="7"/>
    <x v="0"/>
    <x v="0"/>
  </r>
  <r>
    <x v="35"/>
    <s v="2024-01-29"/>
    <s v="CUST-1076"/>
    <s v="P103"/>
    <n v="19"/>
    <n v="90"/>
    <n v="1710"/>
    <x v="0"/>
    <x v="5"/>
    <x v="7"/>
    <x v="0"/>
    <x v="0"/>
  </r>
  <r>
    <x v="36"/>
    <s v="2024-07-15"/>
    <s v="CUST-1079"/>
    <s v="C301"/>
    <n v="19"/>
    <n v="55"/>
    <n v="1045"/>
    <x v="3"/>
    <x v="3"/>
    <x v="5"/>
    <x v="6"/>
    <x v="1"/>
  </r>
  <r>
    <x v="37"/>
    <s v="2023-03-11"/>
    <s v="CUST-1076"/>
    <s v="UNKNOW"/>
    <n v="3"/>
    <n v="65"/>
    <n v="195"/>
    <x v="3"/>
    <x v="7"/>
    <x v="11"/>
    <x v="5"/>
    <x v="0"/>
  </r>
  <r>
    <x v="38"/>
    <s v="2023-05-23"/>
    <s v="CUST-1080"/>
    <s v="P202"/>
    <n v="17"/>
    <n v="65"/>
    <n v="1105"/>
    <x v="2"/>
    <x v="2"/>
    <x v="2"/>
    <x v="5"/>
    <x v="0"/>
  </r>
  <r>
    <x v="39"/>
    <s v="2023-08-07"/>
    <s v="CUST-1066"/>
    <s v="C302"/>
    <n v="7"/>
    <n v="50"/>
    <n v="350"/>
    <x v="3"/>
    <x v="8"/>
    <x v="10"/>
    <x v="2"/>
    <x v="1"/>
  </r>
  <r>
    <x v="40"/>
    <s v="2022-11-09"/>
    <s v="CUST-1178"/>
    <s v="P103"/>
    <n v="20"/>
    <n v="100"/>
    <n v="2000"/>
    <x v="1"/>
    <x v="6"/>
    <x v="8"/>
    <x v="1"/>
    <x v="2"/>
  </r>
  <r>
    <x v="41"/>
    <s v=" 2025-01-20 "/>
    <s v="CUST-1144"/>
    <s v=" C302 "/>
    <n v="6"/>
    <n v="55"/>
    <n v="330"/>
    <x v="1"/>
    <x v="1"/>
    <x v="1"/>
    <x v="2"/>
    <x v="1"/>
  </r>
  <r>
    <x v="42"/>
    <s v="2022-05-14"/>
    <s v="CUST-1158"/>
    <s v="P203"/>
    <n v="3"/>
    <n v="73"/>
    <n v="219"/>
    <x v="1"/>
    <x v="1"/>
    <x v="1"/>
    <x v="5"/>
    <x v="1"/>
  </r>
  <r>
    <x v="43"/>
    <s v="2026-05-23"/>
    <s v="CUST-1089"/>
    <s v="P101"/>
    <n v="19"/>
    <n v="80"/>
    <n v="1520"/>
    <x v="0"/>
    <x v="5"/>
    <x v="7"/>
    <x v="0"/>
    <x v="1"/>
  </r>
  <r>
    <x v="44"/>
    <s v="2022-07-19"/>
    <s v="CUST-1190"/>
    <s v="P203"/>
    <n v="9"/>
    <n v="68"/>
    <n v="612"/>
    <x v="2"/>
    <x v="9"/>
    <x v="12"/>
    <x v="2"/>
    <x v="3"/>
  </r>
  <r>
    <x v="45"/>
    <s v="2022-07-17"/>
    <s v="CUST-1149"/>
    <s v="P203"/>
    <n v="7"/>
    <n v="68"/>
    <n v="476"/>
    <x v="4"/>
    <x v="10"/>
    <x v="9"/>
    <x v="9"/>
    <x v="0"/>
  </r>
  <r>
    <x v="46"/>
    <s v="2025-05-23"/>
    <s v="CUST-1108"/>
    <s v="C303"/>
    <n v="14"/>
    <n v="55"/>
    <n v="770"/>
    <x v="5"/>
    <x v="5"/>
    <x v="7"/>
    <x v="4"/>
    <x v="2"/>
  </r>
  <r>
    <x v="47"/>
    <s v="2025-04-28"/>
    <s v="CUST-1178"/>
    <s v="C302"/>
    <n v="18"/>
    <n v="50"/>
    <n v="900"/>
    <x v="2"/>
    <x v="2"/>
    <x v="2"/>
    <x v="4"/>
    <x v="1"/>
  </r>
  <r>
    <x v="48"/>
    <s v="2022-02-03"/>
    <s v="CUST-1095"/>
    <s v="P102"/>
    <n v="3"/>
    <n v="85"/>
    <n v="255"/>
    <x v="1"/>
    <x v="6"/>
    <x v="8"/>
    <x v="4"/>
    <x v="0"/>
  </r>
  <r>
    <x v="49"/>
    <s v="2023-05-21"/>
    <s v="CUST-1094"/>
    <s v="P102"/>
    <n v="18"/>
    <n v="85"/>
    <n v="1530"/>
    <x v="1"/>
    <x v="1"/>
    <x v="3"/>
    <x v="3"/>
    <x v="1"/>
  </r>
  <r>
    <x v="50"/>
    <s v="2022-03-02"/>
    <s v="CUST-1080"/>
    <s v="C303"/>
    <n v="6"/>
    <n v="60"/>
    <n v="360"/>
    <x v="2"/>
    <x v="4"/>
    <x v="6"/>
    <x v="7"/>
    <x v="1"/>
  </r>
  <r>
    <x v="51"/>
    <s v="2024-06-30"/>
    <s v="CUST-1127"/>
    <s v="C304"/>
    <n v="20"/>
    <n v="58"/>
    <n v="1160"/>
    <x v="2"/>
    <x v="2"/>
    <x v="2"/>
    <x v="1"/>
    <x v="3"/>
  </r>
  <r>
    <x v="52"/>
    <s v="2025-02-10"/>
    <s v="CUST-1122"/>
    <s v="P102"/>
    <n v="10"/>
    <n v="80"/>
    <n v="800"/>
    <x v="3"/>
    <x v="8"/>
    <x v="10"/>
    <x v="5"/>
    <x v="1"/>
  </r>
  <r>
    <x v="53"/>
    <s v="2023-08-21"/>
    <s v="CUST-1073"/>
    <s v="C301"/>
    <n v="19"/>
    <n v="55"/>
    <n v="1045"/>
    <x v="3"/>
    <x v="8"/>
    <x v="10"/>
    <x v="5"/>
    <x v="2"/>
  </r>
  <r>
    <x v="54"/>
    <s v="2024-03-04"/>
    <s v="CUST-1037"/>
    <s v="C303"/>
    <n v="14"/>
    <n v="55"/>
    <n v="770"/>
    <x v="0"/>
    <x v="0"/>
    <x v="4"/>
    <x v="5"/>
    <x v="1"/>
  </r>
  <r>
    <x v="55"/>
    <s v="2025-09-27"/>
    <s v="CUST-1193"/>
    <s v="P103"/>
    <n v="3"/>
    <n v="95"/>
    <n v="285"/>
    <x v="3"/>
    <x v="3"/>
    <x v="5"/>
    <x v="6"/>
    <x v="0"/>
  </r>
  <r>
    <x v="56"/>
    <s v="2026-04-04"/>
    <s v="CUST-1057"/>
    <s v="P103"/>
    <n v="1"/>
    <n v="100"/>
    <n v="100"/>
    <x v="1"/>
    <x v="6"/>
    <x v="8"/>
    <x v="4"/>
    <x v="2"/>
  </r>
  <r>
    <x v="57"/>
    <s v="2022-08-15"/>
    <s v="CUST-1104"/>
    <s v="C301"/>
    <n v="4"/>
    <n v="55"/>
    <n v="220"/>
    <x v="5"/>
    <x v="7"/>
    <x v="9"/>
    <x v="9"/>
    <x v="1"/>
  </r>
  <r>
    <x v="58"/>
    <s v="2022-08-15"/>
    <s v="CUST-1104"/>
    <s v="C301"/>
    <n v="4"/>
    <n v="55"/>
    <n v="220"/>
    <x v="3"/>
    <x v="7"/>
    <x v="9"/>
    <x v="9"/>
    <x v="1"/>
  </r>
  <r>
    <x v="59"/>
    <s v="2023-11-05"/>
    <s v="CUST-1084"/>
    <s v="C304"/>
    <n v="15"/>
    <n v="63"/>
    <n v="945"/>
    <x v="1"/>
    <x v="1"/>
    <x v="3"/>
    <x v="3"/>
    <x v="2"/>
  </r>
  <r>
    <x v="60"/>
    <s v="2023-01-22"/>
    <s v="CUST-1127"/>
    <s v="P101"/>
    <n v="1"/>
    <n v="80"/>
    <n v="80"/>
    <x v="0"/>
    <x v="5"/>
    <x v="7"/>
    <x v="0"/>
    <x v="0"/>
  </r>
  <r>
    <x v="61"/>
    <s v="2025-04-12"/>
    <s v="CUST-1191"/>
    <s v="P201"/>
    <n v="0.33333333333333331"/>
    <n v="70"/>
    <n v="23.333333333333332"/>
    <x v="3"/>
    <x v="3"/>
    <x v="5"/>
    <x v="6"/>
    <x v="0"/>
  </r>
  <r>
    <x v="62"/>
    <s v="2023-10-25"/>
    <s v="CUST-1044"/>
    <s v="C304"/>
    <n v="17"/>
    <n v="53"/>
    <n v="901"/>
    <x v="0"/>
    <x v="5"/>
    <x v="7"/>
    <x v="2"/>
    <x v="0"/>
  </r>
  <r>
    <x v="63"/>
    <s v=" 2024-03-29 "/>
    <s v="CUST-1064"/>
    <s v="UNKNOW"/>
    <n v="10"/>
    <n v="90"/>
    <n v="900"/>
    <x v="0"/>
    <x v="5"/>
    <x v="7"/>
    <x v="1"/>
    <x v="1"/>
  </r>
  <r>
    <x v="64"/>
    <s v="2026-05-17"/>
    <s v="CUST-1131"/>
    <s v="C302"/>
    <n v="8"/>
    <n v="50"/>
    <n v="400"/>
    <x v="3"/>
    <x v="8"/>
    <x v="10"/>
    <x v="2"/>
    <x v="0"/>
  </r>
  <r>
    <x v="65"/>
    <s v="2024-07-04"/>
    <s v="CUST-1149"/>
    <s v="C304"/>
    <n v="1"/>
    <n v="63"/>
    <n v="63"/>
    <x v="1"/>
    <x v="6"/>
    <x v="8"/>
    <x v="1"/>
    <x v="2"/>
  </r>
  <r>
    <x v="66"/>
    <s v="2024-11-05"/>
    <s v="CUST-1105"/>
    <s v="P103"/>
    <n v="20"/>
    <n v="95"/>
    <n v="1900"/>
    <x v="3"/>
    <x v="7"/>
    <x v="11"/>
    <x v="5"/>
    <x v="1"/>
  </r>
  <r>
    <x v="67"/>
    <s v="2024-12-06"/>
    <s v="CUST-1167"/>
    <s v="P203"/>
    <n v="20"/>
    <n v="68"/>
    <n v="1360"/>
    <x v="3"/>
    <x v="7"/>
    <x v="11"/>
    <x v="0"/>
    <x v="2"/>
  </r>
  <r>
    <x v="68"/>
    <s v="2025-11-08"/>
    <s v="UNKNOW"/>
    <s v="P103"/>
    <n v="11"/>
    <n v="100"/>
    <n v="1100"/>
    <x v="1"/>
    <x v="1"/>
    <x v="3"/>
    <x v="3"/>
    <x v="0"/>
  </r>
  <r>
    <x v="69"/>
    <s v="2025-11-08"/>
    <s v="CUST-1164"/>
    <s v="P103"/>
    <n v="11"/>
    <n v="100"/>
    <n v="1100"/>
    <x v="1"/>
    <x v="1"/>
    <x v="3"/>
    <x v="3"/>
    <x v="0"/>
  </r>
  <r>
    <x v="70"/>
    <s v="2023-05-25"/>
    <s v="CUST-1154"/>
    <s v="P203"/>
    <n v="14"/>
    <n v="68"/>
    <n v="952"/>
    <x v="2"/>
    <x v="4"/>
    <x v="6"/>
    <x v="7"/>
    <x v="2"/>
  </r>
  <r>
    <x v="71"/>
    <s v="2022-01-22"/>
    <s v="CUST-1174"/>
    <s v="P101"/>
    <n v="7"/>
    <n v="80"/>
    <n v="560"/>
    <x v="0"/>
    <x v="0"/>
    <x v="4"/>
    <x v="4"/>
    <x v="0"/>
  </r>
  <r>
    <x v="72"/>
    <s v="2023-12-29"/>
    <s v="CUST-1074"/>
    <s v="P103"/>
    <n v="6"/>
    <n v="100"/>
    <n v="600"/>
    <x v="1"/>
    <x v="1"/>
    <x v="1"/>
    <x v="5"/>
    <x v="1"/>
  </r>
  <r>
    <x v="73"/>
    <s v="2023-12-29"/>
    <s v="CUST-1074"/>
    <s v="P103"/>
    <n v="6"/>
    <n v="100"/>
    <n v="600"/>
    <x v="1"/>
    <x v="1"/>
    <x v="1"/>
    <x v="5"/>
    <x v="1"/>
  </r>
  <r>
    <x v="74"/>
    <s v="2022-03-04"/>
    <s v="CUST-1015"/>
    <s v="C302"/>
    <n v="9"/>
    <n v="50"/>
    <n v="450"/>
    <x v="2"/>
    <x v="4"/>
    <x v="6"/>
    <x v="7"/>
    <x v="2"/>
  </r>
  <r>
    <x v="75"/>
    <s v="2023-05-03"/>
    <s v="CUST-1082"/>
    <s v="P103"/>
    <n v="11"/>
    <n v="95"/>
    <n v="1045"/>
    <x v="3"/>
    <x v="8"/>
    <x v="10"/>
    <x v="4"/>
    <x v="2"/>
  </r>
  <r>
    <x v="76"/>
    <s v="2025-06-11"/>
    <s v="CUST-1101"/>
    <s v="C303"/>
    <n v="10"/>
    <n v="60"/>
    <n v="600"/>
    <x v="2"/>
    <x v="9"/>
    <x v="12"/>
    <x v="1"/>
    <x v="0"/>
  </r>
  <r>
    <x v="77"/>
    <s v="2026-08-17"/>
    <s v="CUST-1021"/>
    <s v="P201"/>
    <n v="14"/>
    <n v="65"/>
    <n v="910"/>
    <x v="0"/>
    <x v="0"/>
    <x v="4"/>
    <x v="2"/>
    <x v="2"/>
  </r>
  <r>
    <x v="78"/>
    <s v="2022-10-20"/>
    <s v="CUST-1095"/>
    <s v="P103"/>
    <n v="10"/>
    <n v="95"/>
    <n v="950"/>
    <x v="2"/>
    <x v="4"/>
    <x v="6"/>
    <x v="7"/>
    <x v="2"/>
  </r>
  <r>
    <x v="79"/>
    <s v="2025-09-12"/>
    <s v="CUST-1179"/>
    <s v="UNKNOW"/>
    <n v="19"/>
    <n v="60"/>
    <n v="1140"/>
    <x v="2"/>
    <x v="9"/>
    <x v="12"/>
    <x v="4"/>
    <x v="1"/>
  </r>
  <r>
    <x v="80"/>
    <s v="2024-12-18"/>
    <s v="CUST-1088"/>
    <s v="P102"/>
    <n v="16"/>
    <n v="80"/>
    <n v="1280"/>
    <x v="2"/>
    <x v="9"/>
    <x v="12"/>
    <x v="2"/>
    <x v="2"/>
  </r>
  <r>
    <x v="81"/>
    <s v="2026-06-04"/>
    <s v="CUST-1174"/>
    <s v="P202"/>
    <n v="19"/>
    <n v="65"/>
    <n v="1235"/>
    <x v="3"/>
    <x v="8"/>
    <x v="10"/>
    <x v="0"/>
    <x v="1"/>
  </r>
  <r>
    <x v="82"/>
    <s v="2022-09-16"/>
    <s v="CUST-1120"/>
    <s v="UNKNOW"/>
    <n v="13"/>
    <n v="58"/>
    <n v="754"/>
    <x v="3"/>
    <x v="8"/>
    <x v="10"/>
    <x v="0"/>
    <x v="1"/>
  </r>
  <r>
    <x v="83"/>
    <s v="2022-08-27"/>
    <s v="CUST-1130"/>
    <s v="P203"/>
    <n v="10"/>
    <n v="68"/>
    <n v="680"/>
    <x v="3"/>
    <x v="3"/>
    <x v="5"/>
    <x v="6"/>
    <x v="2"/>
  </r>
  <r>
    <x v="84"/>
    <s v="2023-11-20"/>
    <s v="CUST-1029"/>
    <s v="UNKNOW"/>
    <n v="5"/>
    <n v="80"/>
    <n v="400"/>
    <x v="5"/>
    <x v="0"/>
    <x v="4"/>
    <x v="4"/>
    <x v="3"/>
  </r>
  <r>
    <x v="85"/>
    <s v="2026-10-07"/>
    <s v="CUST-1189"/>
    <s v="P102"/>
    <n v="7"/>
    <n v="75"/>
    <n v="525"/>
    <x v="0"/>
    <x v="10"/>
    <x v="4"/>
    <x v="5"/>
    <x v="2"/>
  </r>
  <r>
    <x v="86"/>
    <s v=" 2026-04-23 "/>
    <s v="CUST-1078"/>
    <s v="P201"/>
    <n v="6"/>
    <n v="70"/>
    <n v="420"/>
    <x v="3"/>
    <x v="7"/>
    <x v="9"/>
    <x v="9"/>
    <x v="1"/>
  </r>
  <r>
    <x v="87"/>
    <s v="2025-04-04"/>
    <s v="CUST-1012"/>
    <s v="P103"/>
    <n v="19"/>
    <n v="95"/>
    <n v="1805"/>
    <x v="2"/>
    <x v="9"/>
    <x v="12"/>
    <x v="4"/>
    <x v="1"/>
  </r>
  <r>
    <x v="88"/>
    <s v="2025-11-14"/>
    <s v=" CUST-1191 "/>
    <s v="C304"/>
    <n v="19"/>
    <n v="58"/>
    <n v="1102"/>
    <x v="2"/>
    <x v="2"/>
    <x v="2"/>
    <x v="4"/>
    <x v="0"/>
  </r>
  <r>
    <x v="89"/>
    <s v="2025-02-10"/>
    <s v="CUST-1052"/>
    <s v="P101"/>
    <n v="1"/>
    <n v="80"/>
    <n v="80"/>
    <x v="0"/>
    <x v="0"/>
    <x v="4"/>
    <x v="4"/>
    <x v="3"/>
  </r>
  <r>
    <x v="90"/>
    <s v="2022-08-08"/>
    <s v="CUST-1096"/>
    <s v="P203"/>
    <n v="3"/>
    <n v="68"/>
    <n v="204"/>
    <x v="3"/>
    <x v="7"/>
    <x v="11"/>
    <x v="0"/>
    <x v="1"/>
  </r>
  <r>
    <x v="91"/>
    <s v="2023-11-02"/>
    <s v="CUST-1076"/>
    <s v="C302"/>
    <n v="7"/>
    <n v="50"/>
    <n v="350"/>
    <x v="3"/>
    <x v="8"/>
    <x v="10"/>
    <x v="5"/>
    <x v="2"/>
  </r>
  <r>
    <x v="92"/>
    <s v="2022-09-29"/>
    <s v="CUST-1149"/>
    <s v="P202"/>
    <n v="8"/>
    <n v="70"/>
    <n v="560"/>
    <x v="1"/>
    <x v="6"/>
    <x v="8"/>
    <x v="0"/>
    <x v="1"/>
  </r>
  <r>
    <x v="93"/>
    <s v="2024-11-05"/>
    <s v="CUST-1125"/>
    <s v="C304"/>
    <n v="4"/>
    <n v="58"/>
    <n v="232"/>
    <x v="3"/>
    <x v="8"/>
    <x v="10"/>
    <x v="2"/>
    <x v="1"/>
  </r>
  <r>
    <x v="94"/>
    <s v="2025-10-13"/>
    <s v="CUST-1131"/>
    <s v="P102"/>
    <n v="13"/>
    <n v="80"/>
    <n v="1040"/>
    <x v="2"/>
    <x v="2"/>
    <x v="2"/>
    <x v="2"/>
    <x v="1"/>
  </r>
  <r>
    <x v="95"/>
    <s v="2025-10-13"/>
    <s v="CUST-1131"/>
    <s v="P102"/>
    <n v="13"/>
    <n v="80"/>
    <n v="1040"/>
    <x v="2"/>
    <x v="2"/>
    <x v="2"/>
    <x v="2"/>
    <x v="1"/>
  </r>
  <r>
    <x v="96"/>
    <s v="2022-07-20"/>
    <s v="CUST-1088"/>
    <s v="C302"/>
    <n v="18"/>
    <n v="50"/>
    <n v="900"/>
    <x v="3"/>
    <x v="7"/>
    <x v="11"/>
    <x v="2"/>
    <x v="1"/>
  </r>
  <r>
    <x v="97"/>
    <s v="2023-07-26"/>
    <s v="CUST-1020"/>
    <s v="C304"/>
    <n v="5"/>
    <n v="63"/>
    <n v="315"/>
    <x v="1"/>
    <x v="6"/>
    <x v="8"/>
    <x v="4"/>
    <x v="1"/>
  </r>
  <r>
    <x v="98"/>
    <s v="2023-09-28"/>
    <s v="CUST-1114"/>
    <s v="P102"/>
    <n v="11"/>
    <n v="85"/>
    <n v="935"/>
    <x v="1"/>
    <x v="6"/>
    <x v="13"/>
    <x v="1"/>
    <x v="0"/>
  </r>
  <r>
    <x v="99"/>
    <s v="2022-10-05"/>
    <s v="CUST-1014"/>
    <s v="P103"/>
    <n v="16"/>
    <n v="95"/>
    <n v="1520"/>
    <x v="3"/>
    <x v="7"/>
    <x v="9"/>
    <x v="9"/>
    <x v="0"/>
  </r>
  <r>
    <x v="100"/>
    <s v="2024-07-08"/>
    <s v="CUST-1142"/>
    <s v="C304"/>
    <n v="4"/>
    <n v="53"/>
    <n v="212"/>
    <x v="6"/>
    <x v="0"/>
    <x v="4"/>
    <x v="8"/>
    <x v="0"/>
  </r>
  <r>
    <x v="101"/>
    <s v="2026-09-27"/>
    <s v="CUST-1042"/>
    <s v="C302"/>
    <n v="9"/>
    <n v="50"/>
    <n v="450"/>
    <x v="2"/>
    <x v="4"/>
    <x v="6"/>
    <x v="7"/>
    <x v="2"/>
  </r>
  <r>
    <x v="102"/>
    <s v="2025-11-04"/>
    <s v="CUST-1170"/>
    <s v="P102"/>
    <n v="12"/>
    <n v="80"/>
    <n v="960"/>
    <x v="3"/>
    <x v="8"/>
    <x v="10"/>
    <x v="0"/>
    <x v="0"/>
  </r>
  <r>
    <x v="103"/>
    <s v="2024-02-18"/>
    <s v="CUST-1169"/>
    <s v="P202"/>
    <n v="14"/>
    <n v="65"/>
    <n v="910"/>
    <x v="7"/>
    <x v="8"/>
    <x v="10"/>
    <x v="2"/>
    <x v="0"/>
  </r>
  <r>
    <x v="104"/>
    <s v="2023-07-30"/>
    <s v="CUST-1029"/>
    <s v="UNKNOW"/>
    <n v="0.125"/>
    <n v="90"/>
    <n v="11.25"/>
    <x v="0"/>
    <x v="5"/>
    <x v="7"/>
    <x v="0"/>
    <x v="0"/>
  </r>
  <r>
    <x v="105"/>
    <s v="2023-04-21"/>
    <s v="CUST-1118"/>
    <s v="C301"/>
    <n v="1"/>
    <n v="50"/>
    <n v="50"/>
    <x v="0"/>
    <x v="0"/>
    <x v="4"/>
    <x v="0"/>
    <x v="0"/>
  </r>
  <r>
    <x v="106"/>
    <s v="2022-10-24"/>
    <s v="CUST-1194"/>
    <s v="P203"/>
    <n v="12"/>
    <n v="68"/>
    <n v="816"/>
    <x v="2"/>
    <x v="2"/>
    <x v="2"/>
    <x v="5"/>
    <x v="2"/>
  </r>
  <r>
    <x v="107"/>
    <s v="2024-12-08"/>
    <s v="CUST-1152"/>
    <s v=" C304 "/>
    <n v="16"/>
    <n v="63"/>
    <n v="1008"/>
    <x v="1"/>
    <x v="6"/>
    <x v="8"/>
    <x v="4"/>
    <x v="2"/>
  </r>
  <r>
    <x v="108"/>
    <s v="2025-02-24"/>
    <s v="CUST-1062"/>
    <s v="C301"/>
    <n v="11"/>
    <n v="55"/>
    <n v="605"/>
    <x v="3"/>
    <x v="7"/>
    <x v="9"/>
    <x v="9"/>
    <x v="2"/>
  </r>
  <r>
    <x v="109"/>
    <s v="2023-05-14"/>
    <s v="CUST-1179"/>
    <s v="UNKNOW"/>
    <n v="20"/>
    <n v="100"/>
    <n v="2000"/>
    <x v="1"/>
    <x v="1"/>
    <x v="1"/>
    <x v="0"/>
    <x v="2"/>
  </r>
  <r>
    <x v="110"/>
    <s v="2022-01-24"/>
    <s v="CUST-1020"/>
    <s v="P201"/>
    <n v="1"/>
    <n v="65"/>
    <n v="65"/>
    <x v="0"/>
    <x v="0"/>
    <x v="4"/>
    <x v="4"/>
    <x v="1"/>
  </r>
  <r>
    <x v="111"/>
    <s v="2022-08-10"/>
    <s v="CUST-1018"/>
    <s v="P101"/>
    <n v="4"/>
    <n v="80"/>
    <n v="320"/>
    <x v="0"/>
    <x v="5"/>
    <x v="7"/>
    <x v="2"/>
    <x v="2"/>
  </r>
  <r>
    <x v="112"/>
    <s v="2023-04-04"/>
    <s v="CUST-1136"/>
    <s v="C301"/>
    <n v="6"/>
    <n v="50"/>
    <n v="300"/>
    <x v="0"/>
    <x v="5"/>
    <x v="7"/>
    <x v="5"/>
    <x v="1"/>
  </r>
  <r>
    <x v="113"/>
    <s v="2025-06-24"/>
    <s v="CUST-1186"/>
    <s v="P202"/>
    <n v="0.16666666666666666"/>
    <n v="70"/>
    <n v="11.666666666666666"/>
    <x v="1"/>
    <x v="1"/>
    <x v="3"/>
    <x v="3"/>
    <x v="1"/>
  </r>
  <r>
    <x v="114"/>
    <s v="2024-01-20"/>
    <s v="CUST-1078"/>
    <s v="P101"/>
    <n v="1"/>
    <n v="85"/>
    <n v="85"/>
    <x v="2"/>
    <x v="4"/>
    <x v="6"/>
    <x v="7"/>
    <x v="0"/>
  </r>
  <r>
    <x v="115"/>
    <s v="2023-12-09"/>
    <s v="CUST-1004"/>
    <s v=" C301 "/>
    <n v="15"/>
    <n v="60"/>
    <n v="900"/>
    <x v="1"/>
    <x v="1"/>
    <x v="3"/>
    <x v="3"/>
    <x v="0"/>
  </r>
  <r>
    <x v="116"/>
    <s v="2023-01-25"/>
    <s v="CUST-1003"/>
    <s v="P101"/>
    <n v="7"/>
    <n v="85"/>
    <n v="595"/>
    <x v="3"/>
    <x v="3"/>
    <x v="5"/>
    <x v="6"/>
    <x v="1"/>
  </r>
  <r>
    <x v="117"/>
    <s v="2023-05-02"/>
    <s v="CUST-1002"/>
    <s v="P202"/>
    <n v="19"/>
    <n v="60"/>
    <n v="1140"/>
    <x v="0"/>
    <x v="0"/>
    <x v="4"/>
    <x v="2"/>
    <x v="1"/>
  </r>
  <r>
    <x v="118"/>
    <s v="2026-03-22"/>
    <s v="CUST-1181"/>
    <s v="C304"/>
    <n v="7"/>
    <n v="58"/>
    <n v="406"/>
    <x v="2"/>
    <x v="2"/>
    <x v="2"/>
    <x v="4"/>
    <x v="1"/>
  </r>
  <r>
    <x v="119"/>
    <s v="2026-03-08"/>
    <s v="CUST-1107"/>
    <s v="P203"/>
    <n v="12"/>
    <n v="68"/>
    <n v="816"/>
    <x v="2"/>
    <x v="2"/>
    <x v="2"/>
    <x v="1"/>
    <x v="2"/>
  </r>
  <r>
    <x v="120"/>
    <s v="2022-01-24"/>
    <s v="CUST-1089"/>
    <s v="P102"/>
    <n v="20"/>
    <n v="85"/>
    <n v="1700"/>
    <x v="1"/>
    <x v="1"/>
    <x v="1"/>
    <x v="5"/>
    <x v="1"/>
  </r>
  <r>
    <x v="121"/>
    <s v="2022-12-23"/>
    <s v="CUST-1113"/>
    <s v="C304"/>
    <n v="2"/>
    <n v="58"/>
    <n v="116"/>
    <x v="3"/>
    <x v="8"/>
    <x v="10"/>
    <x v="5"/>
    <x v="1"/>
  </r>
  <r>
    <x v="122"/>
    <s v="2023-10-29"/>
    <s v="CUST-1141"/>
    <s v="P203"/>
    <n v="11"/>
    <n v="73"/>
    <n v="803"/>
    <x v="1"/>
    <x v="1"/>
    <x v="3"/>
    <x v="3"/>
    <x v="2"/>
  </r>
  <r>
    <x v="123"/>
    <s v="2023-12-28"/>
    <s v=" CUST-1028 "/>
    <s v="C303"/>
    <n v="14"/>
    <n v="60"/>
    <n v="840"/>
    <x v="2"/>
    <x v="2"/>
    <x v="2"/>
    <x v="5"/>
    <x v="2"/>
  </r>
  <r>
    <x v="124"/>
    <s v="2026-04-25"/>
    <s v="CUST-1144"/>
    <s v="P201"/>
    <n v="20"/>
    <n v="70"/>
    <n v="1400"/>
    <x v="3"/>
    <x v="7"/>
    <x v="11"/>
    <x v="4"/>
    <x v="0"/>
  </r>
  <r>
    <x v="125"/>
    <s v="2025-03-09"/>
    <s v="CUST-1102"/>
    <s v="P201"/>
    <n v="6"/>
    <n v="70"/>
    <n v="420"/>
    <x v="4"/>
    <x v="3"/>
    <x v="5"/>
    <x v="6"/>
    <x v="1"/>
  </r>
  <r>
    <x v="126"/>
    <s v="2022-08-18"/>
    <s v="CUST-1196"/>
    <s v=" P102 "/>
    <n v="5"/>
    <n v="85"/>
    <n v="425"/>
    <x v="1"/>
    <x v="1"/>
    <x v="3"/>
    <x v="3"/>
    <x v="0"/>
  </r>
  <r>
    <x v="127"/>
    <s v="2026-05-19"/>
    <s v="CUST-1022"/>
    <s v="C301"/>
    <n v="19"/>
    <n v="60"/>
    <n v="1140"/>
    <x v="1"/>
    <x v="6"/>
    <x v="8"/>
    <x v="1"/>
    <x v="2"/>
  </r>
  <r>
    <x v="128"/>
    <s v=" 2026-01-22 "/>
    <s v="CUST-1021"/>
    <s v="P101"/>
    <n v="19"/>
    <n v="85"/>
    <n v="1615"/>
    <x v="3"/>
    <x v="3"/>
    <x v="5"/>
    <x v="6"/>
    <x v="1"/>
  </r>
  <r>
    <x v="129"/>
    <s v="2023-12-20"/>
    <s v=" CUST-1093 "/>
    <s v="C303"/>
    <n v="6"/>
    <n v="65"/>
    <n v="390"/>
    <x v="1"/>
    <x v="1"/>
    <x v="3"/>
    <x v="3"/>
    <x v="3"/>
  </r>
  <r>
    <x v="130"/>
    <s v="2023-12-20"/>
    <s v="CUST-1093"/>
    <s v="C303"/>
    <n v="6"/>
    <n v="65"/>
    <n v="390"/>
    <x v="1"/>
    <x v="1"/>
    <x v="3"/>
    <x v="3"/>
    <x v="2"/>
  </r>
  <r>
    <x v="131"/>
    <s v="2022-02-21"/>
    <s v="CUST-1177"/>
    <s v="UNKNOW"/>
    <n v="19"/>
    <n v="60"/>
    <n v="1140"/>
    <x v="1"/>
    <x v="6"/>
    <x v="8"/>
    <x v="1"/>
    <x v="0"/>
  </r>
  <r>
    <x v="132"/>
    <s v="2023-07-30"/>
    <s v="CUST-1112"/>
    <s v="P203"/>
    <n v="3"/>
    <n v="68"/>
    <n v="204"/>
    <x v="2"/>
    <x v="2"/>
    <x v="2"/>
    <x v="5"/>
    <x v="2"/>
  </r>
  <r>
    <x v="133"/>
    <s v="2022-12-19"/>
    <s v="CUST-1182"/>
    <s v="P101"/>
    <n v="10"/>
    <n v="90"/>
    <n v="900"/>
    <x v="1"/>
    <x v="1"/>
    <x v="3"/>
    <x v="3"/>
    <x v="0"/>
  </r>
  <r>
    <x v="134"/>
    <s v=" 2025-03-20 "/>
    <s v="CUST-1086"/>
    <s v="P202"/>
    <n v="2"/>
    <n v="60"/>
    <n v="120"/>
    <x v="0"/>
    <x v="0"/>
    <x v="4"/>
    <x v="0"/>
    <x v="0"/>
  </r>
  <r>
    <x v="135"/>
    <s v="2023-03-29"/>
    <s v="CUST-1088"/>
    <s v="P103"/>
    <n v="2"/>
    <n v="95"/>
    <n v="190"/>
    <x v="3"/>
    <x v="8"/>
    <x v="10"/>
    <x v="1"/>
    <x v="0"/>
  </r>
  <r>
    <x v="136"/>
    <s v="2024-01-29"/>
    <s v="CUST-1028"/>
    <s v="P103"/>
    <n v="16"/>
    <n v="95"/>
    <n v="1520"/>
    <x v="3"/>
    <x v="8"/>
    <x v="10"/>
    <x v="4"/>
    <x v="1"/>
  </r>
  <r>
    <x v="137"/>
    <s v="2025-09-30"/>
    <s v="CUST-1094"/>
    <s v="P102"/>
    <n v="18"/>
    <n v="80"/>
    <n v="1440"/>
    <x v="3"/>
    <x v="8"/>
    <x v="10"/>
    <x v="5"/>
    <x v="2"/>
  </r>
  <r>
    <x v="138"/>
    <s v="2026-10-02"/>
    <s v="CUST-1147"/>
    <s v="P103"/>
    <n v="19"/>
    <n v="95"/>
    <n v="1805"/>
    <x v="3"/>
    <x v="8"/>
    <x v="10"/>
    <x v="0"/>
    <x v="0"/>
  </r>
  <r>
    <x v="139"/>
    <s v="2025-02-17"/>
    <s v="CUST-1130"/>
    <s v="C301"/>
    <n v="20"/>
    <n v="55"/>
    <n v="1100"/>
    <x v="5"/>
    <x v="9"/>
    <x v="12"/>
    <x v="4"/>
    <x v="2"/>
  </r>
  <r>
    <x v="140"/>
    <s v="2025-05-08"/>
    <s v="CUST-1026"/>
    <s v="C303"/>
    <n v="1"/>
    <n v="60"/>
    <n v="60"/>
    <x v="3"/>
    <x v="7"/>
    <x v="9"/>
    <x v="9"/>
    <x v="2"/>
  </r>
  <r>
    <x v="141"/>
    <s v="2023-04-19"/>
    <s v="CUST-1015"/>
    <s v="C303"/>
    <n v="4"/>
    <n v="65"/>
    <n v="260"/>
    <x v="5"/>
    <x v="6"/>
    <x v="8"/>
    <x v="5"/>
    <x v="1"/>
  </r>
  <r>
    <x v="142"/>
    <s v="2025-07-28"/>
    <s v="CUST-1114"/>
    <s v="P202"/>
    <n v="8"/>
    <n v="60"/>
    <n v="480"/>
    <x v="0"/>
    <x v="0"/>
    <x v="4"/>
    <x v="5"/>
    <x v="1"/>
  </r>
  <r>
    <x v="143"/>
    <s v="2024-05-11"/>
    <s v="#N/A"/>
    <s v="P203"/>
    <n v="19"/>
    <n v="68"/>
    <n v="1292"/>
    <x v="3"/>
    <x v="3"/>
    <x v="5"/>
    <x v="6"/>
    <x v="1"/>
  </r>
  <r>
    <x v="144"/>
    <s v="2024-10-12"/>
    <s v="CUST-1195"/>
    <s v="P203"/>
    <n v="16"/>
    <n v="68"/>
    <n v="1088"/>
    <x v="3"/>
    <x v="8"/>
    <x v="10"/>
    <x v="5"/>
    <x v="1"/>
  </r>
  <r>
    <x v="145"/>
    <s v="2025-01-25"/>
    <s v="CUST-1193"/>
    <s v="C301"/>
    <n v="13"/>
    <n v="50"/>
    <n v="650"/>
    <x v="0"/>
    <x v="0"/>
    <x v="4"/>
    <x v="1"/>
    <x v="0"/>
  </r>
  <r>
    <x v="146"/>
    <s v="2022-05-26"/>
    <s v="CUST-1107"/>
    <s v="P202"/>
    <n v="10"/>
    <n v="60"/>
    <n v="600"/>
    <x v="5"/>
    <x v="0"/>
    <x v="4"/>
    <x v="0"/>
    <x v="1"/>
  </r>
  <r>
    <x v="147"/>
    <s v="2026-09-05"/>
    <s v="CUST-1199"/>
    <s v="P201"/>
    <n v="5"/>
    <n v="65"/>
    <n v="325"/>
    <x v="0"/>
    <x v="5"/>
    <x v="7"/>
    <x v="1"/>
    <x v="1"/>
  </r>
  <r>
    <x v="148"/>
    <s v="2023-10-14"/>
    <s v="CUST-1094"/>
    <s v="C304"/>
    <n v="15"/>
    <n v="58"/>
    <n v="870"/>
    <x v="3"/>
    <x v="3"/>
    <x v="5"/>
    <x v="6"/>
    <x v="0"/>
  </r>
  <r>
    <x v="149"/>
    <s v="2025-08-06"/>
    <s v="CUST-1058"/>
    <s v="C302"/>
    <n v="11"/>
    <n v="55"/>
    <n v="605"/>
    <x v="1"/>
    <x v="1"/>
    <x v="1"/>
    <x v="5"/>
    <x v="1"/>
  </r>
  <r>
    <x v="150"/>
    <s v="2025-08-06"/>
    <s v="CUST-1058"/>
    <s v="C302"/>
    <n v="11"/>
    <n v="55"/>
    <n v="605"/>
    <x v="1"/>
    <x v="1"/>
    <x v="1"/>
    <x v="5"/>
    <x v="1"/>
  </r>
  <r>
    <x v="151"/>
    <s v="2024-06-23"/>
    <s v="CUST-1129"/>
    <s v="P103"/>
    <n v="8"/>
    <n v="95"/>
    <n v="760"/>
    <x v="2"/>
    <x v="2"/>
    <x v="2"/>
    <x v="4"/>
    <x v="2"/>
  </r>
  <r>
    <x v="152"/>
    <s v="2026-03-11"/>
    <s v="CUST-1049"/>
    <s v="C302"/>
    <n v="8"/>
    <n v="50"/>
    <n v="400"/>
    <x v="3"/>
    <x v="7"/>
    <x v="9"/>
    <x v="9"/>
    <x v="2"/>
  </r>
  <r>
    <x v="153"/>
    <s v="2023-09-18"/>
    <s v="CUST-1198"/>
    <s v="C303"/>
    <n v="3"/>
    <n v="60"/>
    <n v="180"/>
    <x v="3"/>
    <x v="7"/>
    <x v="9"/>
    <x v="9"/>
    <x v="0"/>
  </r>
  <r>
    <x v="154"/>
    <s v="2026-01-17"/>
    <s v="CUST-1055"/>
    <s v="P202"/>
    <n v="12"/>
    <n v="65"/>
    <n v="780"/>
    <x v="2"/>
    <x v="4"/>
    <x v="6"/>
    <x v="7"/>
    <x v="2"/>
  </r>
  <r>
    <x v="155"/>
    <s v="2026-01-17"/>
    <s v="CUST-1055"/>
    <s v="P202"/>
    <n v="12"/>
    <n v="65"/>
    <n v="780"/>
    <x v="2"/>
    <x v="4"/>
    <x v="6"/>
    <x v="7"/>
    <x v="2"/>
  </r>
  <r>
    <x v="156"/>
    <s v="2026-03-05"/>
    <s v="CUST-1180"/>
    <s v="UNKNOW"/>
    <n v="14"/>
    <n v="80"/>
    <n v="1120"/>
    <x v="0"/>
    <x v="5"/>
    <x v="7"/>
    <x v="2"/>
    <x v="3"/>
  </r>
  <r>
    <x v="157"/>
    <s v="2025-05-09"/>
    <s v="CUST-1110"/>
    <s v="P101"/>
    <n v="8"/>
    <n v="90"/>
    <n v="720"/>
    <x v="1"/>
    <x v="10"/>
    <x v="1"/>
    <x v="4"/>
    <x v="2"/>
  </r>
  <r>
    <x v="158"/>
    <s v="2023-12-10"/>
    <s v="CUST-1138"/>
    <s v="C301"/>
    <n v="7"/>
    <n v="55"/>
    <n v="385"/>
    <x v="8"/>
    <x v="9"/>
    <x v="12"/>
    <x v="0"/>
    <x v="0"/>
  </r>
  <r>
    <x v="159"/>
    <s v="2023-01-14"/>
    <s v="CUST-1128"/>
    <s v="C302"/>
    <n v="11"/>
    <n v="50"/>
    <n v="550"/>
    <x v="3"/>
    <x v="7"/>
    <x v="11"/>
    <x v="5"/>
    <x v="0"/>
  </r>
  <r>
    <x v="160"/>
    <s v="2024-07-11"/>
    <s v="CUST-1132"/>
    <s v="C303"/>
    <n v="6"/>
    <n v="60"/>
    <n v="360"/>
    <x v="3"/>
    <x v="8"/>
    <x v="10"/>
    <x v="2"/>
    <x v="3"/>
  </r>
  <r>
    <x v="161"/>
    <s v="2022-03-22"/>
    <s v="CUST-1064"/>
    <s v="P102"/>
    <n v="17"/>
    <n v="75"/>
    <n v="1275"/>
    <x v="0"/>
    <x v="10"/>
    <x v="7"/>
    <x v="0"/>
    <x v="0"/>
  </r>
  <r>
    <x v="162"/>
    <s v="2022-05-05"/>
    <s v="CUST-1062"/>
    <s v="C303"/>
    <n v="13"/>
    <n v="55"/>
    <n v="715"/>
    <x v="0"/>
    <x v="5"/>
    <x v="7"/>
    <x v="5"/>
    <x v="0"/>
  </r>
  <r>
    <x v="163"/>
    <s v="2026-01-02"/>
    <s v="CUST-1016"/>
    <s v="P203"/>
    <n v="17"/>
    <n v="63"/>
    <n v="1071"/>
    <x v="0"/>
    <x v="10"/>
    <x v="4"/>
    <x v="10"/>
    <x v="1"/>
  </r>
  <r>
    <x v="164"/>
    <s v="2022-03-28"/>
    <s v="CUST-1159"/>
    <s v="C302"/>
    <n v="8"/>
    <n v="55"/>
    <n v="440"/>
    <x v="1"/>
    <x v="1"/>
    <x v="1"/>
    <x v="5"/>
    <x v="0"/>
  </r>
  <r>
    <x v="165"/>
    <s v="2022-03-28"/>
    <s v="CUST-1159"/>
    <s v="C302"/>
    <n v="8"/>
    <n v="55"/>
    <n v="440"/>
    <x v="1"/>
    <x v="1"/>
    <x v="1"/>
    <x v="5"/>
    <x v="0"/>
  </r>
  <r>
    <x v="166"/>
    <s v="2025-10-20"/>
    <s v="CUST-1181"/>
    <s v="P203"/>
    <n v="18"/>
    <n v="68"/>
    <n v="1224"/>
    <x v="3"/>
    <x v="7"/>
    <x v="11"/>
    <x v="4"/>
    <x v="1"/>
  </r>
  <r>
    <x v="167"/>
    <s v="2025-03-05"/>
    <s v="CUST-1138"/>
    <s v="P202"/>
    <n v="18"/>
    <n v="65"/>
    <n v="1170"/>
    <x v="3"/>
    <x v="7"/>
    <x v="11"/>
    <x v="4"/>
    <x v="1"/>
  </r>
  <r>
    <x v="168"/>
    <s v="2025-03-05"/>
    <s v="CUST-1138"/>
    <s v="P202"/>
    <n v="18"/>
    <n v="65"/>
    <n v="1170"/>
    <x v="3"/>
    <x v="7"/>
    <x v="11"/>
    <x v="4"/>
    <x v="1"/>
  </r>
  <r>
    <x v="169"/>
    <s v="2026-06-13"/>
    <s v="CUST-1093"/>
    <s v="C303"/>
    <n v="8"/>
    <n v="55"/>
    <n v="440"/>
    <x v="0"/>
    <x v="0"/>
    <x v="4"/>
    <x v="5"/>
    <x v="0"/>
  </r>
  <r>
    <x v="170"/>
    <s v="2023-05-08"/>
    <s v="CUST-1163"/>
    <s v="C302"/>
    <n v="2"/>
    <n v="45"/>
    <n v="90"/>
    <x v="0"/>
    <x v="0"/>
    <x v="4"/>
    <x v="1"/>
    <x v="0"/>
  </r>
  <r>
    <x v="171"/>
    <s v="2023-03-05"/>
    <s v="UNKNOW"/>
    <s v="UNKNOW"/>
    <n v="7"/>
    <n v="63"/>
    <n v="441"/>
    <x v="1"/>
    <x v="1"/>
    <x v="3"/>
    <x v="3"/>
    <x v="1"/>
  </r>
  <r>
    <x v="172"/>
    <s v="2023-03-05"/>
    <s v="CUST-1132"/>
    <s v="C304"/>
    <n v="7"/>
    <n v="63"/>
    <n v="441"/>
    <x v="1"/>
    <x v="1"/>
    <x v="3"/>
    <x v="3"/>
    <x v="1"/>
  </r>
  <r>
    <x v="173"/>
    <s v="2022-10-22"/>
    <s v="CUST-1065"/>
    <s v="P101"/>
    <n v="19"/>
    <n v="85"/>
    <n v="1615"/>
    <x v="3"/>
    <x v="8"/>
    <x v="0"/>
    <x v="0"/>
    <x v="1"/>
  </r>
  <r>
    <x v="174"/>
    <s v="2022-10-22"/>
    <s v="CUST-1065"/>
    <s v="P101"/>
    <n v="19"/>
    <n v="85"/>
    <n v="1615"/>
    <x v="3"/>
    <x v="8"/>
    <x v="10"/>
    <x v="0"/>
    <x v="1"/>
  </r>
  <r>
    <x v="175"/>
    <s v="2024-11-15"/>
    <s v="CUST-1098"/>
    <s v="P101"/>
    <n v="9"/>
    <n v="80"/>
    <n v="720"/>
    <x v="0"/>
    <x v="0"/>
    <x v="4"/>
    <x v="4"/>
    <x v="2"/>
  </r>
  <r>
    <x v="176"/>
    <s v="2024-07-07"/>
    <s v="CUST-1085"/>
    <s v="P202"/>
    <n v="19"/>
    <n v="60"/>
    <n v="1140"/>
    <x v="0"/>
    <x v="5"/>
    <x v="7"/>
    <x v="1"/>
    <x v="2"/>
  </r>
  <r>
    <x v="177"/>
    <s v="2025-02-13"/>
    <s v="CUST-1043"/>
    <s v="C303"/>
    <n v="9"/>
    <n v="65"/>
    <n v="585"/>
    <x v="1"/>
    <x v="6"/>
    <x v="8"/>
    <x v="0"/>
    <x v="2"/>
  </r>
  <r>
    <x v="178"/>
    <s v="2024-01-07"/>
    <s v="CUST-1003"/>
    <s v="P203"/>
    <n v="5"/>
    <n v="73"/>
    <n v="365"/>
    <x v="1"/>
    <x v="6"/>
    <x v="8"/>
    <x v="0"/>
    <x v="0"/>
  </r>
  <r>
    <x v="179"/>
    <s v="2022-11-04"/>
    <s v="CUST-1073"/>
    <s v="C302"/>
    <n v="5"/>
    <n v="55"/>
    <n v="275"/>
    <x v="1"/>
    <x v="6"/>
    <x v="8"/>
    <x v="1"/>
    <x v="1"/>
  </r>
  <r>
    <x v="180"/>
    <s v="2022-05-28"/>
    <s v="CUST-1047"/>
    <s v="P103"/>
    <n v="7"/>
    <n v="95"/>
    <n v="665"/>
    <x v="2"/>
    <x v="9"/>
    <x v="12"/>
    <x v="2"/>
    <x v="1"/>
  </r>
  <r>
    <x v="181"/>
    <s v="2025-01-01"/>
    <s v="CUST-1043"/>
    <s v="P103"/>
    <n v="7"/>
    <n v="90"/>
    <n v="630"/>
    <x v="0"/>
    <x v="5"/>
    <x v="7"/>
    <x v="0"/>
    <x v="0"/>
  </r>
  <r>
    <x v="182"/>
    <s v="2025-10-30"/>
    <s v="CUST-1081"/>
    <s v="C302"/>
    <n v="16"/>
    <n v="50"/>
    <n v="800"/>
    <x v="2"/>
    <x v="4"/>
    <x v="6"/>
    <x v="7"/>
    <x v="1"/>
  </r>
  <r>
    <x v="183"/>
    <s v="2026-09-11"/>
    <s v="CUST-1154"/>
    <s v="P203"/>
    <n v="18"/>
    <n v="73"/>
    <n v="1314"/>
    <x v="1"/>
    <x v="1"/>
    <x v="3"/>
    <x v="3"/>
    <x v="0"/>
  </r>
  <r>
    <x v="184"/>
    <s v="2026-09-11"/>
    <s v="CUST-1154"/>
    <s v="P203"/>
    <n v="18"/>
    <n v="73"/>
    <n v="1314"/>
    <x v="1"/>
    <x v="1"/>
    <x v="3"/>
    <x v="3"/>
    <x v="0"/>
  </r>
  <r>
    <x v="185"/>
    <s v="UNKNOWN"/>
    <s v="CUST-1035"/>
    <s v="C303"/>
    <n v="11"/>
    <n v="55"/>
    <n v="605"/>
    <x v="0"/>
    <x v="0"/>
    <x v="4"/>
    <x v="1"/>
    <x v="0"/>
  </r>
  <r>
    <x v="186"/>
    <s v=" 2023-12-25 "/>
    <s v="CUST-1097"/>
    <s v="P102"/>
    <n v="4"/>
    <n v="80"/>
    <n v="320"/>
    <x v="3"/>
    <x v="3"/>
    <x v="5"/>
    <x v="6"/>
    <x v="2"/>
  </r>
  <r>
    <x v="187"/>
    <s v="2023-09-17"/>
    <s v="CUST-1142"/>
    <s v="P202"/>
    <n v="15"/>
    <n v="70"/>
    <n v="1050"/>
    <x v="5"/>
    <x v="1"/>
    <x v="3"/>
    <x v="3"/>
    <x v="0"/>
  </r>
  <r>
    <x v="188"/>
    <s v="2025-09-04"/>
    <s v="CUST-1010"/>
    <s v="C304"/>
    <n v="18"/>
    <n v="63"/>
    <n v="1134"/>
    <x v="1"/>
    <x v="1"/>
    <x v="3"/>
    <x v="3"/>
    <x v="1"/>
  </r>
  <r>
    <x v="189"/>
    <s v="2025-09-04"/>
    <s v="CUST-1010"/>
    <s v="C304"/>
    <n v="18"/>
    <n v="63"/>
    <n v="1134"/>
    <x v="1"/>
    <x v="1"/>
    <x v="3"/>
    <x v="3"/>
    <x v="1"/>
  </r>
  <r>
    <x v="190"/>
    <s v="2023-11-15"/>
    <s v="CUST-1161"/>
    <s v="P203"/>
    <n v="15"/>
    <n v="68"/>
    <n v="1020"/>
    <x v="2"/>
    <x v="4"/>
    <x v="6"/>
    <x v="7"/>
    <x v="2"/>
  </r>
  <r>
    <x v="191"/>
    <s v="2025-12-10"/>
    <s v="CUST-1116"/>
    <s v=" P203 "/>
    <n v="3"/>
    <n v="63"/>
    <n v="189"/>
    <x v="0"/>
    <x v="0"/>
    <x v="4"/>
    <x v="1"/>
    <x v="2"/>
  </r>
  <r>
    <x v="192"/>
    <s v="2025-03-18"/>
    <s v="CUST-1127"/>
    <s v="P102"/>
    <n v="20"/>
    <n v="80"/>
    <n v="1600"/>
    <x v="3"/>
    <x v="8"/>
    <x v="10"/>
    <x v="5"/>
    <x v="2"/>
  </r>
  <r>
    <x v="193"/>
    <s v="2023-07-22"/>
    <s v="CUST-1100"/>
    <s v="P203"/>
    <n v="7"/>
    <n v="68"/>
    <n v="476"/>
    <x v="3"/>
    <x v="3"/>
    <x v="5"/>
    <x v="6"/>
    <x v="1"/>
  </r>
  <r>
    <x v="194"/>
    <s v="2022-11-27"/>
    <s v="CUST-1157"/>
    <s v=" P103 "/>
    <n v="1"/>
    <n v="100"/>
    <n v="100"/>
    <x v="1"/>
    <x v="1"/>
    <x v="3"/>
    <x v="3"/>
    <x v="1"/>
  </r>
  <r>
    <x v="195"/>
    <s v="2023-05-07"/>
    <s v="CUST-1101"/>
    <s v="P203"/>
    <n v="4"/>
    <n v="68"/>
    <n v="272"/>
    <x v="2"/>
    <x v="4"/>
    <x v="6"/>
    <x v="7"/>
    <x v="2"/>
  </r>
  <r>
    <x v="196"/>
    <s v="2022-09-22"/>
    <s v="CUST-1047"/>
    <s v="P102"/>
    <n v="13"/>
    <n v="80"/>
    <n v="1040"/>
    <x v="2"/>
    <x v="9"/>
    <x v="12"/>
    <x v="5"/>
    <x v="2"/>
  </r>
  <r>
    <x v="197"/>
    <s v="2025-05-14"/>
    <s v="CUST-1036"/>
    <s v="C304"/>
    <n v="17"/>
    <n v="53"/>
    <n v="901"/>
    <x v="0"/>
    <x v="5"/>
    <x v="7"/>
    <x v="2"/>
    <x v="2"/>
  </r>
  <r>
    <x v="198"/>
    <s v="2025-02-12"/>
    <s v="CUST-1076"/>
    <s v="P201"/>
    <n v="17"/>
    <n v="70"/>
    <n v="1190"/>
    <x v="3"/>
    <x v="3"/>
    <x v="5"/>
    <x v="6"/>
    <x v="0"/>
  </r>
  <r>
    <x v="199"/>
    <s v="2025-06-04"/>
    <s v="CUST-1022"/>
    <s v="P102"/>
    <n v="16"/>
    <n v="75"/>
    <n v="1200"/>
    <x v="0"/>
    <x v="0"/>
    <x v="4"/>
    <x v="4"/>
    <x v="2"/>
  </r>
  <r>
    <x v="200"/>
    <s v="2024-08-20"/>
    <s v="CUST-1106"/>
    <s v="C304"/>
    <n v="18"/>
    <n v="53"/>
    <n v="954"/>
    <x v="0"/>
    <x v="5"/>
    <x v="7"/>
    <x v="8"/>
    <x v="2"/>
  </r>
  <r>
    <x v="201"/>
    <s v="UNKNOWN"/>
    <s v="CUST-1092"/>
    <s v="P201"/>
    <n v="18"/>
    <n v="75"/>
    <n v="1350"/>
    <x v="1"/>
    <x v="1"/>
    <x v="1"/>
    <x v="0"/>
    <x v="0"/>
  </r>
  <r>
    <x v="202"/>
    <s v="2024-03-09"/>
    <s v="CUST-1092"/>
    <s v="P201"/>
    <n v="18"/>
    <n v="75"/>
    <n v="1350"/>
    <x v="1"/>
    <x v="1"/>
    <x v="1"/>
    <x v="0"/>
    <x v="0"/>
  </r>
  <r>
    <x v="203"/>
    <s v="2023-07-26"/>
    <s v="CUST-1099"/>
    <s v="C304"/>
    <n v="3"/>
    <n v="63"/>
    <n v="189"/>
    <x v="1"/>
    <x v="1"/>
    <x v="1"/>
    <x v="2"/>
    <x v="2"/>
  </r>
  <r>
    <x v="204"/>
    <s v="2022-09-10"/>
    <s v="CUST-1002"/>
    <s v="P202"/>
    <n v="10"/>
    <n v="65"/>
    <n v="650"/>
    <x v="4"/>
    <x v="3"/>
    <x v="5"/>
    <x v="6"/>
    <x v="1"/>
  </r>
  <r>
    <x v="205"/>
    <s v="2023-06-05"/>
    <s v="CUST-1062"/>
    <s v="P201"/>
    <n v="2"/>
    <n v="70"/>
    <n v="140"/>
    <x v="2"/>
    <x v="10"/>
    <x v="12"/>
    <x v="4"/>
    <x v="0"/>
  </r>
  <r>
    <x v="206"/>
    <s v="2024-01-22"/>
    <s v="CUST-1024"/>
    <s v="C301"/>
    <n v="16"/>
    <n v="55"/>
    <n v="880"/>
    <x v="2"/>
    <x v="9"/>
    <x v="12"/>
    <x v="5"/>
    <x v="0"/>
  </r>
  <r>
    <x v="207"/>
    <s v="2023-10-12"/>
    <s v="CUST-1010"/>
    <s v="C302"/>
    <n v="9"/>
    <n v="50"/>
    <n v="450"/>
    <x v="3"/>
    <x v="8"/>
    <x v="10"/>
    <x v="4"/>
    <x v="1"/>
  </r>
  <r>
    <x v="208"/>
    <s v=" 2025-11-30 "/>
    <s v="CUST-1087"/>
    <s v="C301"/>
    <n v="9"/>
    <n v="60"/>
    <n v="540"/>
    <x v="1"/>
    <x v="1"/>
    <x v="1"/>
    <x v="2"/>
    <x v="2"/>
  </r>
  <r>
    <x v="209"/>
    <s v="2022-07-10"/>
    <s v="CUST-1188"/>
    <s v="P102"/>
    <n v="15"/>
    <n v="80"/>
    <n v="1200"/>
    <x v="2"/>
    <x v="9"/>
    <x v="12"/>
    <x v="4"/>
    <x v="3"/>
  </r>
  <r>
    <x v="210"/>
    <s v="2022-07-10"/>
    <s v="CUST-1188"/>
    <s v="P102"/>
    <n v="15"/>
    <n v="80"/>
    <n v="1200"/>
    <x v="2"/>
    <x v="9"/>
    <x v="12"/>
    <x v="4"/>
    <x v="2"/>
  </r>
  <r>
    <x v="211"/>
    <s v="2024-04-06"/>
    <s v="CUST-1050"/>
    <s v="P103"/>
    <n v="10"/>
    <n v="95"/>
    <n v="950"/>
    <x v="2"/>
    <x v="4"/>
    <x v="6"/>
    <x v="7"/>
    <x v="2"/>
  </r>
  <r>
    <x v="212"/>
    <s v="2023-05-24"/>
    <s v="UNKNOW"/>
    <s v="C302"/>
    <n v="1"/>
    <n v="50"/>
    <n v="50"/>
    <x v="2"/>
    <x v="2"/>
    <x v="2"/>
    <x v="4"/>
    <x v="0"/>
  </r>
  <r>
    <x v="213"/>
    <s v="2025-11-09"/>
    <s v="CUST-1079"/>
    <s v="C303"/>
    <n v="17"/>
    <n v="60"/>
    <n v="1020"/>
    <x v="2"/>
    <x v="4"/>
    <x v="6"/>
    <x v="7"/>
    <x v="0"/>
  </r>
  <r>
    <x v="214"/>
    <s v="2026-05-28"/>
    <s v="CUST-1141"/>
    <s v="P102"/>
    <n v="5.5555555555555552E-2"/>
    <n v="75"/>
    <n v="4.1666666666666661"/>
    <x v="0"/>
    <x v="5"/>
    <x v="7"/>
    <x v="4"/>
    <x v="0"/>
  </r>
  <r>
    <x v="215"/>
    <s v="2026-09-05"/>
    <s v="CUST-1175"/>
    <s v=" C302 "/>
    <n v="14"/>
    <n v="45"/>
    <n v="630"/>
    <x v="0"/>
    <x v="0"/>
    <x v="4"/>
    <x v="5"/>
    <x v="0"/>
  </r>
  <r>
    <x v="216"/>
    <s v="2025-07-05"/>
    <s v="CUST-1157"/>
    <s v="P102"/>
    <n v="13"/>
    <n v="75"/>
    <n v="975"/>
    <x v="0"/>
    <x v="5"/>
    <x v="7"/>
    <x v="2"/>
    <x v="1"/>
  </r>
  <r>
    <x v="217"/>
    <s v="2023-05-09"/>
    <s v="CUST-1097"/>
    <s v=" C304 "/>
    <n v="9"/>
    <n v="58"/>
    <n v="522"/>
    <x v="2"/>
    <x v="2"/>
    <x v="2"/>
    <x v="5"/>
    <x v="4"/>
  </r>
  <r>
    <x v="218"/>
    <s v="2026-04-15"/>
    <s v="CUST-1156"/>
    <s v="P201"/>
    <n v="12"/>
    <n v="70"/>
    <n v="840"/>
    <x v="3"/>
    <x v="7"/>
    <x v="11"/>
    <x v="4"/>
    <x v="2"/>
  </r>
  <r>
    <x v="219"/>
    <s v="2025-03-01"/>
    <s v="CUST-1001"/>
    <s v="P203"/>
    <n v="7"/>
    <n v="73"/>
    <n v="511"/>
    <x v="1"/>
    <x v="6"/>
    <x v="8"/>
    <x v="0"/>
    <x v="1"/>
  </r>
  <r>
    <x v="220"/>
    <s v="2023-12-02"/>
    <s v="CUST-1110"/>
    <s v="C304"/>
    <n v="20"/>
    <n v="53"/>
    <n v="1060"/>
    <x v="0"/>
    <x v="0"/>
    <x v="4"/>
    <x v="4"/>
    <x v="0"/>
  </r>
  <r>
    <x v="221"/>
    <s v="2025-12-13"/>
    <s v="CUST-1177"/>
    <s v=" C301 "/>
    <n v="8"/>
    <n v="55"/>
    <n v="440"/>
    <x v="2"/>
    <x v="11"/>
    <x v="6"/>
    <x v="7"/>
    <x v="0"/>
  </r>
  <r>
    <x v="222"/>
    <s v="2023-10-30"/>
    <s v="CUST-1179"/>
    <s v="P203"/>
    <n v="18"/>
    <n v="63"/>
    <n v="1134"/>
    <x v="0"/>
    <x v="10"/>
    <x v="7"/>
    <x v="5"/>
    <x v="0"/>
  </r>
  <r>
    <x v="223"/>
    <s v="2026-08-25"/>
    <s v="CUST-1049"/>
    <s v="P203"/>
    <n v="15"/>
    <n v="68"/>
    <n v="1020"/>
    <x v="3"/>
    <x v="8"/>
    <x v="10"/>
    <x v="4"/>
    <x v="0"/>
  </r>
  <r>
    <x v="224"/>
    <s v="2022-10-26"/>
    <s v="CUST-1163"/>
    <s v="C304"/>
    <n v="17"/>
    <n v="63"/>
    <n v="1071"/>
    <x v="1"/>
    <x v="1"/>
    <x v="1"/>
    <x v="1"/>
    <x v="2"/>
  </r>
  <r>
    <x v="225"/>
    <s v="2024-01-18"/>
    <s v="CUST-1087"/>
    <s v="C303"/>
    <n v="3"/>
    <n v="55"/>
    <n v="165"/>
    <x v="0"/>
    <x v="5"/>
    <x v="7"/>
    <x v="5"/>
    <x v="0"/>
  </r>
  <r>
    <x v="226"/>
    <s v="2023-12-03"/>
    <s v="CUST-1025"/>
    <s v="P201"/>
    <n v="18"/>
    <n v="70"/>
    <n v="1260"/>
    <x v="2"/>
    <x v="2"/>
    <x v="2"/>
    <x v="2"/>
    <x v="2"/>
  </r>
  <r>
    <x v="227"/>
    <s v="2023-12-03"/>
    <s v="CUST-1025"/>
    <s v="P201"/>
    <n v="18"/>
    <n v="70"/>
    <n v="1260"/>
    <x v="2"/>
    <x v="2"/>
    <x v="2"/>
    <x v="2"/>
    <x v="2"/>
  </r>
  <r>
    <x v="228"/>
    <s v="2022-10-26"/>
    <s v="CUST-1108"/>
    <s v="P101"/>
    <n v="11"/>
    <n v="80"/>
    <n v="880"/>
    <x v="5"/>
    <x v="5"/>
    <x v="7"/>
    <x v="2"/>
    <x v="1"/>
  </r>
  <r>
    <x v="229"/>
    <s v="2024-07-16"/>
    <s v="CUST-1056"/>
    <s v="P103"/>
    <n v="8"/>
    <n v="100"/>
    <n v="800"/>
    <x v="1"/>
    <x v="6"/>
    <x v="8"/>
    <x v="4"/>
    <x v="1"/>
  </r>
  <r>
    <x v="230"/>
    <s v="2024-01-01"/>
    <s v="CUST-1140"/>
    <s v="C302"/>
    <n v="14"/>
    <n v="50"/>
    <n v="700"/>
    <x v="2"/>
    <x v="2"/>
    <x v="2"/>
    <x v="1"/>
    <x v="0"/>
  </r>
  <r>
    <x v="231"/>
    <s v="2023-10-11"/>
    <s v="UNKNOW"/>
    <s v="P202"/>
    <n v="9"/>
    <n v="65"/>
    <n v="585"/>
    <x v="8"/>
    <x v="9"/>
    <x v="12"/>
    <x v="2"/>
    <x v="2"/>
  </r>
  <r>
    <x v="232"/>
    <s v="2023-10-23"/>
    <s v="CUST-1156"/>
    <s v="P103"/>
    <n v="3"/>
    <n v="100"/>
    <n v="300"/>
    <x v="1"/>
    <x v="6"/>
    <x v="8"/>
    <x v="0"/>
    <x v="3"/>
  </r>
  <r>
    <x v="233"/>
    <s v="2023-10-23"/>
    <s v="CUST-1156"/>
    <s v="P103"/>
    <n v="3"/>
    <n v="100"/>
    <n v="300"/>
    <x v="1"/>
    <x v="6"/>
    <x v="8"/>
    <x v="0"/>
    <x v="0"/>
  </r>
  <r>
    <x v="234"/>
    <s v="2023-01-09"/>
    <s v="CUST-1139"/>
    <s v="C301"/>
    <n v="14"/>
    <n v="60"/>
    <n v="840"/>
    <x v="1"/>
    <x v="6"/>
    <x v="8"/>
    <x v="5"/>
    <x v="1"/>
  </r>
  <r>
    <x v="235"/>
    <s v="2022-04-13"/>
    <s v="CUST-1099"/>
    <s v="P102"/>
    <n v="12"/>
    <n v="80"/>
    <n v="960"/>
    <x v="3"/>
    <x v="8"/>
    <x v="10"/>
    <x v="2"/>
    <x v="2"/>
  </r>
  <r>
    <x v="236"/>
    <s v=" 2024-09-17 "/>
    <s v="CUST-1066"/>
    <s v="P201"/>
    <n v="5"/>
    <n v="70"/>
    <n v="350"/>
    <x v="3"/>
    <x v="8"/>
    <x v="10"/>
    <x v="4"/>
    <x v="0"/>
  </r>
  <r>
    <x v="237"/>
    <s v="2026-01-23"/>
    <s v="CUST-1178"/>
    <s v="P102"/>
    <n v="20"/>
    <n v="80"/>
    <n v="1600"/>
    <x v="2"/>
    <x v="4"/>
    <x v="6"/>
    <x v="7"/>
    <x v="2"/>
  </r>
  <r>
    <x v="238"/>
    <s v="2022-07-14"/>
    <s v="CUST-1200"/>
    <s v="P202"/>
    <n v="20"/>
    <n v="65"/>
    <n v="1300"/>
    <x v="2"/>
    <x v="4"/>
    <x v="6"/>
    <x v="7"/>
    <x v="0"/>
  </r>
  <r>
    <x v="239"/>
    <s v="2026-05-09"/>
    <s v="CUST-1178"/>
    <s v="P203"/>
    <n v="15"/>
    <n v="73"/>
    <n v="1095"/>
    <x v="1"/>
    <x v="1"/>
    <x v="3"/>
    <x v="3"/>
    <x v="0"/>
  </r>
  <r>
    <x v="240"/>
    <s v="2026-01-07"/>
    <s v="CUST-1106"/>
    <s v="C302"/>
    <n v="2"/>
    <n v="50"/>
    <n v="100"/>
    <x v="3"/>
    <x v="3"/>
    <x v="5"/>
    <x v="6"/>
    <x v="2"/>
  </r>
  <r>
    <x v="241"/>
    <s v="2026-01-07"/>
    <s v="CUST-1106"/>
    <s v="C302"/>
    <n v="2"/>
    <n v="50"/>
    <n v="100"/>
    <x v="3"/>
    <x v="3"/>
    <x v="5"/>
    <x v="6"/>
    <x v="2"/>
  </r>
  <r>
    <x v="242"/>
    <s v="#N/A"/>
    <s v="CUST-1190"/>
    <s v="C303"/>
    <n v="18"/>
    <n v="65"/>
    <n v="1170"/>
    <x v="1"/>
    <x v="6"/>
    <x v="8"/>
    <x v="5"/>
    <x v="0"/>
  </r>
  <r>
    <x v="243"/>
    <s v="2024-10-05"/>
    <s v="CUST-1038"/>
    <s v="P201"/>
    <n v="17"/>
    <n v="70"/>
    <n v="1190"/>
    <x v="3"/>
    <x v="3"/>
    <x v="5"/>
    <x v="6"/>
    <x v="0"/>
  </r>
  <r>
    <x v="244"/>
    <s v="2025-08-21"/>
    <s v="CUST-1005"/>
    <s v="UNKNOW"/>
    <n v="2"/>
    <n v="55"/>
    <n v="110"/>
    <x v="3"/>
    <x v="8"/>
    <x v="10"/>
    <x v="4"/>
    <x v="0"/>
  </r>
  <r>
    <x v="245"/>
    <s v="2022-03-27"/>
    <s v="CUST-1130"/>
    <s v="UNKNOW"/>
    <n v="16"/>
    <n v="55"/>
    <n v="880"/>
    <x v="0"/>
    <x v="0"/>
    <x v="4"/>
    <x v="2"/>
    <x v="2"/>
  </r>
  <r>
    <x v="246"/>
    <s v="2022-05-29"/>
    <s v=" CUST-1093 "/>
    <s v="P101"/>
    <n v="5"/>
    <n v="85"/>
    <n v="425"/>
    <x v="3"/>
    <x v="3"/>
    <x v="5"/>
    <x v="6"/>
    <x v="2"/>
  </r>
  <r>
    <x v="247"/>
    <s v="2023-08-27"/>
    <s v="CUST-1156"/>
    <s v="P202"/>
    <n v="1"/>
    <n v="65"/>
    <n v="65"/>
    <x v="2"/>
    <x v="9"/>
    <x v="12"/>
    <x v="2"/>
    <x v="1"/>
  </r>
  <r>
    <x v="248"/>
    <s v="2026-08-26"/>
    <s v=" CUST-1131 "/>
    <s v="C304"/>
    <n v="19"/>
    <n v="53"/>
    <n v="1007"/>
    <x v="0"/>
    <x v="5"/>
    <x v="7"/>
    <x v="4"/>
    <x v="1"/>
  </r>
  <r>
    <x v="249"/>
    <s v="2026-04-09"/>
    <s v="CUST-1030"/>
    <s v="P103"/>
    <n v="20"/>
    <n v="90"/>
    <n v="1800"/>
    <x v="0"/>
    <x v="0"/>
    <x v="4"/>
    <x v="1"/>
    <x v="2"/>
  </r>
  <r>
    <x v="250"/>
    <s v="2022-11-27"/>
    <s v="CUST-1050"/>
    <s v="P203"/>
    <n v="11"/>
    <n v="68"/>
    <n v="748"/>
    <x v="3"/>
    <x v="8"/>
    <x v="10"/>
    <x v="4"/>
    <x v="0"/>
  </r>
  <r>
    <x v="251"/>
    <s v="2022-12-18"/>
    <s v="CUST-1163"/>
    <s v="C302"/>
    <n v="20"/>
    <n v="45"/>
    <n v="900"/>
    <x v="0"/>
    <x v="5"/>
    <x v="7"/>
    <x v="2"/>
    <x v="2"/>
  </r>
  <r>
    <x v="252"/>
    <s v="2026-09-04"/>
    <s v="CUST-1196"/>
    <s v="P203"/>
    <n v="12"/>
    <n v="68"/>
    <n v="816"/>
    <x v="3"/>
    <x v="11"/>
    <x v="11"/>
    <x v="4"/>
    <x v="0"/>
  </r>
  <r>
    <x v="253"/>
    <s v="2023-02-10"/>
    <s v="CUST-1186"/>
    <s v="C304"/>
    <n v="3"/>
    <n v="63"/>
    <n v="189"/>
    <x v="1"/>
    <x v="6"/>
    <x v="8"/>
    <x v="5"/>
    <x v="0"/>
  </r>
  <r>
    <x v="254"/>
    <s v="2024-01-05"/>
    <s v="CUST-1164"/>
    <s v="P102"/>
    <n v="7"/>
    <n v="75"/>
    <n v="525"/>
    <x v="0"/>
    <x v="0"/>
    <x v="4"/>
    <x v="1"/>
    <x v="1"/>
  </r>
  <r>
    <x v="255"/>
    <s v="2023-08-05"/>
    <s v="CUST-1076"/>
    <s v="P101"/>
    <n v="17"/>
    <n v="80"/>
    <n v="1360"/>
    <x v="0"/>
    <x v="5"/>
    <x v="7"/>
    <x v="1"/>
    <x v="1"/>
  </r>
  <r>
    <x v="256"/>
    <s v="2023-08-16"/>
    <s v="CUST-1072"/>
    <s v="P102"/>
    <n v="11"/>
    <n v="85"/>
    <n v="935"/>
    <x v="1"/>
    <x v="6"/>
    <x v="8"/>
    <x v="2"/>
    <x v="2"/>
  </r>
  <r>
    <x v="257"/>
    <s v="2024-02-16"/>
    <s v="CUST-1054"/>
    <s v="P103"/>
    <n v="7"/>
    <n v="90"/>
    <n v="630"/>
    <x v="0"/>
    <x v="5"/>
    <x v="7"/>
    <x v="0"/>
    <x v="1"/>
  </r>
  <r>
    <x v="258"/>
    <s v="2025-12-01"/>
    <s v="CUST-1119"/>
    <s v="P101"/>
    <n v="12"/>
    <n v="85"/>
    <n v="1020"/>
    <x v="3"/>
    <x v="7"/>
    <x v="9"/>
    <x v="9"/>
    <x v="0"/>
  </r>
  <r>
    <x v="259"/>
    <s v="2025-12-01"/>
    <s v="CUST-1119"/>
    <s v="P101"/>
    <n v="12"/>
    <n v="85"/>
    <n v="1020"/>
    <x v="3"/>
    <x v="7"/>
    <x v="9"/>
    <x v="9"/>
    <x v="0"/>
  </r>
  <r>
    <x v="260"/>
    <s v="2025-12-29"/>
    <s v="CUST-1128"/>
    <s v="P101"/>
    <n v="6"/>
    <n v="90"/>
    <n v="540"/>
    <x v="1"/>
    <x v="6"/>
    <x v="8"/>
    <x v="5"/>
    <x v="1"/>
  </r>
  <r>
    <x v="261"/>
    <s v="2026-05-18"/>
    <s v="CUST-1025"/>
    <s v="P202"/>
    <n v="9"/>
    <n v="65"/>
    <n v="585"/>
    <x v="3"/>
    <x v="7"/>
    <x v="11"/>
    <x v="0"/>
    <x v="2"/>
  </r>
  <r>
    <x v="262"/>
    <s v="2026-01-20"/>
    <s v="CUST-1010"/>
    <s v="P101"/>
    <n v="10"/>
    <n v="80"/>
    <n v="800"/>
    <x v="0"/>
    <x v="5"/>
    <x v="7"/>
    <x v="4"/>
    <x v="2"/>
  </r>
  <r>
    <x v="263"/>
    <s v="2025-04-12"/>
    <s v="CUST-1020"/>
    <s v="C302"/>
    <n v="5"/>
    <n v="50"/>
    <n v="250"/>
    <x v="2"/>
    <x v="9"/>
    <x v="12"/>
    <x v="0"/>
    <x v="1"/>
  </r>
  <r>
    <x v="264"/>
    <s v="2026-02-06"/>
    <s v="CUST-1121"/>
    <s v="C302"/>
    <n v="5.5555555555555552E-2"/>
    <n v="50"/>
    <n v="2.7777777777777777"/>
    <x v="3"/>
    <x v="8"/>
    <x v="10"/>
    <x v="2"/>
    <x v="2"/>
  </r>
  <r>
    <x v="265"/>
    <s v="2022-07-14"/>
    <s v="CUST-1134"/>
    <s v="P203"/>
    <n v="9"/>
    <n v="63"/>
    <n v="567"/>
    <x v="0"/>
    <x v="5"/>
    <x v="7"/>
    <x v="0"/>
    <x v="0"/>
  </r>
  <r>
    <x v="266"/>
    <s v="2026-02-01"/>
    <s v="CUST-1007"/>
    <s v="C301"/>
    <n v="14"/>
    <n v="60"/>
    <n v="840"/>
    <x v="9"/>
    <x v="6"/>
    <x v="8"/>
    <x v="8"/>
    <x v="1"/>
  </r>
  <r>
    <x v="267"/>
    <s v="2026-02-01"/>
    <s v="CUST-1007"/>
    <s v="C301"/>
    <n v="14"/>
    <n v="60"/>
    <n v="840"/>
    <x v="1"/>
    <x v="6"/>
    <x v="8"/>
    <x v="1"/>
    <x v="1"/>
  </r>
  <r>
    <x v="268"/>
    <s v="2023-10-29"/>
    <s v="CUST-1076"/>
    <s v="UNKNOW"/>
    <n v="20"/>
    <n v="65"/>
    <n v="1300"/>
    <x v="2"/>
    <x v="9"/>
    <x v="12"/>
    <x v="2"/>
    <x v="0"/>
  </r>
  <r>
    <x v="269"/>
    <s v="2022-12-08"/>
    <s v="CUST-1123"/>
    <s v="C301"/>
    <n v="9"/>
    <n v="55"/>
    <n v="495"/>
    <x v="2"/>
    <x v="2"/>
    <x v="2"/>
    <x v="5"/>
    <x v="0"/>
  </r>
  <r>
    <x v="270"/>
    <s v="2022-05-25"/>
    <s v="CUST-1192"/>
    <s v="UNKNOW"/>
    <n v="5"/>
    <n v="100"/>
    <n v="500"/>
    <x v="1"/>
    <x v="1"/>
    <x v="1"/>
    <x v="5"/>
    <x v="1"/>
  </r>
  <r>
    <x v="271"/>
    <s v="2025-06-22"/>
    <s v="CUST-1104"/>
    <s v="C302"/>
    <n v="1"/>
    <n v="55"/>
    <n v="55"/>
    <x v="1"/>
    <x v="1"/>
    <x v="3"/>
    <x v="3"/>
    <x v="2"/>
  </r>
  <r>
    <x v="272"/>
    <s v="2023-10-06"/>
    <s v="CUST-1038"/>
    <s v=" C304 "/>
    <n v="13"/>
    <n v="58"/>
    <n v="754"/>
    <x v="3"/>
    <x v="7"/>
    <x v="9"/>
    <x v="9"/>
    <x v="2"/>
  </r>
  <r>
    <x v="273"/>
    <s v="2024-04-24"/>
    <s v="CUST-1145"/>
    <s v="P201"/>
    <n v="19"/>
    <n v="75"/>
    <n v="1425"/>
    <x v="1"/>
    <x v="6"/>
    <x v="8"/>
    <x v="5"/>
    <x v="2"/>
  </r>
  <r>
    <x v="274"/>
    <s v="2026-07-27"/>
    <s v="CUST-1072"/>
    <s v="P103"/>
    <n v="15"/>
    <n v="90"/>
    <n v="1350"/>
    <x v="0"/>
    <x v="10"/>
    <x v="4"/>
    <x v="8"/>
    <x v="2"/>
  </r>
  <r>
    <x v="275"/>
    <s v="2023-08-20"/>
    <s v=" CUST-1067 "/>
    <s v="P103"/>
    <n v="12"/>
    <n v="95"/>
    <n v="1140"/>
    <x v="2"/>
    <x v="9"/>
    <x v="13"/>
    <x v="5"/>
    <x v="2"/>
  </r>
  <r>
    <x v="276"/>
    <s v="2023-11-17"/>
    <s v="CUST-1061"/>
    <s v="P203"/>
    <n v="20"/>
    <n v="68"/>
    <n v="1360"/>
    <x v="3"/>
    <x v="7"/>
    <x v="11"/>
    <x v="0"/>
    <x v="1"/>
  </r>
  <r>
    <x v="277"/>
    <s v="2024-07-02"/>
    <s v="CUST-1015"/>
    <s v="C304"/>
    <n v="8"/>
    <n v="58"/>
    <n v="464"/>
    <x v="3"/>
    <x v="3"/>
    <x v="5"/>
    <x v="6"/>
    <x v="2"/>
  </r>
  <r>
    <x v="278"/>
    <s v="2022-07-06"/>
    <s v="CUST-1102"/>
    <s v="P102"/>
    <n v="10"/>
    <n v="80"/>
    <n v="800"/>
    <x v="5"/>
    <x v="4"/>
    <x v="6"/>
    <x v="7"/>
    <x v="1"/>
  </r>
  <r>
    <x v="279"/>
    <s v="2023-08-09"/>
    <s v="CUST-1123"/>
    <s v="P203"/>
    <n v="8"/>
    <n v="63"/>
    <n v="504"/>
    <x v="0"/>
    <x v="5"/>
    <x v="7"/>
    <x v="4"/>
    <x v="2"/>
  </r>
  <r>
    <x v="280"/>
    <s v="2024-10-04"/>
    <s v="CUST-1198"/>
    <s v="P102"/>
    <n v="4"/>
    <n v="80"/>
    <n v="320"/>
    <x v="2"/>
    <x v="4"/>
    <x v="6"/>
    <x v="10"/>
    <x v="1"/>
  </r>
  <r>
    <x v="281"/>
    <s v="2022-07-17"/>
    <s v="CUST-1197"/>
    <s v="P102"/>
    <n v="11"/>
    <n v="80"/>
    <n v="880"/>
    <x v="3"/>
    <x v="8"/>
    <x v="10"/>
    <x v="1"/>
    <x v="1"/>
  </r>
  <r>
    <x v="282"/>
    <s v="2023-04-09"/>
    <s v="CUST-1041"/>
    <s v="C304"/>
    <n v="16"/>
    <n v="53"/>
    <n v="848"/>
    <x v="0"/>
    <x v="5"/>
    <x v="7"/>
    <x v="5"/>
    <x v="0"/>
  </r>
  <r>
    <x v="283"/>
    <s v="2023-04-09"/>
    <s v="CUST-1041"/>
    <s v="C304"/>
    <n v="16"/>
    <n v="53"/>
    <n v="848"/>
    <x v="0"/>
    <x v="5"/>
    <x v="7"/>
    <x v="5"/>
    <x v="0"/>
  </r>
  <r>
    <x v="284"/>
    <s v="2023-09-24"/>
    <s v="CUST-1173"/>
    <s v="P203"/>
    <n v="11"/>
    <n v="68"/>
    <n v="748"/>
    <x v="3"/>
    <x v="7"/>
    <x v="11"/>
    <x v="1"/>
    <x v="2"/>
  </r>
  <r>
    <x v="285"/>
    <s v="2024-09-06"/>
    <s v="UNKNOW"/>
    <s v="P201"/>
    <n v="14"/>
    <n v="70"/>
    <n v="980"/>
    <x v="8"/>
    <x v="4"/>
    <x v="6"/>
    <x v="7"/>
    <x v="0"/>
  </r>
  <r>
    <x v="286"/>
    <s v="2024-12-31"/>
    <s v="CUST-1196"/>
    <s v="P203"/>
    <n v="17"/>
    <n v="68"/>
    <n v="1156"/>
    <x v="3"/>
    <x v="7"/>
    <x v="9"/>
    <x v="9"/>
    <x v="2"/>
  </r>
  <r>
    <x v="287"/>
    <s v="2026-07-06"/>
    <s v="CUST-1181"/>
    <s v="P202"/>
    <n v="6"/>
    <n v="60"/>
    <n v="360"/>
    <x v="0"/>
    <x v="0"/>
    <x v="4"/>
    <x v="4"/>
    <x v="0"/>
  </r>
  <r>
    <x v="288"/>
    <s v="2026-02-12"/>
    <s v="CUST-1051"/>
    <s v="P102"/>
    <n v="19"/>
    <n v="80"/>
    <n v="1520"/>
    <x v="3"/>
    <x v="8"/>
    <x v="10"/>
    <x v="2"/>
    <x v="2"/>
  </r>
  <r>
    <x v="289"/>
    <s v="2023-08-17"/>
    <s v="CUST-1056"/>
    <s v="P203"/>
    <n v="11"/>
    <n v="68"/>
    <n v="748"/>
    <x v="3"/>
    <x v="7"/>
    <x v="9"/>
    <x v="9"/>
    <x v="1"/>
  </r>
  <r>
    <x v="290"/>
    <s v="2025-12-30"/>
    <s v="CUST-1075"/>
    <s v="C303"/>
    <n v="15"/>
    <n v="55"/>
    <n v="825"/>
    <x v="0"/>
    <x v="5"/>
    <x v="7"/>
    <x v="0"/>
    <x v="2"/>
  </r>
  <r>
    <x v="291"/>
    <s v="2024-04-26"/>
    <s v="CUST-1132"/>
    <s v="C304"/>
    <n v="17"/>
    <n v="58"/>
    <n v="986"/>
    <x v="2"/>
    <x v="9"/>
    <x v="12"/>
    <x v="2"/>
    <x v="0"/>
  </r>
  <r>
    <x v="292"/>
    <s v="2023-11-12"/>
    <s v="CUST-1126"/>
    <s v="C303"/>
    <n v="19"/>
    <n v="60"/>
    <n v="1140"/>
    <x v="3"/>
    <x v="3"/>
    <x v="5"/>
    <x v="6"/>
    <x v="1"/>
  </r>
  <r>
    <x v="293"/>
    <s v="2023-10-23"/>
    <s v="CUST-1134"/>
    <s v="P101"/>
    <n v="19"/>
    <n v="90"/>
    <n v="1710"/>
    <x v="1"/>
    <x v="6"/>
    <x v="8"/>
    <x v="4"/>
    <x v="1"/>
  </r>
  <r>
    <x v="294"/>
    <s v="2023-04-30"/>
    <s v="CUST-1178"/>
    <s v="P102"/>
    <n v="7"/>
    <n v="75"/>
    <n v="525"/>
    <x v="0"/>
    <x v="5"/>
    <x v="7"/>
    <x v="1"/>
    <x v="0"/>
  </r>
  <r>
    <x v="295"/>
    <s v="2023-04-30"/>
    <s v="CUST-1178"/>
    <s v="P102"/>
    <n v="7"/>
    <n v="75"/>
    <n v="525"/>
    <x v="0"/>
    <x v="5"/>
    <x v="7"/>
    <x v="1"/>
    <x v="0"/>
  </r>
  <r>
    <x v="296"/>
    <s v="2022-02-19"/>
    <s v="CUST-1125"/>
    <s v="P102"/>
    <n v="15"/>
    <n v="80"/>
    <n v="1200"/>
    <x v="2"/>
    <x v="4"/>
    <x v="0"/>
    <x v="7"/>
    <x v="2"/>
  </r>
  <r>
    <x v="297"/>
    <s v="2023-03-08"/>
    <s v="CUST-1157"/>
    <s v="C301"/>
    <n v="11"/>
    <n v="55"/>
    <n v="605"/>
    <x v="2"/>
    <x v="9"/>
    <x v="12"/>
    <x v="5"/>
    <x v="2"/>
  </r>
  <r>
    <x v="298"/>
    <s v="2023-12-01"/>
    <s v="CUST-1032"/>
    <s v="P102"/>
    <n v="3"/>
    <n v="75"/>
    <n v="225"/>
    <x v="0"/>
    <x v="0"/>
    <x v="4"/>
    <x v="1"/>
    <x v="1"/>
  </r>
  <r>
    <x v="299"/>
    <s v="2022-05-20"/>
    <s v="CUST-1029"/>
    <s v=" P101 "/>
    <n v="13"/>
    <n v="80"/>
    <n v="1040"/>
    <x v="0"/>
    <x v="5"/>
    <x v="7"/>
    <x v="10"/>
    <x v="1"/>
  </r>
  <r>
    <x v="300"/>
    <s v="2025-02-25"/>
    <s v="CUST-1123"/>
    <s v="P201"/>
    <n v="20"/>
    <n v="65"/>
    <n v="1300"/>
    <x v="0"/>
    <x v="0"/>
    <x v="4"/>
    <x v="0"/>
    <x v="1"/>
  </r>
  <r>
    <x v="301"/>
    <s v="2025-02-25"/>
    <s v="CUST-1123"/>
    <s v="P201"/>
    <n v="20"/>
    <n v="65"/>
    <n v="1300"/>
    <x v="0"/>
    <x v="0"/>
    <x v="4"/>
    <x v="0"/>
    <x v="1"/>
  </r>
  <r>
    <x v="302"/>
    <s v="2024-01-16"/>
    <s v="CUST-1192"/>
    <s v="P101"/>
    <n v="8"/>
    <n v="85"/>
    <n v="680"/>
    <x v="2"/>
    <x v="9"/>
    <x v="12"/>
    <x v="1"/>
    <x v="2"/>
  </r>
  <r>
    <x v="303"/>
    <s v="2026-05-19"/>
    <s v="CUST-1112"/>
    <s v=" P101 "/>
    <n v="16"/>
    <n v="85"/>
    <n v="1360"/>
    <x v="5"/>
    <x v="8"/>
    <x v="10"/>
    <x v="5"/>
    <x v="1"/>
  </r>
  <r>
    <x v="304"/>
    <s v="2025-06-18"/>
    <s v="CUST-1200"/>
    <s v="C304"/>
    <n v="16"/>
    <n v="63"/>
    <n v="1008"/>
    <x v="1"/>
    <x v="1"/>
    <x v="3"/>
    <x v="3"/>
    <x v="2"/>
  </r>
  <r>
    <x v="305"/>
    <s v="2023-05-08"/>
    <s v="CUST-1079"/>
    <s v="C301"/>
    <n v="1"/>
    <n v="60"/>
    <n v="60"/>
    <x v="1"/>
    <x v="1"/>
    <x v="3"/>
    <x v="3"/>
    <x v="1"/>
  </r>
  <r>
    <x v="306"/>
    <s v="2023-05-11"/>
    <s v="CUST-1093"/>
    <s v="P202"/>
    <n v="4"/>
    <n v="65"/>
    <n v="260"/>
    <x v="2"/>
    <x v="9"/>
    <x v="12"/>
    <x v="5"/>
    <x v="0"/>
  </r>
  <r>
    <x v="307"/>
    <s v="2026-02-10"/>
    <s v=" CUST-1133 "/>
    <s v="C303"/>
    <n v="17"/>
    <n v="65"/>
    <n v="1105"/>
    <x v="1"/>
    <x v="6"/>
    <x v="8"/>
    <x v="8"/>
    <x v="2"/>
  </r>
  <r>
    <x v="308"/>
    <s v="2026-08-12"/>
    <s v="CUST-1080"/>
    <s v="P203"/>
    <n v="1"/>
    <n v="73"/>
    <n v="73"/>
    <x v="1"/>
    <x v="6"/>
    <x v="8"/>
    <x v="2"/>
    <x v="1"/>
  </r>
  <r>
    <x v="309"/>
    <s v="2026-08-12"/>
    <s v="CUST-1080"/>
    <s v="P203"/>
    <n v="1"/>
    <n v="73"/>
    <n v="73"/>
    <x v="1"/>
    <x v="6"/>
    <x v="8"/>
    <x v="2"/>
    <x v="1"/>
  </r>
  <r>
    <x v="310"/>
    <s v="2025-11-17"/>
    <s v="CUST-1005"/>
    <s v="C303"/>
    <n v="8"/>
    <n v="60"/>
    <n v="480"/>
    <x v="3"/>
    <x v="3"/>
    <x v="5"/>
    <x v="6"/>
    <x v="1"/>
  </r>
  <r>
    <x v="311"/>
    <s v="2025-10-19"/>
    <s v="CUST-1069"/>
    <s v="C302"/>
    <n v="15"/>
    <n v="50"/>
    <n v="750"/>
    <x v="3"/>
    <x v="8"/>
    <x v="10"/>
    <x v="2"/>
    <x v="1"/>
  </r>
  <r>
    <x v="312"/>
    <s v="2025-10-19"/>
    <s v="CUST-1069"/>
    <s v="C302"/>
    <n v="15"/>
    <n v="50"/>
    <n v="750"/>
    <x v="3"/>
    <x v="8"/>
    <x v="10"/>
    <x v="2"/>
    <x v="1"/>
  </r>
  <r>
    <x v="313"/>
    <s v="2026-04-01"/>
    <s v="CUST-1077"/>
    <s v="P103"/>
    <n v="16"/>
    <n v="90"/>
    <n v="1440"/>
    <x v="0"/>
    <x v="5"/>
    <x v="7"/>
    <x v="4"/>
    <x v="1"/>
  </r>
  <r>
    <x v="314"/>
    <s v="UNKNOWN"/>
    <s v="CUST-1032"/>
    <s v="C302"/>
    <n v="20"/>
    <n v="50"/>
    <n v="1000"/>
    <x v="2"/>
    <x v="9"/>
    <x v="12"/>
    <x v="2"/>
    <x v="1"/>
  </r>
  <r>
    <x v="315"/>
    <s v="2024-12-06"/>
    <s v="CUST-1188"/>
    <s v="C303"/>
    <n v="13"/>
    <n v="65"/>
    <n v="845"/>
    <x v="5"/>
    <x v="1"/>
    <x v="3"/>
    <x v="3"/>
    <x v="0"/>
  </r>
  <r>
    <x v="316"/>
    <s v="2022-09-21"/>
    <s v="CUST-1190"/>
    <s v="UNKNOW"/>
    <n v="17"/>
    <n v="55"/>
    <n v="935"/>
    <x v="0"/>
    <x v="5"/>
    <x v="7"/>
    <x v="1"/>
    <x v="0"/>
  </r>
  <r>
    <x v="317"/>
    <s v="2022-04-22"/>
    <s v="CUST-1117"/>
    <s v="C304"/>
    <n v="18"/>
    <n v="58"/>
    <n v="1044"/>
    <x v="3"/>
    <x v="8"/>
    <x v="10"/>
    <x v="4"/>
    <x v="1"/>
  </r>
  <r>
    <x v="318"/>
    <s v="2022-04-22"/>
    <s v="CUST-1117"/>
    <s v="C304"/>
    <n v="18"/>
    <n v="58"/>
    <n v="1044"/>
    <x v="3"/>
    <x v="8"/>
    <x v="10"/>
    <x v="4"/>
    <x v="1"/>
  </r>
  <r>
    <x v="319"/>
    <s v="2026-05-04"/>
    <s v="CUST-1129"/>
    <s v="UNKNOW"/>
    <n v="13"/>
    <n v="80"/>
    <n v="1040"/>
    <x v="2"/>
    <x v="2"/>
    <x v="2"/>
    <x v="1"/>
    <x v="0"/>
  </r>
  <r>
    <x v="320"/>
    <s v="2026-09-13"/>
    <s v="CUST-1038"/>
    <s v="P102"/>
    <n v="19"/>
    <n v="80"/>
    <n v="1520"/>
    <x v="2"/>
    <x v="4"/>
    <x v="6"/>
    <x v="7"/>
    <x v="2"/>
  </r>
  <r>
    <x v="321"/>
    <s v="2022-11-27"/>
    <s v="CUST-1137"/>
    <s v="C304"/>
    <n v="9"/>
    <n v="53"/>
    <n v="477"/>
    <x v="0"/>
    <x v="5"/>
    <x v="7"/>
    <x v="1"/>
    <x v="0"/>
  </r>
  <r>
    <x v="322"/>
    <s v="2025-04-22"/>
    <s v="CUST-1184"/>
    <s v="C301"/>
    <n v="10"/>
    <n v="50"/>
    <n v="500"/>
    <x v="0"/>
    <x v="5"/>
    <x v="7"/>
    <x v="4"/>
    <x v="0"/>
  </r>
  <r>
    <x v="323"/>
    <s v="2023-09-01"/>
    <s v="CUST-1006"/>
    <s v="P101"/>
    <n v="16"/>
    <n v="85"/>
    <n v="1360"/>
    <x v="5"/>
    <x v="4"/>
    <x v="6"/>
    <x v="7"/>
    <x v="1"/>
  </r>
  <r>
    <x v="324"/>
    <s v="2023-09-08"/>
    <s v="CUST-1123"/>
    <s v="C302"/>
    <n v="8"/>
    <n v="45"/>
    <n v="360"/>
    <x v="0"/>
    <x v="0"/>
    <x v="4"/>
    <x v="2"/>
    <x v="1"/>
  </r>
  <r>
    <x v="325"/>
    <s v="2025-03-23"/>
    <s v="CUST-1058"/>
    <s v="C303"/>
    <n v="8"/>
    <n v="55"/>
    <n v="440"/>
    <x v="0"/>
    <x v="0"/>
    <x v="4"/>
    <x v="1"/>
    <x v="3"/>
  </r>
  <r>
    <x v="326"/>
    <s v="2025-03-23"/>
    <s v="CUST-1058"/>
    <s v="C303"/>
    <n v="8"/>
    <n v="55"/>
    <n v="440"/>
    <x v="0"/>
    <x v="0"/>
    <x v="4"/>
    <x v="1"/>
    <x v="0"/>
  </r>
  <r>
    <x v="327"/>
    <s v="#N/A"/>
    <s v=" CUST-1183 "/>
    <s v="P203"/>
    <n v="14"/>
    <n v="73"/>
    <n v="1022"/>
    <x v="1"/>
    <x v="6"/>
    <x v="8"/>
    <x v="1"/>
    <x v="0"/>
  </r>
  <r>
    <x v="328"/>
    <s v="UNKNOWN"/>
    <s v="CUST-1054"/>
    <s v="P102"/>
    <n v="13"/>
    <n v="80"/>
    <n v="1040"/>
    <x v="2"/>
    <x v="4"/>
    <x v="6"/>
    <x v="7"/>
    <x v="3"/>
  </r>
  <r>
    <x v="329"/>
    <s v="2022-02-19"/>
    <s v="CUST-1197"/>
    <s v="C304"/>
    <n v="12"/>
    <n v="58"/>
    <n v="696"/>
    <x v="2"/>
    <x v="9"/>
    <x v="12"/>
    <x v="1"/>
    <x v="0"/>
  </r>
  <r>
    <x v="330"/>
    <s v=" 2025-07-19 "/>
    <s v="CUST-1148"/>
    <s v="C303"/>
    <n v="20"/>
    <n v="65"/>
    <n v="1300"/>
    <x v="1"/>
    <x v="1"/>
    <x v="3"/>
    <x v="3"/>
    <x v="0"/>
  </r>
  <r>
    <x v="331"/>
    <s v="2025-02-08"/>
    <s v="CUST-1020"/>
    <s v="P102"/>
    <n v="4"/>
    <n v="80"/>
    <n v="320"/>
    <x v="3"/>
    <x v="7"/>
    <x v="9"/>
    <x v="9"/>
    <x v="0"/>
  </r>
  <r>
    <x v="332"/>
    <s v=" 2026-06-12 "/>
    <s v="CUST-1095"/>
    <s v="P202"/>
    <n v="20"/>
    <n v="70"/>
    <n v="1400"/>
    <x v="1"/>
    <x v="1"/>
    <x v="3"/>
    <x v="3"/>
    <x v="2"/>
  </r>
  <r>
    <x v="333"/>
    <s v="2024-08-13"/>
    <s v="CUST-1159"/>
    <s v="P102"/>
    <n v="6"/>
    <n v="80"/>
    <n v="480"/>
    <x v="2"/>
    <x v="4"/>
    <x v="6"/>
    <x v="7"/>
    <x v="0"/>
  </r>
  <r>
    <x v="334"/>
    <s v="2022-06-15"/>
    <s v="CUST-1169"/>
    <s v="C301"/>
    <n v="6"/>
    <n v="50"/>
    <n v="300"/>
    <x v="0"/>
    <x v="0"/>
    <x v="4"/>
    <x v="4"/>
    <x v="2"/>
  </r>
  <r>
    <x v="335"/>
    <s v="2026-06-26"/>
    <s v="CUST-1117"/>
    <s v=" C303 "/>
    <n v="6"/>
    <n v="65"/>
    <n v="390"/>
    <x v="1"/>
    <x v="6"/>
    <x v="8"/>
    <x v="2"/>
    <x v="1"/>
  </r>
  <r>
    <x v="336"/>
    <s v="UNKNOWN"/>
    <s v="CUST-1160"/>
    <s v="P202"/>
    <n v="5"/>
    <n v="65"/>
    <n v="325"/>
    <x v="2"/>
    <x v="2"/>
    <x v="2"/>
    <x v="0"/>
    <x v="1"/>
  </r>
  <r>
    <x v="337"/>
    <s v="2023-06-16"/>
    <s v="CUST-1195"/>
    <s v="P202"/>
    <n v="5"/>
    <n v="65"/>
    <n v="325"/>
    <x v="2"/>
    <x v="4"/>
    <x v="6"/>
    <x v="7"/>
    <x v="2"/>
  </r>
  <r>
    <x v="338"/>
    <s v="2023-12-30"/>
    <s v="CUST-1078"/>
    <s v="P203"/>
    <n v="20"/>
    <n v="68"/>
    <n v="1360"/>
    <x v="2"/>
    <x v="4"/>
    <x v="6"/>
    <x v="7"/>
    <x v="1"/>
  </r>
  <r>
    <x v="339"/>
    <s v="2026-04-30"/>
    <s v="CUST-1135"/>
    <s v="P202"/>
    <n v="7"/>
    <n v="70"/>
    <n v="490"/>
    <x v="1"/>
    <x v="1"/>
    <x v="3"/>
    <x v="3"/>
    <x v="2"/>
  </r>
  <r>
    <x v="340"/>
    <s v="2026-08-20"/>
    <s v="CUST-1027"/>
    <s v="C302"/>
    <n v="16"/>
    <n v="50"/>
    <n v="800"/>
    <x v="2"/>
    <x v="4"/>
    <x v="6"/>
    <x v="7"/>
    <x v="1"/>
  </r>
  <r>
    <x v="341"/>
    <s v="2024-12-27"/>
    <s v="CUST-1136"/>
    <s v="C301"/>
    <n v="19"/>
    <n v="55"/>
    <n v="1045"/>
    <x v="3"/>
    <x v="8"/>
    <x v="10"/>
    <x v="5"/>
    <x v="1"/>
  </r>
  <r>
    <x v="342"/>
    <s v="2022-02-02"/>
    <s v="CUST-1197"/>
    <s v="C303"/>
    <n v="2"/>
    <n v="60"/>
    <n v="120"/>
    <x v="2"/>
    <x v="2"/>
    <x v="2"/>
    <x v="2"/>
    <x v="2"/>
  </r>
  <r>
    <x v="343"/>
    <s v="2022-12-14"/>
    <s v="CUST-1150"/>
    <s v="C302"/>
    <n v="7"/>
    <n v="50"/>
    <n v="350"/>
    <x v="3"/>
    <x v="3"/>
    <x v="0"/>
    <x v="6"/>
    <x v="1"/>
  </r>
  <r>
    <x v="344"/>
    <s v=" 2024-08-11 "/>
    <s v="CUST-1163"/>
    <s v="P202"/>
    <n v="17"/>
    <n v="70"/>
    <n v="1190"/>
    <x v="1"/>
    <x v="1"/>
    <x v="1"/>
    <x v="8"/>
    <x v="0"/>
  </r>
  <r>
    <x v="345"/>
    <s v=" 2023-01-23 "/>
    <s v="CUST-1135"/>
    <s v="P203"/>
    <n v="19"/>
    <n v="73"/>
    <n v="1387"/>
    <x v="1"/>
    <x v="6"/>
    <x v="8"/>
    <x v="0"/>
    <x v="2"/>
  </r>
  <r>
    <x v="346"/>
    <s v="2025-01-04"/>
    <s v="CUST-1085"/>
    <s v="C303"/>
    <n v="4"/>
    <n v="60"/>
    <n v="240"/>
    <x v="4"/>
    <x v="8"/>
    <x v="10"/>
    <x v="2"/>
    <x v="0"/>
  </r>
  <r>
    <x v="347"/>
    <s v="2024-12-08"/>
    <s v="CUST-1173"/>
    <s v="C303"/>
    <n v="10"/>
    <n v="65"/>
    <n v="650"/>
    <x v="1"/>
    <x v="1"/>
    <x v="1"/>
    <x v="4"/>
    <x v="2"/>
  </r>
  <r>
    <x v="348"/>
    <s v="2026-02-01"/>
    <s v="UNKNOW"/>
    <s v="C301"/>
    <n v="19"/>
    <n v="60"/>
    <n v="1140"/>
    <x v="1"/>
    <x v="6"/>
    <x v="8"/>
    <x v="5"/>
    <x v="2"/>
  </r>
  <r>
    <x v="349"/>
    <s v="2024-02-23"/>
    <s v="CUST-1121"/>
    <s v="C302"/>
    <n v="13"/>
    <n v="50"/>
    <n v="650"/>
    <x v="3"/>
    <x v="3"/>
    <x v="5"/>
    <x v="6"/>
    <x v="2"/>
  </r>
  <r>
    <x v="350"/>
    <s v="2025-03-19"/>
    <s v="CUST-1017"/>
    <s v="P202"/>
    <n v="6"/>
    <n v="65"/>
    <n v="390"/>
    <x v="2"/>
    <x v="10"/>
    <x v="2"/>
    <x v="1"/>
    <x v="0"/>
  </r>
  <r>
    <x v="351"/>
    <s v="2025-04-08"/>
    <s v="CUST-1096"/>
    <s v="P203"/>
    <n v="14"/>
    <n v="63"/>
    <n v="882"/>
    <x v="0"/>
    <x v="5"/>
    <x v="7"/>
    <x v="5"/>
    <x v="1"/>
  </r>
  <r>
    <x v="352"/>
    <s v="2022-02-16"/>
    <s v="CUST-1132"/>
    <s v="C303"/>
    <n v="8"/>
    <n v="65"/>
    <n v="520"/>
    <x v="1"/>
    <x v="6"/>
    <x v="8"/>
    <x v="2"/>
    <x v="2"/>
  </r>
  <r>
    <x v="353"/>
    <s v="2025-12-23"/>
    <s v=" CUST-1064 "/>
    <s v="C304"/>
    <n v="12"/>
    <n v="53"/>
    <n v="636"/>
    <x v="0"/>
    <x v="5"/>
    <x v="7"/>
    <x v="2"/>
    <x v="2"/>
  </r>
  <r>
    <x v="354"/>
    <s v="2023-08-05"/>
    <s v="CUST-1156"/>
    <s v="P202"/>
    <n v="16"/>
    <n v="65"/>
    <n v="1040"/>
    <x v="3"/>
    <x v="8"/>
    <x v="10"/>
    <x v="0"/>
    <x v="2"/>
  </r>
  <r>
    <x v="355"/>
    <s v="2024-08-03"/>
    <s v="CUST-1142"/>
    <s v="UNKNOW"/>
    <n v="1"/>
    <n v="85"/>
    <n v="85"/>
    <x v="3"/>
    <x v="3"/>
    <x v="5"/>
    <x v="10"/>
    <x v="0"/>
  </r>
  <r>
    <x v="356"/>
    <s v="2025-11-23"/>
    <s v="CUST-1030"/>
    <s v="P101"/>
    <n v="20"/>
    <n v="85"/>
    <n v="1700"/>
    <x v="4"/>
    <x v="7"/>
    <x v="9"/>
    <x v="9"/>
    <x v="2"/>
  </r>
  <r>
    <x v="357"/>
    <s v="2023-11-28"/>
    <s v="UNKNOW"/>
    <s v="UNKNOW"/>
    <n v="1"/>
    <n v="60"/>
    <n v="60"/>
    <x v="1"/>
    <x v="1"/>
    <x v="1"/>
    <x v="0"/>
    <x v="2"/>
  </r>
  <r>
    <x v="358"/>
    <s v="2024-01-14"/>
    <s v="CUST-1077"/>
    <s v="P103"/>
    <n v="12"/>
    <n v="95"/>
    <n v="1140"/>
    <x v="2"/>
    <x v="4"/>
    <x v="6"/>
    <x v="7"/>
    <x v="0"/>
  </r>
  <r>
    <x v="359"/>
    <s v="2024-02-05"/>
    <s v="CUST-1094"/>
    <s v="P201"/>
    <n v="16"/>
    <n v="70"/>
    <n v="1120"/>
    <x v="2"/>
    <x v="9"/>
    <x v="12"/>
    <x v="8"/>
    <x v="0"/>
  </r>
  <r>
    <x v="360"/>
    <s v="2026-05-04"/>
    <s v="CUST-1113"/>
    <s v="P102"/>
    <n v="4"/>
    <n v="75"/>
    <n v="300"/>
    <x v="0"/>
    <x v="5"/>
    <x v="7"/>
    <x v="5"/>
    <x v="2"/>
  </r>
  <r>
    <x v="361"/>
    <s v="2022-06-12"/>
    <s v="CUST-1076"/>
    <s v="C301"/>
    <n v="2"/>
    <n v="60"/>
    <n v="120"/>
    <x v="1"/>
    <x v="1"/>
    <x v="1"/>
    <x v="1"/>
    <x v="0"/>
  </r>
  <r>
    <x v="362"/>
    <s v="2025-07-08"/>
    <s v="CUST-1081"/>
    <s v="P203"/>
    <n v="14"/>
    <n v="68"/>
    <n v="952"/>
    <x v="3"/>
    <x v="8"/>
    <x v="10"/>
    <x v="4"/>
    <x v="2"/>
  </r>
  <r>
    <x v="363"/>
    <s v="2025-04-14"/>
    <s v="CUST-1081"/>
    <s v=" P101 "/>
    <n v="18"/>
    <n v="80"/>
    <n v="1440"/>
    <x v="0"/>
    <x v="5"/>
    <x v="7"/>
    <x v="1"/>
    <x v="1"/>
  </r>
  <r>
    <x v="364"/>
    <s v="2025-11-22"/>
    <s v="CUST-1174"/>
    <s v="C302"/>
    <n v="7"/>
    <n v="50"/>
    <n v="350"/>
    <x v="2"/>
    <x v="2"/>
    <x v="2"/>
    <x v="5"/>
    <x v="1"/>
  </r>
  <r>
    <x v="365"/>
    <s v="2025-02-16"/>
    <s v="CUST-1087"/>
    <s v="P103"/>
    <n v="5"/>
    <n v="90"/>
    <n v="450"/>
    <x v="0"/>
    <x v="0"/>
    <x v="4"/>
    <x v="0"/>
    <x v="1"/>
  </r>
  <r>
    <x v="366"/>
    <s v="2024-12-18"/>
    <s v="CUST-1155"/>
    <s v="P102"/>
    <n v="4"/>
    <n v="75"/>
    <n v="300"/>
    <x v="0"/>
    <x v="5"/>
    <x v="7"/>
    <x v="0"/>
    <x v="0"/>
  </r>
  <r>
    <x v="367"/>
    <s v="2023-11-13"/>
    <s v="CUST-1022"/>
    <s v="C301"/>
    <n v="4"/>
    <n v="50"/>
    <n v="200"/>
    <x v="0"/>
    <x v="0"/>
    <x v="4"/>
    <x v="0"/>
    <x v="3"/>
  </r>
  <r>
    <x v="368"/>
    <s v="2024-02-06"/>
    <s v="CUST-1193"/>
    <s v="P103"/>
    <n v="2"/>
    <n v="90"/>
    <n v="180"/>
    <x v="0"/>
    <x v="0"/>
    <x v="4"/>
    <x v="0"/>
    <x v="2"/>
  </r>
  <r>
    <x v="369"/>
    <s v="2022-01-25"/>
    <s v="CUST-1094"/>
    <s v="P102"/>
    <n v="9"/>
    <n v="80"/>
    <n v="720"/>
    <x v="2"/>
    <x v="4"/>
    <x v="6"/>
    <x v="7"/>
    <x v="2"/>
  </r>
  <r>
    <x v="370"/>
    <s v="2022-01-25"/>
    <s v="CUST-1094"/>
    <s v="P102"/>
    <n v="9"/>
    <n v="80"/>
    <n v="720"/>
    <x v="2"/>
    <x v="4"/>
    <x v="6"/>
    <x v="7"/>
    <x v="2"/>
  </r>
  <r>
    <x v="371"/>
    <s v=" 2022-08-06 "/>
    <s v="CUST-1111"/>
    <s v="P102"/>
    <n v="5"/>
    <n v="80"/>
    <n v="400"/>
    <x v="2"/>
    <x v="9"/>
    <x v="12"/>
    <x v="0"/>
    <x v="2"/>
  </r>
  <r>
    <x v="372"/>
    <s v="2025-02-28"/>
    <s v="CUST-1150"/>
    <s v="P201"/>
    <n v="12"/>
    <n v="65"/>
    <n v="780"/>
    <x v="0"/>
    <x v="5"/>
    <x v="7"/>
    <x v="1"/>
    <x v="0"/>
  </r>
  <r>
    <x v="373"/>
    <s v="2026-04-29"/>
    <s v="CUST-1007"/>
    <s v="UNKNOW"/>
    <n v="18"/>
    <n v="95"/>
    <n v="1710"/>
    <x v="3"/>
    <x v="3"/>
    <x v="5"/>
    <x v="6"/>
    <x v="1"/>
  </r>
  <r>
    <x v="374"/>
    <s v="2022-07-31"/>
    <s v="CUST-1028"/>
    <s v="C303"/>
    <n v="14"/>
    <n v="60"/>
    <n v="840"/>
    <x v="2"/>
    <x v="4"/>
    <x v="13"/>
    <x v="7"/>
    <x v="2"/>
  </r>
  <r>
    <x v="375"/>
    <s v="2024-12-03"/>
    <s v="CUST-1086"/>
    <s v="P103"/>
    <n v="19"/>
    <n v="100"/>
    <n v="1900"/>
    <x v="1"/>
    <x v="1"/>
    <x v="1"/>
    <x v="0"/>
    <x v="2"/>
  </r>
  <r>
    <x v="376"/>
    <s v="2024-12-03"/>
    <s v="CUST-1086"/>
    <s v="P103"/>
    <n v="19"/>
    <n v="100"/>
    <n v="1900"/>
    <x v="1"/>
    <x v="1"/>
    <x v="1"/>
    <x v="0"/>
    <x v="2"/>
  </r>
  <r>
    <x v="377"/>
    <s v="2026-05-05"/>
    <s v="CUST-1050"/>
    <s v="C304"/>
    <n v="20"/>
    <n v="53"/>
    <n v="1060"/>
    <x v="0"/>
    <x v="5"/>
    <x v="0"/>
    <x v="4"/>
    <x v="1"/>
  </r>
  <r>
    <x v="378"/>
    <s v="2025-04-29"/>
    <s v="CUST-1030"/>
    <s v="P201"/>
    <n v="18"/>
    <n v="70"/>
    <n v="1260"/>
    <x v="3"/>
    <x v="3"/>
    <x v="5"/>
    <x v="6"/>
    <x v="2"/>
  </r>
  <r>
    <x v="379"/>
    <s v=" 2023-11-22 "/>
    <s v="CUST-1003"/>
    <s v="C301"/>
    <n v="8"/>
    <n v="50"/>
    <n v="400"/>
    <x v="0"/>
    <x v="0"/>
    <x v="4"/>
    <x v="5"/>
    <x v="2"/>
  </r>
  <r>
    <x v="380"/>
    <s v="2026-04-12"/>
    <s v="CUST-1050"/>
    <s v="P201"/>
    <n v="17"/>
    <n v="70"/>
    <n v="1190"/>
    <x v="3"/>
    <x v="7"/>
    <x v="9"/>
    <x v="9"/>
    <x v="1"/>
  </r>
  <r>
    <x v="381"/>
    <s v="#N/A"/>
    <s v="CUST-1142"/>
    <s v="#N/A"/>
    <n v="6"/>
    <n v="80"/>
    <n v="480"/>
    <x v="2"/>
    <x v="2"/>
    <x v="0"/>
    <x v="5"/>
    <x v="1"/>
  </r>
  <r>
    <x v="382"/>
    <s v="2022-07-08"/>
    <s v="CUST-1134"/>
    <s v="P103"/>
    <n v="5"/>
    <n v="90"/>
    <n v="450"/>
    <x v="0"/>
    <x v="0"/>
    <x v="4"/>
    <x v="2"/>
    <x v="2"/>
  </r>
  <r>
    <x v="383"/>
    <s v="2022-12-15"/>
    <s v="CUST-1108"/>
    <s v="C303"/>
    <n v="2"/>
    <n v="60"/>
    <n v="120"/>
    <x v="2"/>
    <x v="2"/>
    <x v="2"/>
    <x v="2"/>
    <x v="0"/>
  </r>
  <r>
    <x v="384"/>
    <s v="2025-07-21"/>
    <s v="CUST-1013"/>
    <s v="P201"/>
    <n v="10"/>
    <n v="75"/>
    <n v="750"/>
    <x v="1"/>
    <x v="1"/>
    <x v="3"/>
    <x v="3"/>
    <x v="0"/>
  </r>
  <r>
    <x v="385"/>
    <s v="2024-02-18"/>
    <s v="CUST-1068"/>
    <s v="P103"/>
    <n v="20"/>
    <n v="95"/>
    <n v="1900"/>
    <x v="3"/>
    <x v="10"/>
    <x v="9"/>
    <x v="9"/>
    <x v="0"/>
  </r>
  <r>
    <x v="386"/>
    <s v="2024-02-18"/>
    <s v="CUST-1068"/>
    <s v="P103"/>
    <n v="20"/>
    <n v="95"/>
    <n v="1900"/>
    <x v="3"/>
    <x v="7"/>
    <x v="9"/>
    <x v="9"/>
    <x v="0"/>
  </r>
  <r>
    <x v="387"/>
    <s v="2024-04-16"/>
    <s v="CUST-1065"/>
    <s v="P203"/>
    <n v="17"/>
    <n v="73"/>
    <n v="1241"/>
    <x v="1"/>
    <x v="1"/>
    <x v="3"/>
    <x v="3"/>
    <x v="2"/>
  </r>
  <r>
    <x v="388"/>
    <s v="2024-04-16"/>
    <s v="CUST-1065"/>
    <s v="P203"/>
    <n v="17"/>
    <n v="73"/>
    <n v="1241"/>
    <x v="1"/>
    <x v="1"/>
    <x v="3"/>
    <x v="3"/>
    <x v="2"/>
  </r>
  <r>
    <x v="389"/>
    <s v="2025-04-14"/>
    <s v="CUST-1175"/>
    <s v="C303"/>
    <n v="5.8823529411764705E-2"/>
    <n v="60"/>
    <n v="3.5294117647058822"/>
    <x v="3"/>
    <x v="8"/>
    <x v="10"/>
    <x v="1"/>
    <x v="0"/>
  </r>
  <r>
    <x v="390"/>
    <s v="2022-05-13"/>
    <s v="CUST-1120"/>
    <s v="P203"/>
    <n v="14"/>
    <n v="68"/>
    <n v="952"/>
    <x v="2"/>
    <x v="9"/>
    <x v="12"/>
    <x v="4"/>
    <x v="2"/>
  </r>
  <r>
    <x v="391"/>
    <s v="2024-03-10"/>
    <s v=" CUST-1125 "/>
    <s v="P101"/>
    <n v="17"/>
    <n v="85"/>
    <n v="1445"/>
    <x v="3"/>
    <x v="8"/>
    <x v="10"/>
    <x v="5"/>
    <x v="1"/>
  </r>
  <r>
    <x v="392"/>
    <s v="#N/A"/>
    <s v="CUST-1171"/>
    <s v="P202"/>
    <n v="17"/>
    <n v="60"/>
    <n v="1020"/>
    <x v="0"/>
    <x v="0"/>
    <x v="4"/>
    <x v="1"/>
    <x v="0"/>
  </r>
  <r>
    <x v="393"/>
    <s v="2023-07-11"/>
    <s v="CUST-1142"/>
    <s v="C302"/>
    <n v="2"/>
    <n v="55"/>
    <n v="110"/>
    <x v="1"/>
    <x v="6"/>
    <x v="8"/>
    <x v="5"/>
    <x v="1"/>
  </r>
  <r>
    <x v="394"/>
    <s v=" 2025-04-19 "/>
    <s v="CUST-1075"/>
    <s v="P202"/>
    <n v="20"/>
    <n v="65"/>
    <n v="1300"/>
    <x v="3"/>
    <x v="7"/>
    <x v="11"/>
    <x v="1"/>
    <x v="0"/>
  </r>
  <r>
    <x v="395"/>
    <s v=" 2022-01-02 "/>
    <s v="CUST-1164"/>
    <s v="P101"/>
    <n v="1"/>
    <n v="80"/>
    <n v="80"/>
    <x v="0"/>
    <x v="5"/>
    <x v="7"/>
    <x v="4"/>
    <x v="2"/>
  </r>
  <r>
    <x v="396"/>
    <s v="2023-10-11"/>
    <s v="CUST-1149"/>
    <s v="P201"/>
    <n v="9"/>
    <n v="75"/>
    <n v="675"/>
    <x v="1"/>
    <x v="1"/>
    <x v="1"/>
    <x v="5"/>
    <x v="1"/>
  </r>
  <r>
    <x v="397"/>
    <s v="UNKNOWN"/>
    <s v="CUST-1175"/>
    <s v="C303"/>
    <n v="17"/>
    <n v="55"/>
    <n v="935"/>
    <x v="0"/>
    <x v="5"/>
    <x v="7"/>
    <x v="4"/>
    <x v="0"/>
  </r>
  <r>
    <x v="398"/>
    <s v="2025-12-31"/>
    <s v="CUST-1135"/>
    <s v="C301"/>
    <n v="8"/>
    <n v="50"/>
    <n v="400"/>
    <x v="0"/>
    <x v="0"/>
    <x v="4"/>
    <x v="1"/>
    <x v="2"/>
  </r>
  <r>
    <x v="399"/>
    <s v="2025-08-09"/>
    <s v="CUST-1081"/>
    <s v="P101"/>
    <n v="10"/>
    <n v="80"/>
    <n v="800"/>
    <x v="0"/>
    <x v="5"/>
    <x v="7"/>
    <x v="5"/>
    <x v="0"/>
  </r>
  <r>
    <x v="400"/>
    <s v="2026-03-29"/>
    <s v="CUST-1013"/>
    <s v="P101"/>
    <n v="13"/>
    <n v="80"/>
    <n v="1040"/>
    <x v="0"/>
    <x v="0"/>
    <x v="4"/>
    <x v="0"/>
    <x v="1"/>
  </r>
  <r>
    <x v="401"/>
    <s v="2023-12-31"/>
    <s v="CUST-1009"/>
    <s v="P103"/>
    <n v="15"/>
    <n v="95"/>
    <n v="1425"/>
    <x v="5"/>
    <x v="9"/>
    <x v="12"/>
    <x v="0"/>
    <x v="2"/>
  </r>
  <r>
    <x v="402"/>
    <s v="2023-05-01"/>
    <s v="CUST-1016"/>
    <s v="C303"/>
    <n v="9"/>
    <n v="55"/>
    <n v="495"/>
    <x v="0"/>
    <x v="5"/>
    <x v="7"/>
    <x v="10"/>
    <x v="1"/>
  </r>
  <r>
    <x v="403"/>
    <s v="2024-10-18"/>
    <s v="CUST-1064"/>
    <s v="C302"/>
    <n v="18"/>
    <n v="50"/>
    <n v="900"/>
    <x v="3"/>
    <x v="3"/>
    <x v="5"/>
    <x v="6"/>
    <x v="2"/>
  </r>
  <r>
    <x v="404"/>
    <s v="2022-02-19"/>
    <s v="CUST-1177"/>
    <s v="P101"/>
    <n v="6"/>
    <n v="90"/>
    <n v="540"/>
    <x v="1"/>
    <x v="1"/>
    <x v="1"/>
    <x v="1"/>
    <x v="0"/>
  </r>
  <r>
    <x v="405"/>
    <s v="2023-08-27"/>
    <s v="CUST-1119"/>
    <s v="C303"/>
    <n v="4"/>
    <n v="60"/>
    <n v="240"/>
    <x v="5"/>
    <x v="7"/>
    <x v="9"/>
    <x v="9"/>
    <x v="1"/>
  </r>
  <r>
    <x v="406"/>
    <s v="2026-09-01"/>
    <s v="CUST-1095"/>
    <s v="P103"/>
    <n v="2"/>
    <n v="90"/>
    <n v="180"/>
    <x v="6"/>
    <x v="0"/>
    <x v="4"/>
    <x v="4"/>
    <x v="2"/>
  </r>
  <r>
    <x v="407"/>
    <s v="2024-01-25"/>
    <s v="CUST-1016"/>
    <s v=" P203 "/>
    <n v="4"/>
    <n v="63"/>
    <n v="252"/>
    <x v="5"/>
    <x v="5"/>
    <x v="7"/>
    <x v="1"/>
    <x v="2"/>
  </r>
  <r>
    <x v="408"/>
    <s v="2025-02-19"/>
    <s v="CUST-1154"/>
    <s v=" C301 "/>
    <n v="15"/>
    <n v="60"/>
    <n v="900"/>
    <x v="1"/>
    <x v="1"/>
    <x v="3"/>
    <x v="3"/>
    <x v="1"/>
  </r>
  <r>
    <x v="409"/>
    <s v="2023-12-13"/>
    <s v="CUST-1056"/>
    <s v="P202"/>
    <n v="20"/>
    <n v="70"/>
    <n v="1400"/>
    <x v="1"/>
    <x v="6"/>
    <x v="8"/>
    <x v="10"/>
    <x v="2"/>
  </r>
  <r>
    <x v="410"/>
    <s v="2023-12-13"/>
    <s v="CUST-1056"/>
    <s v="P202"/>
    <n v="20"/>
    <n v="70"/>
    <n v="1400"/>
    <x v="1"/>
    <x v="6"/>
    <x v="8"/>
    <x v="0"/>
    <x v="2"/>
  </r>
  <r>
    <x v="411"/>
    <s v="2024-02-10"/>
    <s v="CUST-1196"/>
    <s v="P201"/>
    <n v="2"/>
    <n v="75"/>
    <n v="150"/>
    <x v="1"/>
    <x v="1"/>
    <x v="1"/>
    <x v="5"/>
    <x v="2"/>
  </r>
  <r>
    <x v="412"/>
    <s v="2024-10-08"/>
    <s v="CUST-1198"/>
    <s v="P203"/>
    <n v="19"/>
    <n v="73"/>
    <n v="1387"/>
    <x v="1"/>
    <x v="1"/>
    <x v="3"/>
    <x v="3"/>
    <x v="0"/>
  </r>
  <r>
    <x v="413"/>
    <s v="UNKNOWN"/>
    <s v="CUST-1149"/>
    <s v="C301"/>
    <n v="4"/>
    <n v="55"/>
    <n v="220"/>
    <x v="2"/>
    <x v="4"/>
    <x v="6"/>
    <x v="7"/>
    <x v="0"/>
  </r>
  <r>
    <x v="414"/>
    <s v="UNKNOWN"/>
    <s v="CUST-1089"/>
    <s v="C303"/>
    <n v="2"/>
    <n v="65"/>
    <n v="130"/>
    <x v="1"/>
    <x v="1"/>
    <x v="1"/>
    <x v="10"/>
    <x v="2"/>
  </r>
  <r>
    <x v="415"/>
    <s v="2025-04-18"/>
    <s v="CUST-1072"/>
    <s v="P101"/>
    <n v="15"/>
    <n v="85"/>
    <n v="1275"/>
    <x v="3"/>
    <x v="7"/>
    <x v="11"/>
    <x v="5"/>
    <x v="1"/>
  </r>
  <r>
    <x v="416"/>
    <s v="2025-05-27"/>
    <s v="CUST-1171"/>
    <s v="P103"/>
    <n v="11"/>
    <n v="95"/>
    <n v="1045"/>
    <x v="2"/>
    <x v="2"/>
    <x v="2"/>
    <x v="5"/>
    <x v="1"/>
  </r>
  <r>
    <x v="417"/>
    <s v="2022-05-02"/>
    <s v="CUST-1187"/>
    <s v="UNKNOW"/>
    <n v="15"/>
    <n v="55"/>
    <n v="825"/>
    <x v="1"/>
    <x v="6"/>
    <x v="8"/>
    <x v="5"/>
    <x v="0"/>
  </r>
  <r>
    <x v="418"/>
    <s v="2022-03-16"/>
    <s v="CUST-1064"/>
    <s v="C304"/>
    <n v="6.6666666666666666E-2"/>
    <n v="63"/>
    <n v="4.2"/>
    <x v="1"/>
    <x v="6"/>
    <x v="8"/>
    <x v="5"/>
    <x v="2"/>
  </r>
  <r>
    <x v="419"/>
    <s v="2025-03-05"/>
    <s v="CUST-1085"/>
    <s v=" P103 "/>
    <n v="7"/>
    <n v="90"/>
    <n v="630"/>
    <x v="0"/>
    <x v="0"/>
    <x v="4"/>
    <x v="2"/>
    <x v="0"/>
  </r>
  <r>
    <x v="420"/>
    <s v="2025-09-03"/>
    <s v="CUST-1188"/>
    <s v=" P102 "/>
    <n v="5"/>
    <n v="75"/>
    <n v="375"/>
    <x v="0"/>
    <x v="5"/>
    <x v="7"/>
    <x v="0"/>
    <x v="2"/>
  </r>
  <r>
    <x v="421"/>
    <s v="UNKNOWN"/>
    <s v="CUST-1097"/>
    <s v="C304"/>
    <n v="8"/>
    <n v="63"/>
    <n v="504"/>
    <x v="1"/>
    <x v="10"/>
    <x v="8"/>
    <x v="4"/>
    <x v="1"/>
  </r>
  <r>
    <x v="422"/>
    <s v="2024-04-26"/>
    <s v="CUST-1068"/>
    <s v="P201"/>
    <n v="8.3333333333333329E-2"/>
    <n v="75"/>
    <n v="6.25"/>
    <x v="1"/>
    <x v="6"/>
    <x v="8"/>
    <x v="5"/>
    <x v="1"/>
  </r>
  <r>
    <x v="423"/>
    <s v="2024-12-28"/>
    <s v="CUST-1105"/>
    <s v="P201"/>
    <n v="0.1111111111111111"/>
    <n v="70"/>
    <n v="7.7777777777777777"/>
    <x v="3"/>
    <x v="8"/>
    <x v="10"/>
    <x v="0"/>
    <x v="1"/>
  </r>
  <r>
    <x v="424"/>
    <s v="2023-05-29"/>
    <s v="CUST-1092"/>
    <s v="P202"/>
    <n v="13"/>
    <n v="60"/>
    <n v="780"/>
    <x v="0"/>
    <x v="0"/>
    <x v="4"/>
    <x v="2"/>
    <x v="0"/>
  </r>
  <r>
    <x v="425"/>
    <s v="2023-01-10"/>
    <s v="CUST-1035"/>
    <s v=" C302 "/>
    <n v="8"/>
    <n v="45"/>
    <n v="360"/>
    <x v="0"/>
    <x v="5"/>
    <x v="7"/>
    <x v="8"/>
    <x v="1"/>
  </r>
  <r>
    <x v="426"/>
    <s v="2025-07-17"/>
    <s v=" CUST-1191 "/>
    <s v="P102"/>
    <n v="2"/>
    <n v="80"/>
    <n v="160"/>
    <x v="3"/>
    <x v="3"/>
    <x v="13"/>
    <x v="6"/>
    <x v="1"/>
  </r>
  <r>
    <x v="427"/>
    <s v="2022-04-20"/>
    <s v="CUST-1086"/>
    <s v="P201"/>
    <n v="13"/>
    <n v="70"/>
    <n v="910"/>
    <x v="2"/>
    <x v="9"/>
    <x v="12"/>
    <x v="1"/>
    <x v="0"/>
  </r>
  <r>
    <x v="428"/>
    <s v="2025-02-27"/>
    <s v="CUST-1050"/>
    <s v="C301"/>
    <n v="8"/>
    <n v="50"/>
    <n v="400"/>
    <x v="0"/>
    <x v="0"/>
    <x v="4"/>
    <x v="4"/>
    <x v="2"/>
  </r>
  <r>
    <x v="429"/>
    <s v="2023-11-03"/>
    <s v="CUST-1030"/>
    <s v=" C301 "/>
    <n v="3"/>
    <n v="55"/>
    <n v="165"/>
    <x v="2"/>
    <x v="4"/>
    <x v="6"/>
    <x v="7"/>
    <x v="1"/>
  </r>
  <r>
    <x v="430"/>
    <s v="2022-06-30"/>
    <s v="CUST-1158"/>
    <s v="C304"/>
    <n v="15"/>
    <n v="58"/>
    <n v="870"/>
    <x v="8"/>
    <x v="9"/>
    <x v="12"/>
    <x v="2"/>
    <x v="2"/>
  </r>
  <r>
    <x v="431"/>
    <s v="2026-04-21"/>
    <s v="CUST-1198"/>
    <s v="P102"/>
    <n v="16"/>
    <n v="75"/>
    <n v="1200"/>
    <x v="0"/>
    <x v="5"/>
    <x v="7"/>
    <x v="0"/>
    <x v="1"/>
  </r>
  <r>
    <x v="432"/>
    <s v="2024-04-13"/>
    <s v="CUST-1042"/>
    <s v="C303"/>
    <n v="20"/>
    <n v="60"/>
    <n v="1200"/>
    <x v="3"/>
    <x v="8"/>
    <x v="10"/>
    <x v="0"/>
    <x v="1"/>
  </r>
  <r>
    <x v="433"/>
    <s v="2023-12-23"/>
    <s v="CUST-1041"/>
    <s v="C301"/>
    <n v="7"/>
    <n v="55"/>
    <n v="385"/>
    <x v="3"/>
    <x v="7"/>
    <x v="9"/>
    <x v="9"/>
    <x v="0"/>
  </r>
  <r>
    <x v="434"/>
    <s v="2023-07-01"/>
    <s v="CUST-1184"/>
    <s v="C303"/>
    <n v="18"/>
    <n v="60"/>
    <n v="1080"/>
    <x v="3"/>
    <x v="7"/>
    <x v="11"/>
    <x v="5"/>
    <x v="0"/>
  </r>
  <r>
    <x v="435"/>
    <s v="2026-10-03"/>
    <s v="CUST-1105"/>
    <s v="P103"/>
    <n v="13"/>
    <n v="95"/>
    <n v="1235"/>
    <x v="2"/>
    <x v="4"/>
    <x v="6"/>
    <x v="7"/>
    <x v="1"/>
  </r>
  <r>
    <x v="436"/>
    <s v="2023-12-14"/>
    <s v="CUST-1011"/>
    <s v="P103"/>
    <n v="4"/>
    <n v="95"/>
    <n v="380"/>
    <x v="3"/>
    <x v="3"/>
    <x v="5"/>
    <x v="6"/>
    <x v="0"/>
  </r>
  <r>
    <x v="437"/>
    <s v="2025-01-21"/>
    <s v="UNKNOW"/>
    <s v="P201"/>
    <n v="12"/>
    <n v="70"/>
    <n v="840"/>
    <x v="3"/>
    <x v="7"/>
    <x v="11"/>
    <x v="5"/>
    <x v="1"/>
  </r>
  <r>
    <x v="438"/>
    <s v="2022-06-25"/>
    <s v="CUST-1191"/>
    <s v="C304"/>
    <n v="17"/>
    <n v="58"/>
    <n v="986"/>
    <x v="3"/>
    <x v="3"/>
    <x v="5"/>
    <x v="6"/>
    <x v="0"/>
  </r>
  <r>
    <x v="439"/>
    <s v="2024-07-17"/>
    <s v="CUST-1059"/>
    <s v="P103"/>
    <n v="19"/>
    <n v="95"/>
    <n v="1805"/>
    <x v="3"/>
    <x v="7"/>
    <x v="11"/>
    <x v="0"/>
    <x v="2"/>
  </r>
  <r>
    <x v="440"/>
    <s v="2023-07-17"/>
    <s v=" CUST-1112 "/>
    <s v="P103"/>
    <n v="10"/>
    <n v="95"/>
    <n v="950"/>
    <x v="2"/>
    <x v="2"/>
    <x v="2"/>
    <x v="2"/>
    <x v="0"/>
  </r>
  <r>
    <x v="441"/>
    <s v="UNKNOWN"/>
    <s v="CUST-1113"/>
    <s v=" P202 "/>
    <n v="19"/>
    <n v="60"/>
    <n v="1140"/>
    <x v="6"/>
    <x v="0"/>
    <x v="4"/>
    <x v="4"/>
    <x v="2"/>
  </r>
  <r>
    <x v="442"/>
    <s v="2026-03-30"/>
    <s v="CUST-1196"/>
    <s v="P102"/>
    <n v="12"/>
    <n v="80"/>
    <n v="960"/>
    <x v="2"/>
    <x v="2"/>
    <x v="2"/>
    <x v="1"/>
    <x v="2"/>
  </r>
  <r>
    <x v="443"/>
    <s v="2024-06-24"/>
    <s v="CUST-1108"/>
    <s v="P101"/>
    <n v="5"/>
    <n v="80"/>
    <n v="400"/>
    <x v="0"/>
    <x v="5"/>
    <x v="7"/>
    <x v="5"/>
    <x v="1"/>
  </r>
  <r>
    <x v="444"/>
    <s v="2022-09-25"/>
    <s v="CUST-1186"/>
    <s v="P103"/>
    <n v="15"/>
    <n v="100"/>
    <n v="1500"/>
    <x v="1"/>
    <x v="1"/>
    <x v="1"/>
    <x v="4"/>
    <x v="1"/>
  </r>
  <r>
    <x v="445"/>
    <s v="2026-03-29"/>
    <s v="UNKNOW"/>
    <s v="C302"/>
    <n v="1"/>
    <n v="55"/>
    <n v="55"/>
    <x v="1"/>
    <x v="6"/>
    <x v="8"/>
    <x v="4"/>
    <x v="0"/>
  </r>
  <r>
    <x v="446"/>
    <s v="2022-07-24"/>
    <s v="CUST-1028"/>
    <s v="C301"/>
    <n v="15"/>
    <n v="55"/>
    <n v="825"/>
    <x v="3"/>
    <x v="7"/>
    <x v="11"/>
    <x v="5"/>
    <x v="0"/>
  </r>
  <r>
    <x v="447"/>
    <s v="2025-01-29"/>
    <s v="CUST-1079"/>
    <s v="P102"/>
    <n v="8"/>
    <n v="80"/>
    <n v="640"/>
    <x v="3"/>
    <x v="7"/>
    <x v="9"/>
    <x v="9"/>
    <x v="1"/>
  </r>
  <r>
    <x v="448"/>
    <s v="2022-05-15"/>
    <s v="CUST-1115"/>
    <s v="P201"/>
    <n v="9"/>
    <n v="65"/>
    <n v="585"/>
    <x v="0"/>
    <x v="5"/>
    <x v="7"/>
    <x v="4"/>
    <x v="2"/>
  </r>
  <r>
    <x v="449"/>
    <s v="2022-10-14"/>
    <s v="CUST-1018"/>
    <s v="C304"/>
    <n v="2"/>
    <n v="63"/>
    <n v="126"/>
    <x v="1"/>
    <x v="1"/>
    <x v="1"/>
    <x v="0"/>
    <x v="1"/>
  </r>
  <r>
    <x v="450"/>
    <s v="UNKNOWN"/>
    <s v="CUST-1138"/>
    <s v="P203"/>
    <n v="11"/>
    <n v="63"/>
    <n v="693"/>
    <x v="5"/>
    <x v="5"/>
    <x v="7"/>
    <x v="2"/>
    <x v="2"/>
  </r>
  <r>
    <x v="451"/>
    <s v="2023-04-16"/>
    <s v="UNKNOW"/>
    <s v="P103"/>
    <n v="17"/>
    <n v="90"/>
    <n v="1530"/>
    <x v="0"/>
    <x v="5"/>
    <x v="7"/>
    <x v="1"/>
    <x v="1"/>
  </r>
  <r>
    <x v="452"/>
    <s v="2022-09-10"/>
    <s v="CUST-1099"/>
    <s v="P201"/>
    <n v="2"/>
    <n v="70"/>
    <n v="140"/>
    <x v="2"/>
    <x v="9"/>
    <x v="12"/>
    <x v="1"/>
    <x v="0"/>
  </r>
  <r>
    <x v="453"/>
    <s v="2023-03-22"/>
    <s v="CUST-1067"/>
    <s v=" P202 "/>
    <n v="0.125"/>
    <n v="70"/>
    <n v="8.75"/>
    <x v="1"/>
    <x v="6"/>
    <x v="8"/>
    <x v="1"/>
    <x v="0"/>
  </r>
  <r>
    <x v="454"/>
    <s v="2024-01-24"/>
    <s v="CUST-1194"/>
    <s v="P101"/>
    <n v="9"/>
    <n v="85"/>
    <n v="765"/>
    <x v="3"/>
    <x v="7"/>
    <x v="9"/>
    <x v="9"/>
    <x v="2"/>
  </r>
  <r>
    <x v="455"/>
    <s v="2025-02-10"/>
    <s v="CUST-1177"/>
    <s v="P102"/>
    <n v="1"/>
    <n v="80"/>
    <n v="80"/>
    <x v="3"/>
    <x v="8"/>
    <x v="10"/>
    <x v="0"/>
    <x v="2"/>
  </r>
  <r>
    <x v="456"/>
    <s v="UNKNOWN"/>
    <s v="CUST-1140"/>
    <s v="P102"/>
    <n v="5"/>
    <n v="75"/>
    <n v="375"/>
    <x v="0"/>
    <x v="5"/>
    <x v="7"/>
    <x v="5"/>
    <x v="2"/>
  </r>
  <r>
    <x v="457"/>
    <s v="2025-02-03"/>
    <s v="UNKNOW"/>
    <s v="P202"/>
    <n v="9"/>
    <n v="65"/>
    <n v="585"/>
    <x v="2"/>
    <x v="2"/>
    <x v="2"/>
    <x v="4"/>
    <x v="0"/>
  </r>
  <r>
    <x v="458"/>
    <s v="2023-09-18"/>
    <s v="CUST-1128"/>
    <s v="P202"/>
    <n v="17"/>
    <n v="70"/>
    <n v="1190"/>
    <x v="1"/>
    <x v="1"/>
    <x v="1"/>
    <x v="1"/>
    <x v="0"/>
  </r>
  <r>
    <x v="459"/>
    <s v="2023-07-06"/>
    <s v="CUST-1165"/>
    <s v="P101"/>
    <n v="8"/>
    <n v="85"/>
    <n v="680"/>
    <x v="2"/>
    <x v="4"/>
    <x v="6"/>
    <x v="7"/>
    <x v="1"/>
  </r>
  <r>
    <x v="460"/>
    <s v="2024-11-11"/>
    <s v="CUST-1002"/>
    <s v="P102"/>
    <n v="7"/>
    <n v="80"/>
    <n v="560"/>
    <x v="3"/>
    <x v="10"/>
    <x v="9"/>
    <x v="9"/>
    <x v="2"/>
  </r>
  <r>
    <x v="461"/>
    <s v="2022-12-15"/>
    <s v="CUST-1087"/>
    <s v="P101"/>
    <n v="8"/>
    <n v="85"/>
    <n v="680"/>
    <x v="3"/>
    <x v="3"/>
    <x v="5"/>
    <x v="6"/>
    <x v="1"/>
  </r>
  <r>
    <x v="462"/>
    <s v=" 2022-01-01 "/>
    <s v="CUST-1173"/>
    <s v="P101"/>
    <n v="0.125"/>
    <n v="85"/>
    <n v="10.625"/>
    <x v="3"/>
    <x v="3"/>
    <x v="5"/>
    <x v="6"/>
    <x v="1"/>
  </r>
  <r>
    <x v="463"/>
    <s v="2023-05-23"/>
    <s v="CUST-1029"/>
    <s v="P101"/>
    <n v="3"/>
    <n v="85"/>
    <n v="255"/>
    <x v="2"/>
    <x v="2"/>
    <x v="2"/>
    <x v="5"/>
    <x v="1"/>
  </r>
  <r>
    <x v="464"/>
    <s v="2025-02-19"/>
    <s v="CUST-1050"/>
    <s v="C301"/>
    <n v="10"/>
    <n v="60"/>
    <n v="600"/>
    <x v="1"/>
    <x v="1"/>
    <x v="1"/>
    <x v="0"/>
    <x v="1"/>
  </r>
  <r>
    <x v="465"/>
    <s v=" 2022-11-24 "/>
    <s v="CUST-1068"/>
    <s v="P101"/>
    <n v="4"/>
    <n v="80"/>
    <n v="320"/>
    <x v="0"/>
    <x v="0"/>
    <x v="4"/>
    <x v="2"/>
    <x v="3"/>
  </r>
  <r>
    <x v="466"/>
    <s v="2026-09-05"/>
    <s v="CUST-1197"/>
    <s v="C302"/>
    <n v="20"/>
    <n v="45"/>
    <n v="900"/>
    <x v="6"/>
    <x v="0"/>
    <x v="4"/>
    <x v="4"/>
    <x v="2"/>
  </r>
  <r>
    <x v="467"/>
    <s v="2024-02-25"/>
    <s v="CUST-1101"/>
    <s v="C302"/>
    <n v="4"/>
    <n v="45"/>
    <n v="180"/>
    <x v="0"/>
    <x v="5"/>
    <x v="7"/>
    <x v="1"/>
    <x v="1"/>
  </r>
  <r>
    <x v="468"/>
    <s v="2026-08-25"/>
    <s v="CUST-1062"/>
    <s v="P103"/>
    <n v="3"/>
    <n v="95"/>
    <n v="285"/>
    <x v="2"/>
    <x v="2"/>
    <x v="2"/>
    <x v="0"/>
    <x v="1"/>
  </r>
  <r>
    <x v="469"/>
    <s v="2023-03-30"/>
    <s v=" CUST-1089 "/>
    <s v="P203"/>
    <n v="10"/>
    <n v="68"/>
    <n v="680"/>
    <x v="3"/>
    <x v="7"/>
    <x v="11"/>
    <x v="1"/>
    <x v="2"/>
  </r>
  <r>
    <x v="470"/>
    <s v="2022-06-26"/>
    <s v="CUST-1159"/>
    <s v="P103"/>
    <n v="19"/>
    <n v="95"/>
    <n v="1805"/>
    <x v="2"/>
    <x v="4"/>
    <x v="6"/>
    <x v="7"/>
    <x v="0"/>
  </r>
  <r>
    <x v="471"/>
    <s v="2024-07-17"/>
    <s v=" CUST-1026 "/>
    <s v="C301"/>
    <n v="2"/>
    <n v="50"/>
    <n v="100"/>
    <x v="5"/>
    <x v="5"/>
    <x v="7"/>
    <x v="5"/>
    <x v="0"/>
  </r>
  <r>
    <x v="472"/>
    <s v="2025-12-18"/>
    <s v="CUST-1110"/>
    <s v="P202"/>
    <n v="12"/>
    <n v="60"/>
    <n v="720"/>
    <x v="6"/>
    <x v="0"/>
    <x v="4"/>
    <x v="1"/>
    <x v="0"/>
  </r>
  <r>
    <x v="473"/>
    <s v="2022-02-11"/>
    <s v="CUST-1122"/>
    <s v="P102"/>
    <n v="15"/>
    <n v="80"/>
    <n v="1200"/>
    <x v="4"/>
    <x v="3"/>
    <x v="5"/>
    <x v="6"/>
    <x v="2"/>
  </r>
  <r>
    <x v="474"/>
    <s v="2023-04-27"/>
    <s v="CUST-1087"/>
    <s v="C301"/>
    <n v="3"/>
    <n v="55"/>
    <n v="165"/>
    <x v="3"/>
    <x v="3"/>
    <x v="5"/>
    <x v="6"/>
    <x v="0"/>
  </r>
  <r>
    <x v="475"/>
    <s v="UNKNOWN"/>
    <s v="CUST-1124"/>
    <s v="P201"/>
    <n v="6"/>
    <n v="65"/>
    <n v="390"/>
    <x v="0"/>
    <x v="5"/>
    <x v="7"/>
    <x v="5"/>
    <x v="1"/>
  </r>
  <r>
    <x v="476"/>
    <s v="2025-05-14"/>
    <s v="CUST-1084"/>
    <s v=" P203 "/>
    <n v="12"/>
    <n v="68"/>
    <n v="816"/>
    <x v="3"/>
    <x v="3"/>
    <x v="5"/>
    <x v="6"/>
    <x v="2"/>
  </r>
  <r>
    <x v="477"/>
    <s v="2023-06-11"/>
    <s v="CUST-1039"/>
    <s v="C301"/>
    <n v="6"/>
    <n v="55"/>
    <n v="330"/>
    <x v="7"/>
    <x v="8"/>
    <x v="10"/>
    <x v="2"/>
    <x v="2"/>
  </r>
  <r>
    <x v="478"/>
    <s v=" 2026-09-24 "/>
    <s v="CUST-1152"/>
    <s v="C304"/>
    <n v="3"/>
    <n v="58"/>
    <n v="174"/>
    <x v="3"/>
    <x v="7"/>
    <x v="9"/>
    <x v="9"/>
    <x v="0"/>
  </r>
  <r>
    <x v="479"/>
    <s v="2025-02-21"/>
    <s v="CUST-1074"/>
    <s v="C301"/>
    <n v="5"/>
    <n v="55"/>
    <n v="275"/>
    <x v="2"/>
    <x v="2"/>
    <x v="2"/>
    <x v="0"/>
    <x v="0"/>
  </r>
  <r>
    <x v="480"/>
    <s v="2026-09-02"/>
    <s v="CUST-1105"/>
    <s v="P101"/>
    <n v="10"/>
    <n v="80"/>
    <n v="800"/>
    <x v="0"/>
    <x v="0"/>
    <x v="4"/>
    <x v="4"/>
    <x v="1"/>
  </r>
  <r>
    <x v="481"/>
    <s v="2026-06-05"/>
    <s v="CUST-1188"/>
    <s v="C303"/>
    <n v="20"/>
    <n v="55"/>
    <n v="1100"/>
    <x v="0"/>
    <x v="5"/>
    <x v="0"/>
    <x v="1"/>
    <x v="1"/>
  </r>
  <r>
    <x v="482"/>
    <s v="2026-06-05"/>
    <s v="CUST-1188"/>
    <s v="C303"/>
    <n v="20"/>
    <n v="55"/>
    <n v="1100"/>
    <x v="0"/>
    <x v="5"/>
    <x v="7"/>
    <x v="1"/>
    <x v="1"/>
  </r>
  <r>
    <x v="483"/>
    <s v="2022-02-10"/>
    <s v="CUST-1034"/>
    <s v="P101"/>
    <n v="1"/>
    <n v="90"/>
    <n v="90"/>
    <x v="1"/>
    <x v="1"/>
    <x v="3"/>
    <x v="3"/>
    <x v="0"/>
  </r>
  <r>
    <x v="484"/>
    <s v="2025-05-02"/>
    <s v="CUST-1008"/>
    <s v=" P103 "/>
    <n v="19"/>
    <n v="95"/>
    <n v="1805"/>
    <x v="8"/>
    <x v="4"/>
    <x v="6"/>
    <x v="7"/>
    <x v="1"/>
  </r>
  <r>
    <x v="485"/>
    <s v="2024-10-31"/>
    <s v="CUST-1091"/>
    <s v="P202"/>
    <n v="6"/>
    <n v="60"/>
    <n v="360"/>
    <x v="0"/>
    <x v="5"/>
    <x v="7"/>
    <x v="0"/>
    <x v="1"/>
  </r>
  <r>
    <x v="486"/>
    <s v="2024-01-21"/>
    <s v="CUST-1172"/>
    <s v="P203"/>
    <n v="10"/>
    <n v="68"/>
    <n v="680"/>
    <x v="3"/>
    <x v="10"/>
    <x v="9"/>
    <x v="9"/>
    <x v="1"/>
  </r>
  <r>
    <x v="487"/>
    <s v="2025-05-23"/>
    <s v="#N/A"/>
    <s v="P201"/>
    <n v="7"/>
    <n v="75"/>
    <n v="525"/>
    <x v="1"/>
    <x v="1"/>
    <x v="1"/>
    <x v="1"/>
    <x v="2"/>
  </r>
  <r>
    <x v="488"/>
    <s v="2022-11-01"/>
    <s v="CUST-1115"/>
    <s v="C304"/>
    <n v="5"/>
    <n v="58"/>
    <n v="290"/>
    <x v="2"/>
    <x v="9"/>
    <x v="12"/>
    <x v="1"/>
    <x v="0"/>
  </r>
  <r>
    <x v="489"/>
    <s v=" 2022-03-01 "/>
    <s v="CUST-1058"/>
    <s v="P103"/>
    <n v="4"/>
    <n v="95"/>
    <n v="380"/>
    <x v="2"/>
    <x v="2"/>
    <x v="2"/>
    <x v="1"/>
    <x v="2"/>
  </r>
  <r>
    <x v="490"/>
    <s v="2022-11-04"/>
    <s v="CUST-1021"/>
    <s v="C303"/>
    <n v="14"/>
    <n v="55"/>
    <n v="770"/>
    <x v="0"/>
    <x v="0"/>
    <x v="4"/>
    <x v="5"/>
    <x v="1"/>
  </r>
  <r>
    <x v="491"/>
    <s v="2025-07-15"/>
    <s v="UNKNOW"/>
    <s v="P103"/>
    <n v="10"/>
    <n v="100"/>
    <n v="1000"/>
    <x v="1"/>
    <x v="1"/>
    <x v="3"/>
    <x v="3"/>
    <x v="1"/>
  </r>
  <r>
    <x v="492"/>
    <s v="2023-11-21"/>
    <s v="CUST-1151"/>
    <s v="P202"/>
    <n v="19"/>
    <n v="60"/>
    <n v="1140"/>
    <x v="0"/>
    <x v="5"/>
    <x v="7"/>
    <x v="2"/>
    <x v="0"/>
  </r>
  <r>
    <x v="493"/>
    <s v="2024-03-17"/>
    <s v="CUST-1149"/>
    <s v="P201"/>
    <n v="19"/>
    <n v="65"/>
    <n v="1235"/>
    <x v="0"/>
    <x v="5"/>
    <x v="7"/>
    <x v="1"/>
    <x v="2"/>
  </r>
  <r>
    <x v="494"/>
    <s v="2022-09-24"/>
    <s v="CUST-1058"/>
    <s v="P202"/>
    <n v="13"/>
    <n v="65"/>
    <n v="845"/>
    <x v="3"/>
    <x v="3"/>
    <x v="5"/>
    <x v="6"/>
    <x v="2"/>
  </r>
  <r>
    <x v="495"/>
    <s v="2026-05-25"/>
    <s v="CUST-1072"/>
    <s v="C302"/>
    <n v="3"/>
    <n v="45"/>
    <n v="135"/>
    <x v="0"/>
    <x v="5"/>
    <x v="7"/>
    <x v="1"/>
    <x v="0"/>
  </r>
  <r>
    <x v="496"/>
    <s v="2022-08-06"/>
    <s v="CUST-1157"/>
    <s v="P103"/>
    <n v="12"/>
    <n v="100"/>
    <n v="1200"/>
    <x v="1"/>
    <x v="6"/>
    <x v="8"/>
    <x v="4"/>
    <x v="0"/>
  </r>
  <r>
    <x v="497"/>
    <s v="2025-11-20"/>
    <s v="CUST-1058"/>
    <s v="C304"/>
    <n v="5"/>
    <n v="58"/>
    <n v="290"/>
    <x v="5"/>
    <x v="4"/>
    <x v="6"/>
    <x v="7"/>
    <x v="0"/>
  </r>
  <r>
    <x v="498"/>
    <s v="2024-01-14"/>
    <s v="CUST-1005"/>
    <s v="C303"/>
    <n v="18"/>
    <n v="60"/>
    <n v="1080"/>
    <x v="4"/>
    <x v="7"/>
    <x v="9"/>
    <x v="9"/>
    <x v="1"/>
  </r>
  <r>
    <x v="499"/>
    <s v="2025-04-24"/>
    <s v="CUST-1199"/>
    <s v="P203"/>
    <n v="10"/>
    <n v="68"/>
    <n v="680"/>
    <x v="2"/>
    <x v="10"/>
    <x v="0"/>
    <x v="7"/>
    <x v="0"/>
  </r>
  <r>
    <x v="500"/>
    <s v="2024-12-31"/>
    <s v="CUST-1095"/>
    <s v="P102"/>
    <n v="20"/>
    <n v="85"/>
    <n v="1700"/>
    <x v="1"/>
    <x v="6"/>
    <x v="8"/>
    <x v="5"/>
    <x v="1"/>
  </r>
  <r>
    <x v="501"/>
    <s v="2026-04-20"/>
    <s v="CUST-1111"/>
    <s v="P203"/>
    <n v="1"/>
    <n v="68"/>
    <n v="68"/>
    <x v="3"/>
    <x v="7"/>
    <x v="9"/>
    <x v="9"/>
    <x v="1"/>
  </r>
  <r>
    <x v="502"/>
    <s v="2024-08-06"/>
    <s v="CUST-1043"/>
    <s v="C301"/>
    <n v="12"/>
    <n v="60"/>
    <n v="720"/>
    <x v="9"/>
    <x v="1"/>
    <x v="1"/>
    <x v="1"/>
    <x v="1"/>
  </r>
  <r>
    <x v="503"/>
    <s v=" 2022-11-14 "/>
    <s v="CUST-1023"/>
    <s v="P103"/>
    <n v="8"/>
    <n v="90"/>
    <n v="720"/>
    <x v="0"/>
    <x v="0"/>
    <x v="4"/>
    <x v="1"/>
    <x v="0"/>
  </r>
  <r>
    <x v="504"/>
    <s v="2022-10-06"/>
    <s v="CUST-1029"/>
    <s v="P101"/>
    <n v="11"/>
    <n v="85"/>
    <n v="935"/>
    <x v="3"/>
    <x v="3"/>
    <x v="5"/>
    <x v="6"/>
    <x v="0"/>
  </r>
  <r>
    <x v="505"/>
    <s v="2025-03-24"/>
    <s v="CUST-1163"/>
    <s v="C303"/>
    <n v="3"/>
    <n v="60"/>
    <n v="180"/>
    <x v="2"/>
    <x v="4"/>
    <x v="6"/>
    <x v="7"/>
    <x v="0"/>
  </r>
  <r>
    <x v="506"/>
    <s v="2023-05-26"/>
    <s v="CUST-1070"/>
    <s v="P102"/>
    <n v="4"/>
    <n v="75"/>
    <n v="300"/>
    <x v="0"/>
    <x v="0"/>
    <x v="4"/>
    <x v="2"/>
    <x v="1"/>
  </r>
  <r>
    <x v="507"/>
    <s v="2024-10-01"/>
    <s v="CUST-1039"/>
    <s v="P203"/>
    <n v="0.5"/>
    <n v="73"/>
    <n v="36.5"/>
    <x v="1"/>
    <x v="1"/>
    <x v="1"/>
    <x v="4"/>
    <x v="1"/>
  </r>
  <r>
    <x v="508"/>
    <s v="2024-02-09"/>
    <s v="CUST-1072"/>
    <s v="P102"/>
    <n v="7.6923076923076927E-2"/>
    <n v="80"/>
    <n v="6.1538461538461542"/>
    <x v="4"/>
    <x v="7"/>
    <x v="9"/>
    <x v="9"/>
    <x v="0"/>
  </r>
  <r>
    <x v="509"/>
    <s v="2022-11-03"/>
    <s v="CUST-1149"/>
    <s v="P202"/>
    <n v="13"/>
    <n v="70"/>
    <n v="910"/>
    <x v="1"/>
    <x v="1"/>
    <x v="1"/>
    <x v="5"/>
    <x v="0"/>
  </r>
  <r>
    <x v="510"/>
    <s v="2024-08-09"/>
    <s v="CUST-1131"/>
    <s v="UNKNOW"/>
    <n v="14"/>
    <n v="60"/>
    <n v="840"/>
    <x v="2"/>
    <x v="4"/>
    <x v="6"/>
    <x v="7"/>
    <x v="2"/>
  </r>
  <r>
    <x v="511"/>
    <s v="2026-04-25"/>
    <s v="CUST-1132"/>
    <s v="C302"/>
    <n v="4"/>
    <n v="55"/>
    <n v="220"/>
    <x v="1"/>
    <x v="1"/>
    <x v="3"/>
    <x v="3"/>
    <x v="0"/>
  </r>
  <r>
    <x v="512"/>
    <s v="2024-10-10"/>
    <s v="CUST-1048"/>
    <s v="C301"/>
    <n v="5"/>
    <n v="50"/>
    <n v="250"/>
    <x v="0"/>
    <x v="5"/>
    <x v="7"/>
    <x v="4"/>
    <x v="0"/>
  </r>
  <r>
    <x v="513"/>
    <s v="2022-04-18"/>
    <s v="CUST-1101"/>
    <s v="C302"/>
    <n v="4"/>
    <n v="50"/>
    <n v="200"/>
    <x v="2"/>
    <x v="4"/>
    <x v="6"/>
    <x v="7"/>
    <x v="0"/>
  </r>
  <r>
    <x v="514"/>
    <s v="2025-08-15"/>
    <s v="CUST-1094"/>
    <s v="P101"/>
    <n v="9"/>
    <n v="85"/>
    <n v="765"/>
    <x v="3"/>
    <x v="8"/>
    <x v="10"/>
    <x v="4"/>
    <x v="0"/>
  </r>
  <r>
    <x v="515"/>
    <s v="2025-08-15"/>
    <s v="CUST-1094"/>
    <s v="P101"/>
    <n v="9"/>
    <n v="85"/>
    <n v="765"/>
    <x v="3"/>
    <x v="8"/>
    <x v="10"/>
    <x v="4"/>
    <x v="0"/>
  </r>
  <r>
    <x v="516"/>
    <s v="2023-01-19"/>
    <s v="CUST-1147"/>
    <s v="C304"/>
    <n v="1"/>
    <n v="58"/>
    <n v="58"/>
    <x v="5"/>
    <x v="8"/>
    <x v="10"/>
    <x v="4"/>
    <x v="1"/>
  </r>
  <r>
    <x v="517"/>
    <s v=" 2024-07-08 "/>
    <s v="CUST-1016"/>
    <s v="C304"/>
    <n v="19"/>
    <n v="58"/>
    <n v="1102"/>
    <x v="3"/>
    <x v="8"/>
    <x v="0"/>
    <x v="8"/>
    <x v="1"/>
  </r>
  <r>
    <x v="518"/>
    <s v="2023-05-04"/>
    <s v="CUST-1008"/>
    <s v="P202"/>
    <n v="11"/>
    <n v="70"/>
    <n v="770"/>
    <x v="1"/>
    <x v="1"/>
    <x v="3"/>
    <x v="3"/>
    <x v="2"/>
  </r>
  <r>
    <x v="519"/>
    <s v="2025-07-14"/>
    <s v="CUST-1122"/>
    <s v="C302"/>
    <n v="4"/>
    <n v="55"/>
    <n v="220"/>
    <x v="1"/>
    <x v="1"/>
    <x v="1"/>
    <x v="1"/>
    <x v="3"/>
  </r>
  <r>
    <x v="520"/>
    <s v="2022-05-27"/>
    <s v="CUST-1094"/>
    <s v="P102"/>
    <n v="3"/>
    <n v="75"/>
    <n v="225"/>
    <x v="0"/>
    <x v="0"/>
    <x v="4"/>
    <x v="1"/>
    <x v="0"/>
  </r>
  <r>
    <x v="521"/>
    <s v="2024-04-22"/>
    <s v="CUST-1069"/>
    <s v="UNKNOW"/>
    <n v="14"/>
    <n v="95"/>
    <n v="1330"/>
    <x v="2"/>
    <x v="2"/>
    <x v="2"/>
    <x v="1"/>
    <x v="2"/>
  </r>
  <r>
    <x v="522"/>
    <s v="2024-02-08"/>
    <s v="CUST-1024"/>
    <s v="C301"/>
    <n v="14"/>
    <n v="55"/>
    <n v="770"/>
    <x v="2"/>
    <x v="9"/>
    <x v="12"/>
    <x v="4"/>
    <x v="0"/>
  </r>
  <r>
    <x v="523"/>
    <s v="2023-07-25"/>
    <s v="CUST-1178"/>
    <s v="C301"/>
    <n v="10"/>
    <n v="55"/>
    <n v="550"/>
    <x v="3"/>
    <x v="8"/>
    <x v="10"/>
    <x v="2"/>
    <x v="2"/>
  </r>
  <r>
    <x v="524"/>
    <s v="2026-02-21"/>
    <s v="CUST-1128"/>
    <s v="P203"/>
    <n v="8"/>
    <n v="63"/>
    <n v="504"/>
    <x v="0"/>
    <x v="0"/>
    <x v="4"/>
    <x v="1"/>
    <x v="1"/>
  </r>
  <r>
    <x v="525"/>
    <s v="2024-12-27"/>
    <s v="CUST-1189"/>
    <s v="C302"/>
    <n v="5"/>
    <n v="50"/>
    <n v="250"/>
    <x v="3"/>
    <x v="8"/>
    <x v="0"/>
    <x v="4"/>
    <x v="0"/>
  </r>
  <r>
    <x v="526"/>
    <s v="2025-12-03"/>
    <s v="CUST-1029"/>
    <s v="P203"/>
    <n v="16"/>
    <n v="73"/>
    <n v="1168"/>
    <x v="9"/>
    <x v="6"/>
    <x v="0"/>
    <x v="0"/>
    <x v="1"/>
  </r>
  <r>
    <x v="527"/>
    <s v="2022-12-27"/>
    <s v="CUST-1195"/>
    <s v="P101"/>
    <n v="9"/>
    <n v="85"/>
    <n v="765"/>
    <x v="2"/>
    <x v="9"/>
    <x v="12"/>
    <x v="5"/>
    <x v="1"/>
  </r>
  <r>
    <x v="528"/>
    <s v=" 2022-09-04 "/>
    <s v="CUST-1020"/>
    <s v="P101"/>
    <n v="2"/>
    <n v="80"/>
    <n v="160"/>
    <x v="0"/>
    <x v="5"/>
    <x v="7"/>
    <x v="0"/>
    <x v="1"/>
  </r>
  <r>
    <x v="529"/>
    <s v="2022-11-28"/>
    <s v="CUST-1094"/>
    <s v="C302"/>
    <n v="16"/>
    <n v="50"/>
    <n v="800"/>
    <x v="3"/>
    <x v="3"/>
    <x v="5"/>
    <x v="8"/>
    <x v="1"/>
  </r>
  <r>
    <x v="530"/>
    <s v="2023-11-18"/>
    <s v="CUST-1184"/>
    <s v="P102"/>
    <n v="1"/>
    <n v="75"/>
    <n v="75"/>
    <x v="0"/>
    <x v="5"/>
    <x v="7"/>
    <x v="4"/>
    <x v="0"/>
  </r>
  <r>
    <x v="531"/>
    <s v="2025-11-27"/>
    <s v="CUST-1014"/>
    <s v="P101"/>
    <n v="19"/>
    <n v="90"/>
    <n v="1710"/>
    <x v="1"/>
    <x v="1"/>
    <x v="3"/>
    <x v="3"/>
    <x v="0"/>
  </r>
  <r>
    <x v="532"/>
    <s v="2024-05-13"/>
    <s v="CUST-1137"/>
    <s v="P203"/>
    <n v="16"/>
    <n v="73"/>
    <n v="1168"/>
    <x v="1"/>
    <x v="1"/>
    <x v="3"/>
    <x v="3"/>
    <x v="0"/>
  </r>
  <r>
    <x v="533"/>
    <s v="2024-05-13"/>
    <s v="CUST-1137"/>
    <s v="P203"/>
    <n v="16"/>
    <n v="73"/>
    <n v="1168"/>
    <x v="1"/>
    <x v="1"/>
    <x v="3"/>
    <x v="3"/>
    <x v="0"/>
  </r>
  <r>
    <x v="534"/>
    <s v="2022-09-13"/>
    <s v="CUST-1089"/>
    <s v="P202"/>
    <n v="15"/>
    <n v="65"/>
    <n v="975"/>
    <x v="2"/>
    <x v="4"/>
    <x v="6"/>
    <x v="7"/>
    <x v="1"/>
  </r>
  <r>
    <x v="535"/>
    <s v="2023-03-15"/>
    <s v="CUST-1162"/>
    <s v="P101"/>
    <n v="6"/>
    <n v="85"/>
    <n v="510"/>
    <x v="3"/>
    <x v="8"/>
    <x v="10"/>
    <x v="2"/>
    <x v="2"/>
  </r>
  <r>
    <x v="536"/>
    <s v="2025-12-20"/>
    <s v="CUST-1062"/>
    <s v="C303"/>
    <n v="20"/>
    <n v="65"/>
    <n v="1300"/>
    <x v="1"/>
    <x v="1"/>
    <x v="3"/>
    <x v="3"/>
    <x v="0"/>
  </r>
  <r>
    <x v="537"/>
    <s v="2023-04-19"/>
    <s v="CUST-1164"/>
    <s v="C304"/>
    <n v="3"/>
    <n v="58"/>
    <n v="174"/>
    <x v="3"/>
    <x v="8"/>
    <x v="10"/>
    <x v="0"/>
    <x v="2"/>
  </r>
  <r>
    <x v="538"/>
    <s v="2026-07-30"/>
    <s v="CUST-1047"/>
    <s v="P101"/>
    <n v="2"/>
    <n v="85"/>
    <n v="170"/>
    <x v="2"/>
    <x v="9"/>
    <x v="12"/>
    <x v="5"/>
    <x v="2"/>
  </r>
  <r>
    <x v="539"/>
    <s v="2024-11-24"/>
    <s v="CUST-1009"/>
    <s v="P103"/>
    <n v="1"/>
    <n v="100"/>
    <n v="100"/>
    <x v="1"/>
    <x v="1"/>
    <x v="3"/>
    <x v="3"/>
    <x v="2"/>
  </r>
  <r>
    <x v="540"/>
    <s v="2023-03-14"/>
    <s v=" CUST-1160 "/>
    <s v="P201"/>
    <n v="15"/>
    <n v="65"/>
    <n v="975"/>
    <x v="0"/>
    <x v="5"/>
    <x v="7"/>
    <x v="4"/>
    <x v="0"/>
  </r>
  <r>
    <x v="541"/>
    <s v="2025-07-07"/>
    <s v="CUST-1008"/>
    <s v="C302"/>
    <n v="7"/>
    <n v="45"/>
    <n v="315"/>
    <x v="0"/>
    <x v="5"/>
    <x v="7"/>
    <x v="4"/>
    <x v="0"/>
  </r>
  <r>
    <x v="542"/>
    <s v="2026-08-13"/>
    <s v="CUST-1160"/>
    <s v="C303"/>
    <n v="1"/>
    <n v="55"/>
    <n v="55"/>
    <x v="0"/>
    <x v="0"/>
    <x v="4"/>
    <x v="5"/>
    <x v="2"/>
  </r>
  <r>
    <x v="543"/>
    <s v="2024-03-02"/>
    <s v="CUST-1033"/>
    <s v="C301"/>
    <n v="20"/>
    <n v="50"/>
    <n v="1000"/>
    <x v="0"/>
    <x v="5"/>
    <x v="7"/>
    <x v="4"/>
    <x v="2"/>
  </r>
  <r>
    <x v="544"/>
    <s v="2024-09-30"/>
    <s v="CUST-1058"/>
    <s v="C302"/>
    <n v="4"/>
    <n v="55"/>
    <n v="220"/>
    <x v="1"/>
    <x v="6"/>
    <x v="8"/>
    <x v="4"/>
    <x v="1"/>
  </r>
  <r>
    <x v="545"/>
    <s v="2024-11-18"/>
    <s v="CUST-1181"/>
    <s v="P103"/>
    <n v="6"/>
    <n v="95"/>
    <n v="570"/>
    <x v="2"/>
    <x v="4"/>
    <x v="6"/>
    <x v="7"/>
    <x v="0"/>
  </r>
  <r>
    <x v="546"/>
    <s v="2023-03-31"/>
    <s v="CUST-1031"/>
    <s v="P102"/>
    <n v="18"/>
    <n v="75"/>
    <n v="1350"/>
    <x v="0"/>
    <x v="5"/>
    <x v="7"/>
    <x v="8"/>
    <x v="2"/>
  </r>
  <r>
    <x v="547"/>
    <s v="UNKNOWN"/>
    <s v="CUST-1050"/>
    <s v="C303"/>
    <n v="12"/>
    <n v="65"/>
    <n v="780"/>
    <x v="1"/>
    <x v="6"/>
    <x v="8"/>
    <x v="2"/>
    <x v="1"/>
  </r>
  <r>
    <x v="548"/>
    <s v="2024-11-17"/>
    <s v="CUST-1057"/>
    <s v="P102"/>
    <n v="2"/>
    <n v="85"/>
    <n v="170"/>
    <x v="5"/>
    <x v="6"/>
    <x v="8"/>
    <x v="0"/>
    <x v="2"/>
  </r>
  <r>
    <x v="549"/>
    <s v="2025-03-12"/>
    <s v="CUST-1080"/>
    <s v="P102"/>
    <n v="17"/>
    <n v="80"/>
    <n v="1360"/>
    <x v="3"/>
    <x v="3"/>
    <x v="5"/>
    <x v="6"/>
    <x v="1"/>
  </r>
  <r>
    <x v="550"/>
    <s v="2024-12-10"/>
    <s v="CUST-1018"/>
    <s v="P103"/>
    <n v="3"/>
    <n v="90"/>
    <n v="270"/>
    <x v="0"/>
    <x v="0"/>
    <x v="4"/>
    <x v="1"/>
    <x v="2"/>
  </r>
  <r>
    <x v="551"/>
    <s v="2022-12-16"/>
    <s v="CUST-1131"/>
    <s v="P101"/>
    <n v="9"/>
    <n v="90"/>
    <n v="810"/>
    <x v="1"/>
    <x v="1"/>
    <x v="3"/>
    <x v="3"/>
    <x v="1"/>
  </r>
  <r>
    <x v="552"/>
    <s v="2022-01-27"/>
    <s v="CUST-1092"/>
    <s v="P203"/>
    <n v="20"/>
    <n v="68"/>
    <n v="1360"/>
    <x v="2"/>
    <x v="4"/>
    <x v="6"/>
    <x v="7"/>
    <x v="2"/>
  </r>
  <r>
    <x v="553"/>
    <s v="2022-11-21"/>
    <s v="CUST-1161"/>
    <s v="C303"/>
    <n v="5"/>
    <n v="60"/>
    <n v="300"/>
    <x v="3"/>
    <x v="7"/>
    <x v="11"/>
    <x v="1"/>
    <x v="2"/>
  </r>
  <r>
    <x v="554"/>
    <s v="2024-10-17"/>
    <s v="CUST-1089"/>
    <s v="C304"/>
    <n v="8"/>
    <n v="63"/>
    <n v="504"/>
    <x v="1"/>
    <x v="1"/>
    <x v="3"/>
    <x v="3"/>
    <x v="2"/>
  </r>
  <r>
    <x v="555"/>
    <s v="2025-04-17"/>
    <s v="CUST-1191"/>
    <s v="C302"/>
    <n v="17"/>
    <n v="55"/>
    <n v="935"/>
    <x v="1"/>
    <x v="1"/>
    <x v="1"/>
    <x v="2"/>
    <x v="0"/>
  </r>
  <r>
    <x v="556"/>
    <s v="2023-09-05"/>
    <s v="CUST-1065"/>
    <s v="C302"/>
    <n v="7.1428571428571425E-2"/>
    <n v="55"/>
    <n v="3.9285714285714284"/>
    <x v="1"/>
    <x v="1"/>
    <x v="3"/>
    <x v="3"/>
    <x v="2"/>
  </r>
  <r>
    <x v="557"/>
    <s v="2025-08-19"/>
    <s v="CUST-1057"/>
    <s v="C302"/>
    <n v="12"/>
    <n v="50"/>
    <n v="600"/>
    <x v="3"/>
    <x v="7"/>
    <x v="11"/>
    <x v="5"/>
    <x v="1"/>
  </r>
  <r>
    <x v="558"/>
    <s v="UNKNOWN"/>
    <s v="CUST-1172"/>
    <s v="P102"/>
    <n v="1"/>
    <n v="80"/>
    <n v="80"/>
    <x v="2"/>
    <x v="9"/>
    <x v="12"/>
    <x v="0"/>
    <x v="1"/>
  </r>
  <r>
    <x v="559"/>
    <s v="2022-04-14"/>
    <s v="CUST-1022"/>
    <s v="C303"/>
    <n v="5"/>
    <n v="55"/>
    <n v="275"/>
    <x v="0"/>
    <x v="5"/>
    <x v="7"/>
    <x v="4"/>
    <x v="1"/>
  </r>
  <r>
    <x v="560"/>
    <s v="2026-02-15"/>
    <s v="CUST-1176"/>
    <s v="P203"/>
    <n v="14"/>
    <n v="73"/>
    <n v="1022"/>
    <x v="1"/>
    <x v="6"/>
    <x v="8"/>
    <x v="4"/>
    <x v="2"/>
  </r>
  <r>
    <x v="561"/>
    <s v="2025-02-16"/>
    <s v="CUST-1113"/>
    <s v="P102"/>
    <n v="19"/>
    <n v="80"/>
    <n v="1520"/>
    <x v="5"/>
    <x v="9"/>
    <x v="12"/>
    <x v="5"/>
    <x v="1"/>
  </r>
  <r>
    <x v="562"/>
    <s v="2026-07-30"/>
    <s v="CUST-1136"/>
    <s v="C304"/>
    <n v="18"/>
    <n v="58"/>
    <n v="1044"/>
    <x v="2"/>
    <x v="9"/>
    <x v="12"/>
    <x v="0"/>
    <x v="1"/>
  </r>
  <r>
    <x v="563"/>
    <s v="#N/A"/>
    <s v="UNKNOW"/>
    <s v="C301"/>
    <n v="7"/>
    <n v="55"/>
    <n v="385"/>
    <x v="3"/>
    <x v="7"/>
    <x v="11"/>
    <x v="0"/>
    <x v="2"/>
  </r>
  <r>
    <x v="564"/>
    <s v="2026-03-26"/>
    <s v="CUST-1049"/>
    <s v="P101"/>
    <n v="7"/>
    <n v="85"/>
    <n v="595"/>
    <x v="7"/>
    <x v="2"/>
    <x v="2"/>
    <x v="2"/>
    <x v="0"/>
  </r>
  <r>
    <x v="565"/>
    <s v="2024-09-03"/>
    <s v="CUST-1003"/>
    <s v="P202"/>
    <n v="8"/>
    <n v="60"/>
    <n v="480"/>
    <x v="0"/>
    <x v="5"/>
    <x v="7"/>
    <x v="2"/>
    <x v="2"/>
  </r>
  <r>
    <x v="566"/>
    <s v="2024-04-03"/>
    <s v="CUST-1008"/>
    <s v="C304"/>
    <n v="5"/>
    <n v="58"/>
    <n v="290"/>
    <x v="3"/>
    <x v="7"/>
    <x v="11"/>
    <x v="0"/>
    <x v="0"/>
  </r>
  <r>
    <x v="567"/>
    <s v="2023-04-01"/>
    <s v="CUST-1056"/>
    <s v="C302"/>
    <n v="5"/>
    <n v="50"/>
    <n v="250"/>
    <x v="3"/>
    <x v="7"/>
    <x v="9"/>
    <x v="10"/>
    <x v="4"/>
  </r>
  <r>
    <x v="568"/>
    <s v="2024-09-30"/>
    <s v="CUST-1026"/>
    <s v="C303"/>
    <n v="12"/>
    <n v="55"/>
    <n v="660"/>
    <x v="0"/>
    <x v="0"/>
    <x v="4"/>
    <x v="0"/>
    <x v="1"/>
  </r>
  <r>
    <x v="569"/>
    <s v="2026-07-29"/>
    <s v="CUST-1112"/>
    <s v="C304"/>
    <n v="6"/>
    <n v="63"/>
    <n v="378"/>
    <x v="9"/>
    <x v="1"/>
    <x v="3"/>
    <x v="8"/>
    <x v="2"/>
  </r>
  <r>
    <x v="570"/>
    <s v="2026-07-04"/>
    <s v="CUST-1136"/>
    <s v="P101"/>
    <n v="13"/>
    <n v="85"/>
    <n v="1105"/>
    <x v="2"/>
    <x v="9"/>
    <x v="12"/>
    <x v="8"/>
    <x v="1"/>
  </r>
  <r>
    <x v="571"/>
    <s v="2026-07-04"/>
    <s v="CUST-1136"/>
    <s v="P101"/>
    <n v="13"/>
    <n v="85"/>
    <n v="1105"/>
    <x v="2"/>
    <x v="9"/>
    <x v="12"/>
    <x v="4"/>
    <x v="1"/>
  </r>
  <r>
    <x v="572"/>
    <s v="2025-04-20"/>
    <s v=" CUST-1059 "/>
    <s v="P202"/>
    <n v="4"/>
    <n v="65"/>
    <n v="260"/>
    <x v="2"/>
    <x v="9"/>
    <x v="12"/>
    <x v="0"/>
    <x v="2"/>
  </r>
  <r>
    <x v="573"/>
    <s v="2023-05-26"/>
    <s v="CUST-1119"/>
    <s v="P202"/>
    <n v="9"/>
    <n v="70"/>
    <n v="630"/>
    <x v="1"/>
    <x v="1"/>
    <x v="3"/>
    <x v="3"/>
    <x v="3"/>
  </r>
  <r>
    <x v="574"/>
    <s v="2023-03-07"/>
    <s v="CUST-1003"/>
    <s v="P103"/>
    <n v="1"/>
    <n v="95"/>
    <n v="95"/>
    <x v="3"/>
    <x v="7"/>
    <x v="11"/>
    <x v="1"/>
    <x v="1"/>
  </r>
  <r>
    <x v="575"/>
    <s v="2025-11-22"/>
    <s v="CUST-1129"/>
    <s v="C301"/>
    <n v="11"/>
    <n v="55"/>
    <n v="605"/>
    <x v="3"/>
    <x v="3"/>
    <x v="5"/>
    <x v="6"/>
    <x v="0"/>
  </r>
  <r>
    <x v="576"/>
    <s v="2024-07-09"/>
    <s v="CUST-1130"/>
    <s v="C304"/>
    <n v="2"/>
    <n v="63"/>
    <n v="126"/>
    <x v="1"/>
    <x v="6"/>
    <x v="8"/>
    <x v="4"/>
    <x v="2"/>
  </r>
  <r>
    <x v="577"/>
    <s v="2023-10-10"/>
    <s v="CUST-1011"/>
    <s v="C303"/>
    <n v="17"/>
    <n v="65"/>
    <n v="1105"/>
    <x v="1"/>
    <x v="1"/>
    <x v="1"/>
    <x v="0"/>
    <x v="1"/>
  </r>
  <r>
    <x v="578"/>
    <s v="2024-01-22"/>
    <s v="CUST-1028"/>
    <s v="P101"/>
    <n v="20"/>
    <n v="85"/>
    <n v="1700"/>
    <x v="3"/>
    <x v="7"/>
    <x v="11"/>
    <x v="5"/>
    <x v="2"/>
  </r>
  <r>
    <x v="579"/>
    <s v="2025-10-07"/>
    <s v="CUST-1116"/>
    <s v="P202"/>
    <n v="18"/>
    <n v="65"/>
    <n v="1170"/>
    <x v="2"/>
    <x v="2"/>
    <x v="2"/>
    <x v="4"/>
    <x v="2"/>
  </r>
  <r>
    <x v="580"/>
    <s v="2024-01-17"/>
    <s v="CUST-1133"/>
    <s v="C302"/>
    <n v="3"/>
    <n v="45"/>
    <n v="135"/>
    <x v="0"/>
    <x v="0"/>
    <x v="4"/>
    <x v="1"/>
    <x v="2"/>
  </r>
  <r>
    <x v="581"/>
    <s v="2023-02-07"/>
    <s v="CUST-1149"/>
    <s v="P101"/>
    <n v="19"/>
    <n v="80"/>
    <n v="1520"/>
    <x v="0"/>
    <x v="0"/>
    <x v="4"/>
    <x v="1"/>
    <x v="0"/>
  </r>
  <r>
    <x v="582"/>
    <s v="2026-01-20"/>
    <s v="CUST-1188"/>
    <s v="C304"/>
    <n v="16"/>
    <n v="53"/>
    <n v="848"/>
    <x v="0"/>
    <x v="5"/>
    <x v="7"/>
    <x v="2"/>
    <x v="2"/>
  </r>
  <r>
    <x v="583"/>
    <s v="2026-01-20"/>
    <s v="CUST-1188"/>
    <s v="C304"/>
    <n v="16"/>
    <n v="53"/>
    <n v="848"/>
    <x v="0"/>
    <x v="5"/>
    <x v="7"/>
    <x v="2"/>
    <x v="2"/>
  </r>
  <r>
    <x v="584"/>
    <s v="2026-09-26"/>
    <s v="CUST-1081"/>
    <s v="C301"/>
    <n v="10"/>
    <n v="55"/>
    <n v="550"/>
    <x v="2"/>
    <x v="4"/>
    <x v="6"/>
    <x v="7"/>
    <x v="2"/>
  </r>
  <r>
    <x v="585"/>
    <s v="2024-10-27"/>
    <s v="CUST-1091"/>
    <s v="C304"/>
    <n v="4"/>
    <n v="58"/>
    <n v="232"/>
    <x v="2"/>
    <x v="4"/>
    <x v="6"/>
    <x v="7"/>
    <x v="2"/>
  </r>
  <r>
    <x v="586"/>
    <s v="2022-04-24"/>
    <s v="UNKNOW"/>
    <s v="P203"/>
    <n v="14"/>
    <n v="68"/>
    <n v="952"/>
    <x v="8"/>
    <x v="4"/>
    <x v="6"/>
    <x v="7"/>
    <x v="3"/>
  </r>
  <r>
    <x v="587"/>
    <s v="2022-04-06"/>
    <s v="CUST-1033"/>
    <s v="C302"/>
    <n v="11"/>
    <n v="50"/>
    <n v="550"/>
    <x v="2"/>
    <x v="9"/>
    <x v="12"/>
    <x v="2"/>
    <x v="2"/>
  </r>
  <r>
    <x v="588"/>
    <s v="2023-04-11"/>
    <s v="CUST-1167"/>
    <s v="P202"/>
    <n v="11"/>
    <n v="65"/>
    <n v="715"/>
    <x v="3"/>
    <x v="8"/>
    <x v="10"/>
    <x v="0"/>
    <x v="0"/>
  </r>
  <r>
    <x v="589"/>
    <s v="2026-07-12"/>
    <s v="CUST-1135"/>
    <s v="C303"/>
    <n v="3"/>
    <n v="60"/>
    <n v="180"/>
    <x v="2"/>
    <x v="9"/>
    <x v="12"/>
    <x v="0"/>
    <x v="0"/>
  </r>
  <r>
    <x v="590"/>
    <s v="2023-03-25"/>
    <s v="CUST-1060"/>
    <s v="P201"/>
    <n v="11"/>
    <n v="65"/>
    <n v="715"/>
    <x v="0"/>
    <x v="0"/>
    <x v="4"/>
    <x v="2"/>
    <x v="0"/>
  </r>
  <r>
    <x v="591"/>
    <s v="2023-04-04"/>
    <s v="CUST-1073"/>
    <s v="P102"/>
    <n v="6"/>
    <n v="75"/>
    <n v="450"/>
    <x v="0"/>
    <x v="10"/>
    <x v="7"/>
    <x v="0"/>
    <x v="0"/>
  </r>
  <r>
    <x v="592"/>
    <s v="2024-08-14"/>
    <s v="CUST-1129"/>
    <s v="P101"/>
    <n v="1"/>
    <n v="85"/>
    <n v="85"/>
    <x v="2"/>
    <x v="4"/>
    <x v="6"/>
    <x v="7"/>
    <x v="0"/>
  </r>
  <r>
    <x v="593"/>
    <s v="2022-01-12"/>
    <s v="CUST-1136"/>
    <s v="P102"/>
    <n v="13"/>
    <n v="75"/>
    <n v="975"/>
    <x v="0"/>
    <x v="5"/>
    <x v="7"/>
    <x v="1"/>
    <x v="0"/>
  </r>
  <r>
    <x v="594"/>
    <s v="2024-12-18"/>
    <s v="CUST-1118"/>
    <s v="P102"/>
    <n v="1"/>
    <n v="80"/>
    <n v="80"/>
    <x v="3"/>
    <x v="3"/>
    <x v="5"/>
    <x v="6"/>
    <x v="0"/>
  </r>
  <r>
    <x v="595"/>
    <s v="2022-12-27"/>
    <s v="CUST-1087"/>
    <s v="C303"/>
    <n v="1"/>
    <n v="60"/>
    <n v="60"/>
    <x v="2"/>
    <x v="9"/>
    <x v="12"/>
    <x v="4"/>
    <x v="0"/>
  </r>
  <r>
    <x v="596"/>
    <s v="2026-01-06"/>
    <s v="CUST-1051"/>
    <s v="P103"/>
    <n v="12"/>
    <n v="95"/>
    <n v="1140"/>
    <x v="2"/>
    <x v="9"/>
    <x v="12"/>
    <x v="4"/>
    <x v="2"/>
  </r>
  <r>
    <x v="597"/>
    <s v="2022-07-15"/>
    <s v="CUST-1061"/>
    <s v="P201"/>
    <n v="9"/>
    <n v="70"/>
    <n v="630"/>
    <x v="3"/>
    <x v="7"/>
    <x v="9"/>
    <x v="9"/>
    <x v="0"/>
  </r>
  <r>
    <x v="598"/>
    <s v="2022-04-25"/>
    <s v="CUST-1175"/>
    <s v="C304"/>
    <n v="12"/>
    <n v="58"/>
    <n v="696"/>
    <x v="3"/>
    <x v="7"/>
    <x v="11"/>
    <x v="1"/>
    <x v="0"/>
  </r>
  <r>
    <x v="599"/>
    <s v="2025-05-12"/>
    <s v="CUST-1185"/>
    <s v="C304"/>
    <n v="15"/>
    <n v="58"/>
    <n v="870"/>
    <x v="2"/>
    <x v="9"/>
    <x v="12"/>
    <x v="2"/>
    <x v="1"/>
  </r>
  <r>
    <x v="600"/>
    <s v="2026-05-17"/>
    <s v="CUST-1118"/>
    <s v="UNKNOW"/>
    <n v="7"/>
    <n v="68"/>
    <n v="476"/>
    <x v="2"/>
    <x v="9"/>
    <x v="12"/>
    <x v="4"/>
    <x v="2"/>
  </r>
  <r>
    <x v="601"/>
    <s v="2023-11-19"/>
    <s v="CUST-1094"/>
    <s v="C304"/>
    <n v="19"/>
    <n v="63"/>
    <n v="1197"/>
    <x v="1"/>
    <x v="10"/>
    <x v="8"/>
    <x v="0"/>
    <x v="2"/>
  </r>
  <r>
    <x v="602"/>
    <s v="2025-07-16"/>
    <s v="CUST-1076"/>
    <s v="P101"/>
    <n v="19"/>
    <n v="80"/>
    <n v="1520"/>
    <x v="0"/>
    <x v="0"/>
    <x v="0"/>
    <x v="2"/>
    <x v="2"/>
  </r>
  <r>
    <x v="603"/>
    <s v="2025-07-16"/>
    <s v="CUST-1076"/>
    <s v="P101"/>
    <n v="19"/>
    <n v="80"/>
    <n v="1520"/>
    <x v="0"/>
    <x v="0"/>
    <x v="4"/>
    <x v="2"/>
    <x v="2"/>
  </r>
  <r>
    <x v="604"/>
    <s v="2025-01-21"/>
    <s v="CUST-1048"/>
    <s v="C301"/>
    <n v="19"/>
    <n v="50"/>
    <n v="950"/>
    <x v="0"/>
    <x v="5"/>
    <x v="7"/>
    <x v="0"/>
    <x v="1"/>
  </r>
  <r>
    <x v="605"/>
    <s v="2026-07-05"/>
    <s v=" CUST-1084 "/>
    <s v="P102"/>
    <n v="2"/>
    <n v="75"/>
    <n v="150"/>
    <x v="0"/>
    <x v="0"/>
    <x v="4"/>
    <x v="1"/>
    <x v="2"/>
  </r>
  <r>
    <x v="606"/>
    <s v=" 2022-12-01 "/>
    <s v="CUST-1170"/>
    <s v="C302"/>
    <n v="16"/>
    <n v="55"/>
    <n v="880"/>
    <x v="1"/>
    <x v="1"/>
    <x v="1"/>
    <x v="0"/>
    <x v="0"/>
  </r>
  <r>
    <x v="607"/>
    <s v="2022-12-01"/>
    <s v="CUST-1170"/>
    <s v="C302"/>
    <n v="16"/>
    <n v="55"/>
    <n v="880"/>
    <x v="1"/>
    <x v="1"/>
    <x v="1"/>
    <x v="0"/>
    <x v="0"/>
  </r>
  <r>
    <x v="608"/>
    <s v="2022-07-27"/>
    <s v="CUST-1079"/>
    <s v="P203"/>
    <n v="4"/>
    <n v="63"/>
    <n v="252"/>
    <x v="0"/>
    <x v="0"/>
    <x v="4"/>
    <x v="0"/>
    <x v="1"/>
  </r>
  <r>
    <x v="609"/>
    <s v="2026-07-30"/>
    <s v="CUST-1073"/>
    <s v="C302"/>
    <n v="11"/>
    <n v="50"/>
    <n v="550"/>
    <x v="3"/>
    <x v="7"/>
    <x v="11"/>
    <x v="2"/>
    <x v="0"/>
  </r>
  <r>
    <x v="610"/>
    <s v="2024-03-07"/>
    <s v=" CUST-1085 "/>
    <s v="P102"/>
    <n v="18"/>
    <n v="80"/>
    <n v="1440"/>
    <x v="3"/>
    <x v="8"/>
    <x v="10"/>
    <x v="5"/>
    <x v="1"/>
  </r>
  <r>
    <x v="611"/>
    <s v="2022-02-06"/>
    <s v="CUST-1182"/>
    <s v="C302"/>
    <n v="16"/>
    <n v="45"/>
    <n v="720"/>
    <x v="0"/>
    <x v="0"/>
    <x v="4"/>
    <x v="2"/>
    <x v="2"/>
  </r>
  <r>
    <x v="612"/>
    <s v="2025-06-17"/>
    <s v="CUST-1127"/>
    <s v="P102"/>
    <n v="9"/>
    <n v="75"/>
    <n v="675"/>
    <x v="0"/>
    <x v="5"/>
    <x v="7"/>
    <x v="2"/>
    <x v="2"/>
  </r>
  <r>
    <x v="613"/>
    <s v="2025-05-15"/>
    <s v="CUST-1051"/>
    <s v="C304"/>
    <n v="20"/>
    <n v="63"/>
    <n v="1260"/>
    <x v="1"/>
    <x v="6"/>
    <x v="8"/>
    <x v="0"/>
    <x v="2"/>
  </r>
  <r>
    <x v="614"/>
    <s v="2025-10-05"/>
    <s v="CUST-1016"/>
    <s v="P203"/>
    <n v="18"/>
    <n v="68"/>
    <n v="1224"/>
    <x v="2"/>
    <x v="4"/>
    <x v="6"/>
    <x v="7"/>
    <x v="0"/>
  </r>
  <r>
    <x v="615"/>
    <s v="2022-10-09"/>
    <s v="CUST-1111"/>
    <s v="P102"/>
    <n v="7"/>
    <n v="80"/>
    <n v="560"/>
    <x v="2"/>
    <x v="2"/>
    <x v="2"/>
    <x v="1"/>
    <x v="2"/>
  </r>
  <r>
    <x v="616"/>
    <s v="2024-07-27"/>
    <s v="CUST-1001"/>
    <s v="C304"/>
    <n v="5"/>
    <n v="58"/>
    <n v="290"/>
    <x v="8"/>
    <x v="9"/>
    <x v="12"/>
    <x v="2"/>
    <x v="1"/>
  </r>
  <r>
    <x v="617"/>
    <s v="2024-11-28"/>
    <s v="CUST-1198"/>
    <s v="P203"/>
    <n v="17"/>
    <n v="68"/>
    <n v="1156"/>
    <x v="2"/>
    <x v="9"/>
    <x v="12"/>
    <x v="0"/>
    <x v="2"/>
  </r>
  <r>
    <x v="618"/>
    <s v="2023-09-30"/>
    <s v="CUST-1188"/>
    <s v="P202"/>
    <n v="10"/>
    <n v="60"/>
    <n v="600"/>
    <x v="0"/>
    <x v="0"/>
    <x v="4"/>
    <x v="2"/>
    <x v="2"/>
  </r>
  <r>
    <x v="619"/>
    <s v="2022-09-30"/>
    <s v="CUST-1039"/>
    <s v="P101"/>
    <n v="14"/>
    <n v="90"/>
    <n v="1260"/>
    <x v="1"/>
    <x v="6"/>
    <x v="0"/>
    <x v="2"/>
    <x v="2"/>
  </r>
  <r>
    <x v="620"/>
    <s v="2026-06-11"/>
    <s v="CUST-1187"/>
    <s v="P201"/>
    <n v="12"/>
    <n v="75"/>
    <n v="900"/>
    <x v="1"/>
    <x v="6"/>
    <x v="8"/>
    <x v="1"/>
    <x v="2"/>
  </r>
  <r>
    <x v="621"/>
    <s v="2023-11-17"/>
    <s v="CUST-1135"/>
    <s v=" P102 "/>
    <n v="1"/>
    <n v="75"/>
    <n v="75"/>
    <x v="0"/>
    <x v="5"/>
    <x v="7"/>
    <x v="10"/>
    <x v="1"/>
  </r>
  <r>
    <x v="622"/>
    <s v="UNKNOWN"/>
    <s v="CUST-1176"/>
    <s v="C303"/>
    <n v="19"/>
    <n v="65"/>
    <n v="1235"/>
    <x v="1"/>
    <x v="6"/>
    <x v="8"/>
    <x v="1"/>
    <x v="1"/>
  </r>
  <r>
    <x v="623"/>
    <s v="2025-12-20"/>
    <s v="CUST-1037"/>
    <s v="C301"/>
    <n v="20"/>
    <n v="55"/>
    <n v="1100"/>
    <x v="2"/>
    <x v="4"/>
    <x v="6"/>
    <x v="7"/>
    <x v="0"/>
  </r>
  <r>
    <x v="624"/>
    <s v="2025-12-20"/>
    <s v="CUST-1037"/>
    <s v="C301"/>
    <n v="20"/>
    <n v="55"/>
    <n v="1100"/>
    <x v="2"/>
    <x v="4"/>
    <x v="6"/>
    <x v="7"/>
    <x v="0"/>
  </r>
  <r>
    <x v="625"/>
    <s v="2022-08-26"/>
    <s v="CUST-1161"/>
    <s v="P201"/>
    <n v="18"/>
    <n v="70"/>
    <n v="1260"/>
    <x v="4"/>
    <x v="3"/>
    <x v="5"/>
    <x v="6"/>
    <x v="0"/>
  </r>
  <r>
    <x v="626"/>
    <s v="2025-12-23"/>
    <s v="CUST-1070"/>
    <s v="P203"/>
    <n v="7"/>
    <n v="73"/>
    <n v="511"/>
    <x v="1"/>
    <x v="6"/>
    <x v="13"/>
    <x v="2"/>
    <x v="1"/>
  </r>
  <r>
    <x v="627"/>
    <s v="2024-06-17"/>
    <s v="CUST-1173"/>
    <s v="P101"/>
    <n v="4"/>
    <n v="80"/>
    <n v="320"/>
    <x v="0"/>
    <x v="0"/>
    <x v="4"/>
    <x v="0"/>
    <x v="3"/>
  </r>
  <r>
    <x v="628"/>
    <s v="2024-03-29"/>
    <s v="CUST-1167"/>
    <s v="P103"/>
    <n v="9"/>
    <n v="95"/>
    <n v="855"/>
    <x v="4"/>
    <x v="3"/>
    <x v="5"/>
    <x v="6"/>
    <x v="1"/>
  </r>
  <r>
    <x v="629"/>
    <s v="2023-08-26"/>
    <s v="CUST-1063"/>
    <s v="P101"/>
    <n v="20"/>
    <n v="80"/>
    <n v="1600"/>
    <x v="0"/>
    <x v="0"/>
    <x v="4"/>
    <x v="1"/>
    <x v="2"/>
  </r>
  <r>
    <x v="630"/>
    <s v="2024-12-26"/>
    <s v="CUST-1030"/>
    <s v="P102"/>
    <n v="7"/>
    <n v="85"/>
    <n v="595"/>
    <x v="1"/>
    <x v="1"/>
    <x v="1"/>
    <x v="5"/>
    <x v="1"/>
  </r>
  <r>
    <x v="631"/>
    <s v="2025-01-18"/>
    <s v="CUST-1107"/>
    <s v="C303"/>
    <n v="2"/>
    <n v="60"/>
    <n v="120"/>
    <x v="3"/>
    <x v="3"/>
    <x v="5"/>
    <x v="6"/>
    <x v="1"/>
  </r>
  <r>
    <x v="632"/>
    <s v="2026-09-06"/>
    <s v="CUST-1174"/>
    <s v=" P203 "/>
    <n v="18"/>
    <n v="63"/>
    <n v="1134"/>
    <x v="6"/>
    <x v="5"/>
    <x v="7"/>
    <x v="1"/>
    <x v="0"/>
  </r>
  <r>
    <x v="633"/>
    <s v=" 2023-11-04 "/>
    <s v="CUST-1127"/>
    <s v="C303"/>
    <n v="3"/>
    <n v="65"/>
    <n v="195"/>
    <x v="1"/>
    <x v="1"/>
    <x v="3"/>
    <x v="3"/>
    <x v="2"/>
  </r>
  <r>
    <x v="634"/>
    <s v=" 2023-01-19 "/>
    <s v="CUST-1193"/>
    <s v="P202"/>
    <n v="12"/>
    <n v="65"/>
    <n v="780"/>
    <x v="3"/>
    <x v="8"/>
    <x v="10"/>
    <x v="1"/>
    <x v="1"/>
  </r>
  <r>
    <x v="635"/>
    <s v="2023-10-09"/>
    <s v="CUST-1061"/>
    <s v="P103"/>
    <n v="2"/>
    <n v="90"/>
    <n v="180"/>
    <x v="0"/>
    <x v="0"/>
    <x v="4"/>
    <x v="0"/>
    <x v="0"/>
  </r>
  <r>
    <x v="636"/>
    <s v="2022-08-21"/>
    <s v="CUST-1101"/>
    <s v="P103"/>
    <n v="2"/>
    <n v="90"/>
    <n v="180"/>
    <x v="0"/>
    <x v="5"/>
    <x v="7"/>
    <x v="4"/>
    <x v="0"/>
  </r>
  <r>
    <x v="637"/>
    <s v="2023-03-11"/>
    <s v="CUST-1064"/>
    <s v="P101"/>
    <n v="3"/>
    <n v="90"/>
    <n v="270"/>
    <x v="1"/>
    <x v="6"/>
    <x v="8"/>
    <x v="0"/>
    <x v="2"/>
  </r>
  <r>
    <x v="638"/>
    <s v="2026-05-23"/>
    <s v="CUST-1042"/>
    <s v="C302"/>
    <n v="14"/>
    <n v="50"/>
    <n v="700"/>
    <x v="3"/>
    <x v="8"/>
    <x v="10"/>
    <x v="5"/>
    <x v="2"/>
  </r>
  <r>
    <x v="639"/>
    <s v="2023-01-27"/>
    <s v="CUST-1002"/>
    <s v="C303"/>
    <n v="13"/>
    <n v="55"/>
    <n v="715"/>
    <x v="0"/>
    <x v="5"/>
    <x v="7"/>
    <x v="2"/>
    <x v="2"/>
  </r>
  <r>
    <x v="640"/>
    <s v="2022-05-20"/>
    <s v="CUST-1132"/>
    <s v="P202"/>
    <n v="20"/>
    <n v="70"/>
    <n v="1400"/>
    <x v="1"/>
    <x v="1"/>
    <x v="1"/>
    <x v="2"/>
    <x v="0"/>
  </r>
  <r>
    <x v="641"/>
    <s v="2023-06-26"/>
    <s v="CUST-1110"/>
    <s v="#N/A"/>
    <n v="9"/>
    <n v="80"/>
    <n v="720"/>
    <x v="0"/>
    <x v="0"/>
    <x v="4"/>
    <x v="1"/>
    <x v="2"/>
  </r>
  <r>
    <x v="642"/>
    <s v="2023-06-26"/>
    <s v="CUST-1110"/>
    <s v="P101"/>
    <n v="9"/>
    <n v="80"/>
    <n v="720"/>
    <x v="0"/>
    <x v="0"/>
    <x v="4"/>
    <x v="1"/>
    <x v="2"/>
  </r>
  <r>
    <x v="643"/>
    <s v="2025-03-02"/>
    <s v="CUST-1103"/>
    <s v="P201"/>
    <n v="15"/>
    <n v="70"/>
    <n v="1050"/>
    <x v="3"/>
    <x v="7"/>
    <x v="9"/>
    <x v="9"/>
    <x v="2"/>
  </r>
  <r>
    <x v="644"/>
    <s v="2026-09-04"/>
    <s v="CUST-1093"/>
    <s v="C303"/>
    <n v="5"/>
    <n v="65"/>
    <n v="325"/>
    <x v="1"/>
    <x v="1"/>
    <x v="1"/>
    <x v="5"/>
    <x v="0"/>
  </r>
  <r>
    <x v="645"/>
    <s v="2024-09-16"/>
    <s v="CUST-1077"/>
    <s v="C301"/>
    <n v="6"/>
    <n v="55"/>
    <n v="330"/>
    <x v="2"/>
    <x v="2"/>
    <x v="2"/>
    <x v="5"/>
    <x v="3"/>
  </r>
  <r>
    <x v="646"/>
    <s v=" 2024-02-22 "/>
    <s v="CUST-1113"/>
    <s v="P201"/>
    <n v="4"/>
    <n v="65"/>
    <n v="260"/>
    <x v="0"/>
    <x v="5"/>
    <x v="7"/>
    <x v="4"/>
    <x v="2"/>
  </r>
  <r>
    <x v="647"/>
    <s v="2022-03-09"/>
    <s v="CUST-1177"/>
    <s v="C301"/>
    <n v="1"/>
    <n v="55"/>
    <n v="55"/>
    <x v="3"/>
    <x v="3"/>
    <x v="5"/>
    <x v="6"/>
    <x v="0"/>
  </r>
  <r>
    <x v="648"/>
    <s v="2022-06-26"/>
    <s v="CUST-1045"/>
    <s v="P203"/>
    <n v="15"/>
    <n v="68"/>
    <n v="1020"/>
    <x v="2"/>
    <x v="9"/>
    <x v="12"/>
    <x v="2"/>
    <x v="1"/>
  </r>
  <r>
    <x v="649"/>
    <s v="2022-06-26"/>
    <s v="CUST-1045"/>
    <s v="P203"/>
    <n v="15"/>
    <n v="68"/>
    <n v="1020"/>
    <x v="2"/>
    <x v="9"/>
    <x v="12"/>
    <x v="2"/>
    <x v="1"/>
  </r>
  <r>
    <x v="650"/>
    <s v="2023-02-27"/>
    <s v=" CUST-1027 "/>
    <s v=" P101 "/>
    <n v="17"/>
    <n v="85"/>
    <n v="1445"/>
    <x v="2"/>
    <x v="2"/>
    <x v="2"/>
    <x v="1"/>
    <x v="2"/>
  </r>
  <r>
    <x v="651"/>
    <s v="2025-03-15"/>
    <s v="CUST-1081"/>
    <s v=" P202 "/>
    <n v="16"/>
    <n v="65"/>
    <n v="1040"/>
    <x v="3"/>
    <x v="3"/>
    <x v="5"/>
    <x v="6"/>
    <x v="2"/>
  </r>
  <r>
    <x v="652"/>
    <s v="2022-11-14"/>
    <s v="CUST-1026"/>
    <s v="UNKNOW"/>
    <n v="3"/>
    <n v="90"/>
    <n v="270"/>
    <x v="6"/>
    <x v="0"/>
    <x v="4"/>
    <x v="1"/>
    <x v="2"/>
  </r>
  <r>
    <x v="653"/>
    <s v="2024-12-02"/>
    <s v="CUST-1074"/>
    <s v="P202"/>
    <n v="7"/>
    <n v="70"/>
    <n v="490"/>
    <x v="1"/>
    <x v="1"/>
    <x v="3"/>
    <x v="3"/>
    <x v="3"/>
  </r>
  <r>
    <x v="654"/>
    <s v="2026-09-14"/>
    <s v="CUST-1198"/>
    <s v="P103"/>
    <n v="3"/>
    <n v="90"/>
    <n v="270"/>
    <x v="0"/>
    <x v="0"/>
    <x v="4"/>
    <x v="0"/>
    <x v="2"/>
  </r>
  <r>
    <x v="655"/>
    <s v="2023-08-16"/>
    <s v="CUST-1183"/>
    <s v="P203"/>
    <n v="8"/>
    <n v="73"/>
    <n v="584"/>
    <x v="1"/>
    <x v="1"/>
    <x v="0"/>
    <x v="3"/>
    <x v="2"/>
  </r>
  <r>
    <x v="656"/>
    <s v="2024-12-26"/>
    <s v="CUST-1140"/>
    <s v="C303"/>
    <n v="2"/>
    <n v="60"/>
    <n v="120"/>
    <x v="3"/>
    <x v="3"/>
    <x v="5"/>
    <x v="6"/>
    <x v="2"/>
  </r>
  <r>
    <x v="657"/>
    <s v="2025-07-30"/>
    <s v="CUST-1189"/>
    <s v="P102"/>
    <n v="7"/>
    <n v="85"/>
    <n v="595"/>
    <x v="1"/>
    <x v="1"/>
    <x v="1"/>
    <x v="1"/>
    <x v="2"/>
  </r>
  <r>
    <x v="658"/>
    <s v="2024-08-08"/>
    <s v="CUST-1061"/>
    <s v="C303"/>
    <n v="17"/>
    <n v="60"/>
    <n v="1020"/>
    <x v="2"/>
    <x v="2"/>
    <x v="2"/>
    <x v="5"/>
    <x v="2"/>
  </r>
  <r>
    <x v="659"/>
    <s v="2023-12-29"/>
    <s v="CUST-1184"/>
    <s v="C301"/>
    <n v="18"/>
    <n v="55"/>
    <n v="990"/>
    <x v="3"/>
    <x v="7"/>
    <x v="9"/>
    <x v="9"/>
    <x v="2"/>
  </r>
  <r>
    <x v="660"/>
    <s v="2025-08-18"/>
    <s v="CUST-1037"/>
    <s v="P101"/>
    <n v="18"/>
    <n v="90"/>
    <n v="1620"/>
    <x v="1"/>
    <x v="1"/>
    <x v="1"/>
    <x v="0"/>
    <x v="0"/>
  </r>
  <r>
    <x v="661"/>
    <s v="2025-08-03"/>
    <s v="CUST-1164"/>
    <s v=" P102 "/>
    <n v="12"/>
    <n v="85"/>
    <n v="1020"/>
    <x v="1"/>
    <x v="1"/>
    <x v="1"/>
    <x v="2"/>
    <x v="2"/>
  </r>
  <r>
    <x v="662"/>
    <s v="2022-10-31"/>
    <s v="CUST-1149"/>
    <s v="P101"/>
    <n v="7"/>
    <n v="80"/>
    <n v="560"/>
    <x v="0"/>
    <x v="0"/>
    <x v="4"/>
    <x v="1"/>
    <x v="1"/>
  </r>
  <r>
    <x v="663"/>
    <s v="2024-05-26"/>
    <s v="CUST-1012"/>
    <s v="C302"/>
    <n v="2"/>
    <n v="55"/>
    <n v="110"/>
    <x v="5"/>
    <x v="1"/>
    <x v="1"/>
    <x v="5"/>
    <x v="3"/>
  </r>
  <r>
    <x v="664"/>
    <s v="2026-09-06"/>
    <s v="CUST-1152"/>
    <s v="C301"/>
    <n v="9"/>
    <n v="50"/>
    <n v="450"/>
    <x v="6"/>
    <x v="0"/>
    <x v="4"/>
    <x v="5"/>
    <x v="2"/>
  </r>
  <r>
    <x v="665"/>
    <s v="2026-08-01"/>
    <s v="CUST-1015"/>
    <s v="P102"/>
    <n v="5"/>
    <n v="85"/>
    <n v="425"/>
    <x v="1"/>
    <x v="6"/>
    <x v="8"/>
    <x v="1"/>
    <x v="0"/>
  </r>
  <r>
    <x v="666"/>
    <s v="2025-10-19"/>
    <s v="CUST-1172"/>
    <s v="C302"/>
    <n v="10"/>
    <n v="55"/>
    <n v="550"/>
    <x v="9"/>
    <x v="6"/>
    <x v="8"/>
    <x v="2"/>
    <x v="2"/>
  </r>
  <r>
    <x v="667"/>
    <s v="UNKNOWN"/>
    <s v="CUST-1096"/>
    <s v="P103"/>
    <n v="8"/>
    <n v="90"/>
    <n v="720"/>
    <x v="0"/>
    <x v="0"/>
    <x v="4"/>
    <x v="0"/>
    <x v="2"/>
  </r>
  <r>
    <x v="668"/>
    <s v="2023-05-04"/>
    <s v="CUST-1122"/>
    <s v=" P103 "/>
    <n v="11"/>
    <n v="95"/>
    <n v="1045"/>
    <x v="3"/>
    <x v="3"/>
    <x v="5"/>
    <x v="6"/>
    <x v="1"/>
  </r>
  <r>
    <x v="669"/>
    <s v="2026-04-02"/>
    <s v="CUST-1052"/>
    <s v="P201"/>
    <n v="6"/>
    <n v="75"/>
    <n v="450"/>
    <x v="1"/>
    <x v="1"/>
    <x v="1"/>
    <x v="1"/>
    <x v="1"/>
  </r>
  <r>
    <x v="670"/>
    <s v="2023-10-16"/>
    <s v="CUST-1100"/>
    <s v="P203"/>
    <n v="12"/>
    <n v="68"/>
    <n v="816"/>
    <x v="2"/>
    <x v="9"/>
    <x v="12"/>
    <x v="0"/>
    <x v="0"/>
  </r>
  <r>
    <x v="671"/>
    <s v="2025-09-18"/>
    <s v="CUST-1167"/>
    <s v="P203"/>
    <n v="18"/>
    <n v="63"/>
    <n v="1134"/>
    <x v="0"/>
    <x v="5"/>
    <x v="7"/>
    <x v="1"/>
    <x v="2"/>
  </r>
  <r>
    <x v="672"/>
    <s v="2024-04-13"/>
    <s v="CUST-1009"/>
    <s v="P101"/>
    <n v="3"/>
    <n v="80"/>
    <n v="240"/>
    <x v="0"/>
    <x v="0"/>
    <x v="4"/>
    <x v="0"/>
    <x v="1"/>
  </r>
  <r>
    <x v="673"/>
    <s v="2026-08-23"/>
    <s v="CUST-1026"/>
    <s v="C301"/>
    <n v="15"/>
    <n v="55"/>
    <n v="825"/>
    <x v="2"/>
    <x v="2"/>
    <x v="2"/>
    <x v="1"/>
    <x v="0"/>
  </r>
  <r>
    <x v="674"/>
    <s v="2026-04-03"/>
    <s v="CUST-1044"/>
    <s v="P201"/>
    <n v="18"/>
    <n v="70"/>
    <n v="1260"/>
    <x v="3"/>
    <x v="3"/>
    <x v="5"/>
    <x v="6"/>
    <x v="0"/>
  </r>
  <r>
    <x v="675"/>
    <s v="2026-02-13"/>
    <s v="CUST-1036"/>
    <s v="P102"/>
    <n v="12"/>
    <n v="80"/>
    <n v="960"/>
    <x v="3"/>
    <x v="3"/>
    <x v="5"/>
    <x v="6"/>
    <x v="3"/>
  </r>
  <r>
    <x v="676"/>
    <s v="2023-10-02"/>
    <s v="CUST-1167"/>
    <s v="P102"/>
    <n v="4"/>
    <n v="85"/>
    <n v="340"/>
    <x v="1"/>
    <x v="6"/>
    <x v="8"/>
    <x v="4"/>
    <x v="2"/>
  </r>
  <r>
    <x v="677"/>
    <s v="2024-01-19"/>
    <s v=" CUST-1095 "/>
    <s v="C301"/>
    <n v="4"/>
    <n v="55"/>
    <n v="220"/>
    <x v="3"/>
    <x v="8"/>
    <x v="10"/>
    <x v="2"/>
    <x v="1"/>
  </r>
  <r>
    <x v="678"/>
    <s v="2025-08-13"/>
    <s v="CUST-1138"/>
    <s v="P102"/>
    <n v="10"/>
    <n v="80"/>
    <n v="800"/>
    <x v="3"/>
    <x v="7"/>
    <x v="9"/>
    <x v="9"/>
    <x v="0"/>
  </r>
  <r>
    <x v="679"/>
    <s v="2026-03-27"/>
    <s v="CUST-1196"/>
    <s v="C302"/>
    <n v="7"/>
    <n v="50"/>
    <n v="350"/>
    <x v="4"/>
    <x v="3"/>
    <x v="5"/>
    <x v="8"/>
    <x v="0"/>
  </r>
  <r>
    <x v="680"/>
    <s v="2025-10-07"/>
    <s v="CUST-1037"/>
    <s v="P103"/>
    <n v="1"/>
    <n v="95"/>
    <n v="95"/>
    <x v="2"/>
    <x v="4"/>
    <x v="6"/>
    <x v="7"/>
    <x v="2"/>
  </r>
  <r>
    <x v="681"/>
    <s v="2026-02-03"/>
    <s v="CUST-1030"/>
    <s v="P201"/>
    <n v="1"/>
    <n v="75"/>
    <n v="75"/>
    <x v="1"/>
    <x v="1"/>
    <x v="3"/>
    <x v="3"/>
    <x v="2"/>
  </r>
  <r>
    <x v="682"/>
    <s v="2023-06-25"/>
    <s v="CUST-1051"/>
    <s v=" P202 "/>
    <n v="17"/>
    <n v="70"/>
    <n v="1190"/>
    <x v="5"/>
    <x v="6"/>
    <x v="8"/>
    <x v="2"/>
    <x v="1"/>
  </r>
  <r>
    <x v="683"/>
    <s v="UNKNOWN"/>
    <s v="CUST-1165"/>
    <s v="P103"/>
    <n v="7"/>
    <n v="95"/>
    <n v="665"/>
    <x v="3"/>
    <x v="8"/>
    <x v="10"/>
    <x v="5"/>
    <x v="1"/>
  </r>
  <r>
    <x v="684"/>
    <s v="2025-09-21"/>
    <s v="CUST-1165"/>
    <s v="P103"/>
    <n v="7"/>
    <n v="95"/>
    <n v="665"/>
    <x v="3"/>
    <x v="8"/>
    <x v="10"/>
    <x v="5"/>
    <x v="1"/>
  </r>
  <r>
    <x v="685"/>
    <s v="2025-02-24"/>
    <s v="CUST-1047"/>
    <s v="C303"/>
    <n v="12"/>
    <n v="55"/>
    <n v="660"/>
    <x v="0"/>
    <x v="0"/>
    <x v="4"/>
    <x v="0"/>
    <x v="1"/>
  </r>
  <r>
    <x v="686"/>
    <s v="2024-11-05"/>
    <s v="CUST-1191"/>
    <s v="P202"/>
    <n v="18"/>
    <n v="65"/>
    <n v="1170"/>
    <x v="7"/>
    <x v="2"/>
    <x v="2"/>
    <x v="0"/>
    <x v="3"/>
  </r>
  <r>
    <x v="687"/>
    <s v="2023-02-15"/>
    <s v="CUST-1039"/>
    <s v="P103"/>
    <n v="4"/>
    <n v="100"/>
    <n v="400"/>
    <x v="5"/>
    <x v="1"/>
    <x v="3"/>
    <x v="3"/>
    <x v="2"/>
  </r>
  <r>
    <x v="688"/>
    <s v=" 2024-10-03 "/>
    <s v="CUST-1015"/>
    <s v="C301"/>
    <n v="8"/>
    <n v="60"/>
    <n v="480"/>
    <x v="1"/>
    <x v="6"/>
    <x v="8"/>
    <x v="5"/>
    <x v="2"/>
  </r>
  <r>
    <x v="689"/>
    <s v="2022-12-24"/>
    <s v="CUST-1033"/>
    <s v="UNKNOW"/>
    <n v="9"/>
    <n v="80"/>
    <n v="720"/>
    <x v="2"/>
    <x v="2"/>
    <x v="0"/>
    <x v="4"/>
    <x v="0"/>
  </r>
  <r>
    <x v="690"/>
    <s v="2022-12-24"/>
    <s v="CUST-1033"/>
    <s v="P102"/>
    <n v="9"/>
    <n v="80"/>
    <n v="720"/>
    <x v="2"/>
    <x v="2"/>
    <x v="2"/>
    <x v="4"/>
    <x v="0"/>
  </r>
  <r>
    <x v="691"/>
    <s v="2022-12-07"/>
    <s v="CUST-1038"/>
    <s v="P203"/>
    <n v="0.1"/>
    <n v="68"/>
    <n v="6.8000000000000007"/>
    <x v="3"/>
    <x v="7"/>
    <x v="11"/>
    <x v="10"/>
    <x v="1"/>
  </r>
  <r>
    <x v="692"/>
    <s v="2026-04-21"/>
    <s v="CUST-1037"/>
    <s v="P102"/>
    <n v="9"/>
    <n v="80"/>
    <n v="720"/>
    <x v="3"/>
    <x v="7"/>
    <x v="9"/>
    <x v="9"/>
    <x v="0"/>
  </r>
  <r>
    <x v="693"/>
    <s v="2023-01-19"/>
    <s v="CUST-1025"/>
    <s v="C301"/>
    <n v="7"/>
    <n v="55"/>
    <n v="385"/>
    <x v="3"/>
    <x v="3"/>
    <x v="5"/>
    <x v="6"/>
    <x v="0"/>
  </r>
  <r>
    <x v="694"/>
    <s v="2024-12-15"/>
    <s v="CUST-1020"/>
    <s v="C301"/>
    <n v="5"/>
    <n v="55"/>
    <n v="275"/>
    <x v="2"/>
    <x v="9"/>
    <x v="12"/>
    <x v="1"/>
    <x v="4"/>
  </r>
  <r>
    <x v="695"/>
    <s v="2024-12-16"/>
    <s v="CUST-1018"/>
    <s v="C303"/>
    <n v="3"/>
    <n v="55"/>
    <n v="165"/>
    <x v="6"/>
    <x v="5"/>
    <x v="7"/>
    <x v="0"/>
    <x v="0"/>
  </r>
  <r>
    <x v="696"/>
    <s v="2024-03-14"/>
    <s v="CUST-1022"/>
    <s v=" P102 "/>
    <n v="11"/>
    <n v="80"/>
    <n v="880"/>
    <x v="3"/>
    <x v="7"/>
    <x v="9"/>
    <x v="9"/>
    <x v="2"/>
  </r>
  <r>
    <x v="697"/>
    <s v="2024-02-18"/>
    <s v="CUST-1090"/>
    <s v="C303"/>
    <n v="13"/>
    <n v="65"/>
    <n v="845"/>
    <x v="1"/>
    <x v="1"/>
    <x v="3"/>
    <x v="3"/>
    <x v="0"/>
  </r>
  <r>
    <x v="698"/>
    <s v="UNKNOWN"/>
    <s v="CUST-1193"/>
    <s v="C301"/>
    <n v="1"/>
    <n v="60"/>
    <n v="60"/>
    <x v="1"/>
    <x v="6"/>
    <x v="8"/>
    <x v="1"/>
    <x v="0"/>
  </r>
  <r>
    <x v="699"/>
    <s v="2023-04-03"/>
    <s v="CUST-1185"/>
    <s v="P201"/>
    <n v="13"/>
    <n v="70"/>
    <n v="910"/>
    <x v="3"/>
    <x v="8"/>
    <x v="10"/>
    <x v="1"/>
    <x v="1"/>
  </r>
  <r>
    <x v="700"/>
    <s v="2022-01-18"/>
    <s v=" CUST-1139 "/>
    <s v="P202"/>
    <n v="13"/>
    <n v="70"/>
    <n v="910"/>
    <x v="9"/>
    <x v="1"/>
    <x v="3"/>
    <x v="3"/>
    <x v="1"/>
  </r>
  <r>
    <x v="701"/>
    <s v="2023-11-05"/>
    <s v="#N/A"/>
    <s v="P203"/>
    <n v="11"/>
    <n v="68"/>
    <n v="748"/>
    <x v="2"/>
    <x v="2"/>
    <x v="2"/>
    <x v="5"/>
    <x v="1"/>
  </r>
  <r>
    <x v="702"/>
    <s v="2022-06-06"/>
    <s v="CUST-1099"/>
    <s v="P103"/>
    <n v="6"/>
    <n v="95"/>
    <n v="570"/>
    <x v="3"/>
    <x v="3"/>
    <x v="5"/>
    <x v="6"/>
    <x v="0"/>
  </r>
  <r>
    <x v="703"/>
    <s v="2026-09-14"/>
    <s v="CUST-1089"/>
    <s v="C304"/>
    <n v="5"/>
    <n v="58"/>
    <n v="290"/>
    <x v="3"/>
    <x v="8"/>
    <x v="10"/>
    <x v="1"/>
    <x v="1"/>
  </r>
  <r>
    <x v="704"/>
    <s v="UNKNOWN"/>
    <s v="CUST-1183"/>
    <s v="P102"/>
    <n v="12"/>
    <n v="75"/>
    <n v="900"/>
    <x v="0"/>
    <x v="5"/>
    <x v="7"/>
    <x v="5"/>
    <x v="0"/>
  </r>
  <r>
    <x v="705"/>
    <s v="2022-02-15"/>
    <s v="CUST-1010"/>
    <s v="P103"/>
    <n v="8"/>
    <n v="95"/>
    <n v="760"/>
    <x v="3"/>
    <x v="3"/>
    <x v="5"/>
    <x v="6"/>
    <x v="2"/>
  </r>
  <r>
    <x v="706"/>
    <s v="2023-11-14"/>
    <s v="CUST-1005"/>
    <s v=" P201 "/>
    <n v="13"/>
    <n v="70"/>
    <n v="910"/>
    <x v="3"/>
    <x v="10"/>
    <x v="10"/>
    <x v="1"/>
    <x v="1"/>
  </r>
  <r>
    <x v="707"/>
    <s v="2022-02-20"/>
    <s v="CUST-1124"/>
    <s v="P203"/>
    <n v="9"/>
    <n v="73"/>
    <n v="657"/>
    <x v="1"/>
    <x v="1"/>
    <x v="3"/>
    <x v="3"/>
    <x v="0"/>
  </r>
  <r>
    <x v="708"/>
    <s v="2025-10-30"/>
    <s v="CUST-1045"/>
    <s v="UNKNOW"/>
    <n v="2"/>
    <n v="95"/>
    <n v="190"/>
    <x v="2"/>
    <x v="4"/>
    <x v="6"/>
    <x v="7"/>
    <x v="2"/>
  </r>
  <r>
    <x v="709"/>
    <s v="2023-02-27"/>
    <s v="CUST-1075"/>
    <s v="P203"/>
    <n v="8"/>
    <n v="63"/>
    <n v="504"/>
    <x v="0"/>
    <x v="5"/>
    <x v="0"/>
    <x v="4"/>
    <x v="0"/>
  </r>
  <r>
    <x v="710"/>
    <s v="2024-04-13"/>
    <s v="CUST-1080"/>
    <s v="P101"/>
    <n v="17"/>
    <n v="85"/>
    <n v="1445"/>
    <x v="8"/>
    <x v="9"/>
    <x v="12"/>
    <x v="1"/>
    <x v="2"/>
  </r>
  <r>
    <x v="711"/>
    <s v="2025-07-10"/>
    <s v="CUST-1071"/>
    <s v="C303"/>
    <n v="6"/>
    <n v="65"/>
    <n v="390"/>
    <x v="1"/>
    <x v="6"/>
    <x v="8"/>
    <x v="2"/>
    <x v="2"/>
  </r>
  <r>
    <x v="712"/>
    <s v="2025-06-21"/>
    <s v="CUST-1007"/>
    <s v="C303"/>
    <n v="13"/>
    <n v="60"/>
    <n v="780"/>
    <x v="2"/>
    <x v="9"/>
    <x v="12"/>
    <x v="2"/>
    <x v="1"/>
  </r>
  <r>
    <x v="713"/>
    <s v="2023-05-28"/>
    <s v="CUST-1071"/>
    <s v="C304"/>
    <n v="16"/>
    <n v="58"/>
    <n v="928"/>
    <x v="2"/>
    <x v="4"/>
    <x v="6"/>
    <x v="7"/>
    <x v="0"/>
  </r>
  <r>
    <x v="714"/>
    <s v="2022-11-29"/>
    <s v="CUST-1086"/>
    <s v="C301"/>
    <n v="18"/>
    <n v="55"/>
    <n v="990"/>
    <x v="2"/>
    <x v="4"/>
    <x v="6"/>
    <x v="7"/>
    <x v="0"/>
  </r>
  <r>
    <x v="715"/>
    <s v="2025-12-13"/>
    <s v="CUST-1107"/>
    <s v="C301"/>
    <n v="12"/>
    <n v="55"/>
    <n v="660"/>
    <x v="3"/>
    <x v="3"/>
    <x v="5"/>
    <x v="6"/>
    <x v="2"/>
  </r>
  <r>
    <x v="716"/>
    <s v="2024-04-22"/>
    <s v="CUST-1109"/>
    <s v="C304"/>
    <n v="14"/>
    <n v="58"/>
    <n v="812"/>
    <x v="3"/>
    <x v="7"/>
    <x v="9"/>
    <x v="9"/>
    <x v="4"/>
  </r>
  <r>
    <x v="717"/>
    <s v="2022-05-02"/>
    <s v="CUST-1140"/>
    <s v="C302"/>
    <n v="5"/>
    <n v="50"/>
    <n v="250"/>
    <x v="2"/>
    <x v="2"/>
    <x v="2"/>
    <x v="5"/>
    <x v="0"/>
  </r>
  <r>
    <x v="718"/>
    <s v="2025-03-22"/>
    <s v="CUST-1154"/>
    <s v="C304"/>
    <n v="19"/>
    <n v="58"/>
    <n v="1102"/>
    <x v="2"/>
    <x v="4"/>
    <x v="6"/>
    <x v="7"/>
    <x v="0"/>
  </r>
  <r>
    <x v="719"/>
    <s v="2026-09-22"/>
    <s v="CUST-1101"/>
    <s v="P103"/>
    <n v="20"/>
    <n v="90"/>
    <n v="1800"/>
    <x v="5"/>
    <x v="5"/>
    <x v="7"/>
    <x v="2"/>
    <x v="0"/>
  </r>
  <r>
    <x v="720"/>
    <s v="2024-10-26"/>
    <s v="CUST-1006"/>
    <s v="P101"/>
    <n v="18"/>
    <n v="85"/>
    <n v="1530"/>
    <x v="3"/>
    <x v="3"/>
    <x v="5"/>
    <x v="6"/>
    <x v="1"/>
  </r>
  <r>
    <x v="721"/>
    <s v="2022-11-25"/>
    <s v="CUST-1192"/>
    <s v="P202"/>
    <n v="17"/>
    <n v="70"/>
    <n v="1190"/>
    <x v="1"/>
    <x v="1"/>
    <x v="1"/>
    <x v="1"/>
    <x v="2"/>
  </r>
  <r>
    <x v="722"/>
    <s v="2026-06-05"/>
    <s v="CUST-1138"/>
    <s v="P201"/>
    <n v="20"/>
    <n v="75"/>
    <n v="1500"/>
    <x v="1"/>
    <x v="1"/>
    <x v="3"/>
    <x v="3"/>
    <x v="1"/>
  </r>
  <r>
    <x v="723"/>
    <s v="2022-01-09"/>
    <s v="CUST-1038"/>
    <s v="C302"/>
    <n v="4"/>
    <n v="50"/>
    <n v="200"/>
    <x v="3"/>
    <x v="8"/>
    <x v="10"/>
    <x v="2"/>
    <x v="0"/>
  </r>
  <r>
    <x v="724"/>
    <s v="2022-01-09"/>
    <s v="CUST-1038"/>
    <s v="C302"/>
    <n v="4"/>
    <n v="50"/>
    <n v="200"/>
    <x v="3"/>
    <x v="8"/>
    <x v="10"/>
    <x v="2"/>
    <x v="0"/>
  </r>
  <r>
    <x v="725"/>
    <s v="2026-07-10"/>
    <s v="CUST-1089"/>
    <s v="P102"/>
    <n v="7"/>
    <n v="80"/>
    <n v="560"/>
    <x v="2"/>
    <x v="2"/>
    <x v="2"/>
    <x v="0"/>
    <x v="2"/>
  </r>
  <r>
    <x v="726"/>
    <s v="2025-11-17"/>
    <s v="CUST-1198"/>
    <s v=" P101 "/>
    <n v="8"/>
    <n v="85"/>
    <n v="680"/>
    <x v="2"/>
    <x v="4"/>
    <x v="6"/>
    <x v="8"/>
    <x v="0"/>
  </r>
  <r>
    <x v="727"/>
    <s v=" 2026-02-04 "/>
    <s v="CUST-1024"/>
    <s v="P101"/>
    <n v="20"/>
    <n v="85"/>
    <n v="1700"/>
    <x v="3"/>
    <x v="7"/>
    <x v="9"/>
    <x v="9"/>
    <x v="0"/>
  </r>
  <r>
    <x v="728"/>
    <s v="2022-06-25"/>
    <s v="CUST-1130"/>
    <s v="P102"/>
    <n v="3"/>
    <n v="80"/>
    <n v="240"/>
    <x v="3"/>
    <x v="7"/>
    <x v="11"/>
    <x v="2"/>
    <x v="1"/>
  </r>
  <r>
    <x v="729"/>
    <s v="2023-02-16"/>
    <s v="CUST-1062"/>
    <s v="P201"/>
    <n v="17"/>
    <n v="70"/>
    <n v="1190"/>
    <x v="3"/>
    <x v="7"/>
    <x v="9"/>
    <x v="9"/>
    <x v="2"/>
  </r>
  <r>
    <x v="730"/>
    <s v="2025-08-22"/>
    <s v="CUST-1136"/>
    <s v="C301"/>
    <n v="8"/>
    <n v="55"/>
    <n v="440"/>
    <x v="3"/>
    <x v="3"/>
    <x v="5"/>
    <x v="6"/>
    <x v="2"/>
  </r>
  <r>
    <x v="731"/>
    <s v="2023-05-17"/>
    <s v="CUST-1123"/>
    <s v="C302"/>
    <n v="7"/>
    <n v="55"/>
    <n v="385"/>
    <x v="1"/>
    <x v="6"/>
    <x v="8"/>
    <x v="0"/>
    <x v="0"/>
  </r>
  <r>
    <x v="732"/>
    <s v="2023-11-15"/>
    <s v="CUST-1020"/>
    <s v="UNKNOW"/>
    <n v="5"/>
    <n v="60"/>
    <n v="300"/>
    <x v="2"/>
    <x v="2"/>
    <x v="2"/>
    <x v="5"/>
    <x v="2"/>
  </r>
  <r>
    <x v="733"/>
    <s v="2026-10-02"/>
    <s v="CUST-1002"/>
    <s v="C304"/>
    <n v="18"/>
    <n v="63"/>
    <n v="1134"/>
    <x v="1"/>
    <x v="6"/>
    <x v="8"/>
    <x v="4"/>
    <x v="1"/>
  </r>
  <r>
    <x v="734"/>
    <s v="2022-11-06"/>
    <s v="CUST-1137"/>
    <s v="C304"/>
    <n v="13"/>
    <n v="63"/>
    <n v="819"/>
    <x v="1"/>
    <x v="1"/>
    <x v="1"/>
    <x v="5"/>
    <x v="0"/>
  </r>
  <r>
    <x v="735"/>
    <s v="2022-11-06"/>
    <s v="CUST-1137"/>
    <s v="C304"/>
    <n v="13"/>
    <n v="63"/>
    <n v="819"/>
    <x v="1"/>
    <x v="1"/>
    <x v="1"/>
    <x v="5"/>
    <x v="0"/>
  </r>
  <r>
    <x v="736"/>
    <s v="2023-09-06"/>
    <s v="CUST-1064"/>
    <s v="P101"/>
    <n v="2"/>
    <n v="80"/>
    <n v="160"/>
    <x v="0"/>
    <x v="5"/>
    <x v="7"/>
    <x v="2"/>
    <x v="0"/>
  </r>
  <r>
    <x v="737"/>
    <s v="2022-12-26"/>
    <s v="CUST-1129"/>
    <s v="P201"/>
    <n v="4"/>
    <n v="65"/>
    <n v="260"/>
    <x v="0"/>
    <x v="11"/>
    <x v="7"/>
    <x v="4"/>
    <x v="0"/>
  </r>
  <r>
    <x v="738"/>
    <s v="2025-10-08"/>
    <s v="#N/A"/>
    <s v="P103"/>
    <n v="5"/>
    <n v="100"/>
    <n v="500"/>
    <x v="1"/>
    <x v="1"/>
    <x v="1"/>
    <x v="4"/>
    <x v="2"/>
  </r>
  <r>
    <x v="739"/>
    <s v="2024-06-12"/>
    <s v="CUST-1013"/>
    <s v="C303"/>
    <n v="4"/>
    <n v="60"/>
    <n v="240"/>
    <x v="3"/>
    <x v="8"/>
    <x v="10"/>
    <x v="0"/>
    <x v="2"/>
  </r>
  <r>
    <x v="740"/>
    <s v="UNKNOWN"/>
    <s v="CUST-1034"/>
    <s v="C303"/>
    <n v="19"/>
    <n v="60"/>
    <n v="1140"/>
    <x v="2"/>
    <x v="9"/>
    <x v="12"/>
    <x v="1"/>
    <x v="0"/>
  </r>
  <r>
    <x v="741"/>
    <s v="2022-03-12"/>
    <s v="CUST-1016"/>
    <s v="P201"/>
    <n v="2"/>
    <n v="65"/>
    <n v="130"/>
    <x v="0"/>
    <x v="0"/>
    <x v="4"/>
    <x v="1"/>
    <x v="2"/>
  </r>
  <r>
    <x v="742"/>
    <s v="2024-05-09"/>
    <s v="CUST-1083"/>
    <s v="C301"/>
    <n v="4"/>
    <n v="50"/>
    <n v="200"/>
    <x v="0"/>
    <x v="0"/>
    <x v="4"/>
    <x v="1"/>
    <x v="1"/>
  </r>
  <r>
    <x v="743"/>
    <s v="2024-05-09"/>
    <s v="CUST-1083"/>
    <s v="C301"/>
    <n v="4"/>
    <n v="50"/>
    <n v="200"/>
    <x v="0"/>
    <x v="0"/>
    <x v="4"/>
    <x v="1"/>
    <x v="1"/>
  </r>
  <r>
    <x v="744"/>
    <s v="2024-10-14"/>
    <s v="CUST-1072"/>
    <s v="C304"/>
    <n v="17"/>
    <n v="58"/>
    <n v="986"/>
    <x v="3"/>
    <x v="7"/>
    <x v="11"/>
    <x v="1"/>
    <x v="1"/>
  </r>
  <r>
    <x v="745"/>
    <s v="#N/A"/>
    <s v=" CUST-1060 "/>
    <s v="P103"/>
    <n v="20"/>
    <n v="95"/>
    <n v="1900"/>
    <x v="2"/>
    <x v="9"/>
    <x v="12"/>
    <x v="0"/>
    <x v="2"/>
  </r>
  <r>
    <x v="746"/>
    <s v="2022-12-08"/>
    <s v="CUST-1075"/>
    <s v="P101"/>
    <n v="20"/>
    <n v="80"/>
    <n v="1600"/>
    <x v="0"/>
    <x v="5"/>
    <x v="7"/>
    <x v="8"/>
    <x v="1"/>
  </r>
  <r>
    <x v="747"/>
    <s v="2023-02-25"/>
    <s v="CUST-1105"/>
    <s v="C301"/>
    <n v="10"/>
    <n v="55"/>
    <n v="550"/>
    <x v="3"/>
    <x v="7"/>
    <x v="0"/>
    <x v="9"/>
    <x v="3"/>
  </r>
  <r>
    <x v="748"/>
    <s v="2024-01-04"/>
    <s v="CUST-1128"/>
    <s v="C303"/>
    <n v="10"/>
    <n v="55"/>
    <n v="550"/>
    <x v="0"/>
    <x v="5"/>
    <x v="7"/>
    <x v="8"/>
    <x v="1"/>
  </r>
  <r>
    <x v="749"/>
    <s v="2025-09-06"/>
    <s v="CUST-1117"/>
    <s v="UNKNOW"/>
    <n v="9"/>
    <n v="55"/>
    <n v="495"/>
    <x v="3"/>
    <x v="7"/>
    <x v="9"/>
    <x v="9"/>
    <x v="0"/>
  </r>
  <r>
    <x v="750"/>
    <s v=" 2025-04-02 "/>
    <s v="CUST-1073"/>
    <s v="P202"/>
    <n v="14"/>
    <n v="70"/>
    <n v="980"/>
    <x v="1"/>
    <x v="1"/>
    <x v="3"/>
    <x v="3"/>
    <x v="1"/>
  </r>
  <r>
    <x v="751"/>
    <s v="2022-07-03"/>
    <s v="CUST-1035"/>
    <s v="P202"/>
    <n v="17"/>
    <n v="65"/>
    <n v="1105"/>
    <x v="3"/>
    <x v="3"/>
    <x v="5"/>
    <x v="6"/>
    <x v="1"/>
  </r>
  <r>
    <x v="752"/>
    <s v="2022-06-18"/>
    <s v="CUST-1100"/>
    <s v="C304"/>
    <n v="13"/>
    <n v="58"/>
    <n v="754"/>
    <x v="3"/>
    <x v="7"/>
    <x v="11"/>
    <x v="0"/>
    <x v="2"/>
  </r>
  <r>
    <x v="753"/>
    <s v="2022-06-18"/>
    <s v="CUST-1100"/>
    <s v="C304"/>
    <n v="13"/>
    <n v="58"/>
    <n v="754"/>
    <x v="3"/>
    <x v="7"/>
    <x v="11"/>
    <x v="0"/>
    <x v="2"/>
  </r>
  <r>
    <x v="754"/>
    <s v="2026-05-04"/>
    <s v="CUST-1049"/>
    <s v="P103"/>
    <n v="17"/>
    <n v="90"/>
    <n v="1530"/>
    <x v="0"/>
    <x v="0"/>
    <x v="4"/>
    <x v="5"/>
    <x v="2"/>
  </r>
  <r>
    <x v="755"/>
    <s v="2024-07-28"/>
    <s v="CUST-1078"/>
    <s v="#N/A"/>
    <n v="2"/>
    <n v="85"/>
    <n v="170"/>
    <x v="9"/>
    <x v="1"/>
    <x v="3"/>
    <x v="3"/>
    <x v="1"/>
  </r>
  <r>
    <x v="756"/>
    <s v="2023-10-03"/>
    <s v=" CUST-1074 "/>
    <s v="C303"/>
    <n v="4"/>
    <n v="55"/>
    <n v="220"/>
    <x v="0"/>
    <x v="0"/>
    <x v="4"/>
    <x v="0"/>
    <x v="1"/>
  </r>
  <r>
    <x v="757"/>
    <s v="2026-10-03"/>
    <s v="CUST-1142"/>
    <s v="C302"/>
    <n v="3"/>
    <n v="50"/>
    <n v="150"/>
    <x v="3"/>
    <x v="3"/>
    <x v="5"/>
    <x v="6"/>
    <x v="1"/>
  </r>
  <r>
    <x v="758"/>
    <s v="2024-12-30"/>
    <s v="CUST-1122"/>
    <s v="P203"/>
    <n v="18"/>
    <n v="73"/>
    <n v="1314"/>
    <x v="1"/>
    <x v="6"/>
    <x v="8"/>
    <x v="1"/>
    <x v="2"/>
  </r>
  <r>
    <x v="759"/>
    <s v="2023-03-11"/>
    <s v="CUST-1093"/>
    <s v="P102"/>
    <n v="18"/>
    <n v="80"/>
    <n v="1440"/>
    <x v="3"/>
    <x v="7"/>
    <x v="11"/>
    <x v="5"/>
    <x v="2"/>
  </r>
  <r>
    <x v="760"/>
    <s v="2025-08-17"/>
    <s v="CUST-1131"/>
    <s v="C304"/>
    <n v="16"/>
    <n v="63"/>
    <n v="1008"/>
    <x v="1"/>
    <x v="1"/>
    <x v="3"/>
    <x v="3"/>
    <x v="1"/>
  </r>
  <r>
    <x v="761"/>
    <s v="2024-03-02"/>
    <s v="CUST-1030"/>
    <s v="P202"/>
    <n v="20"/>
    <n v="60"/>
    <n v="1200"/>
    <x v="0"/>
    <x v="0"/>
    <x v="4"/>
    <x v="5"/>
    <x v="1"/>
  </r>
  <r>
    <x v="762"/>
    <s v="2026-09-27"/>
    <s v="CUST-1076"/>
    <s v="P203"/>
    <n v="8"/>
    <n v="68"/>
    <n v="544"/>
    <x v="2"/>
    <x v="4"/>
    <x v="6"/>
    <x v="7"/>
    <x v="0"/>
  </r>
  <r>
    <x v="763"/>
    <s v="2023-12-18"/>
    <s v=" CUST-1129 "/>
    <s v="P203"/>
    <n v="7"/>
    <n v="63"/>
    <n v="441"/>
    <x v="0"/>
    <x v="0"/>
    <x v="4"/>
    <x v="0"/>
    <x v="1"/>
  </r>
  <r>
    <x v="764"/>
    <s v="2026-10-04"/>
    <s v=" CUST-1178 "/>
    <s v="P203"/>
    <n v="10"/>
    <n v="63"/>
    <n v="630"/>
    <x v="0"/>
    <x v="10"/>
    <x v="4"/>
    <x v="0"/>
    <x v="2"/>
  </r>
  <r>
    <x v="765"/>
    <s v="2025-12-27"/>
    <s v="CUST-1169"/>
    <s v="UNKNOW"/>
    <n v="19"/>
    <n v="68"/>
    <n v="1292"/>
    <x v="2"/>
    <x v="4"/>
    <x v="0"/>
    <x v="7"/>
    <x v="2"/>
  </r>
  <r>
    <x v="766"/>
    <s v="2022-11-05"/>
    <s v="CUST-1093"/>
    <s v="P202"/>
    <n v="18"/>
    <n v="65"/>
    <n v="1170"/>
    <x v="2"/>
    <x v="9"/>
    <x v="12"/>
    <x v="1"/>
    <x v="1"/>
  </r>
  <r>
    <x v="767"/>
    <s v="2023-05-27"/>
    <s v="CUST-1038"/>
    <s v="P202"/>
    <n v="1"/>
    <n v="60"/>
    <n v="60"/>
    <x v="0"/>
    <x v="5"/>
    <x v="7"/>
    <x v="1"/>
    <x v="0"/>
  </r>
  <r>
    <x v="768"/>
    <s v="2023-06-14"/>
    <s v="CUST-1185"/>
    <s v="P103"/>
    <n v="10"/>
    <n v="100"/>
    <n v="1000"/>
    <x v="1"/>
    <x v="6"/>
    <x v="8"/>
    <x v="0"/>
    <x v="1"/>
  </r>
  <r>
    <x v="769"/>
    <s v="2023-08-21"/>
    <s v="CUST-1086"/>
    <s v="C303"/>
    <n v="6"/>
    <n v="60"/>
    <n v="360"/>
    <x v="3"/>
    <x v="3"/>
    <x v="5"/>
    <x v="6"/>
    <x v="0"/>
  </r>
  <r>
    <x v="770"/>
    <s v="2026-03-12"/>
    <s v="CUST-1073"/>
    <s v="P101"/>
    <n v="16"/>
    <n v="80"/>
    <n v="1280"/>
    <x v="0"/>
    <x v="5"/>
    <x v="7"/>
    <x v="2"/>
    <x v="0"/>
  </r>
  <r>
    <x v="771"/>
    <s v="2023-02-14"/>
    <s v="CUST-1148"/>
    <s v="P103"/>
    <n v="9"/>
    <n v="95"/>
    <n v="855"/>
    <x v="3"/>
    <x v="3"/>
    <x v="5"/>
    <x v="6"/>
    <x v="2"/>
  </r>
  <r>
    <x v="772"/>
    <s v="2025-10-22"/>
    <s v="CUST-1177"/>
    <s v="P201"/>
    <n v="14"/>
    <n v="65"/>
    <n v="910"/>
    <x v="0"/>
    <x v="0"/>
    <x v="4"/>
    <x v="1"/>
    <x v="2"/>
  </r>
  <r>
    <x v="773"/>
    <s v="2025-01-12"/>
    <s v="CUST-1099"/>
    <s v="C304"/>
    <n v="8"/>
    <n v="58"/>
    <n v="464"/>
    <x v="2"/>
    <x v="4"/>
    <x v="6"/>
    <x v="7"/>
    <x v="0"/>
  </r>
  <r>
    <x v="774"/>
    <s v="2023-01-14"/>
    <s v="CUST-1024"/>
    <s v="P101"/>
    <n v="20"/>
    <n v="90"/>
    <n v="1800"/>
    <x v="1"/>
    <x v="1"/>
    <x v="1"/>
    <x v="1"/>
    <x v="0"/>
  </r>
  <r>
    <x v="775"/>
    <s v="2026-06-18"/>
    <s v="CUST-1173"/>
    <s v="C302"/>
    <n v="1"/>
    <n v="45"/>
    <n v="45"/>
    <x v="0"/>
    <x v="0"/>
    <x v="4"/>
    <x v="2"/>
    <x v="1"/>
  </r>
  <r>
    <x v="776"/>
    <s v="2023-09-11"/>
    <s v="CUST-1181"/>
    <s v="C302"/>
    <n v="9"/>
    <n v="50"/>
    <n v="450"/>
    <x v="3"/>
    <x v="7"/>
    <x v="11"/>
    <x v="5"/>
    <x v="1"/>
  </r>
  <r>
    <x v="777"/>
    <s v="2024-01-18"/>
    <s v="CUST-1035"/>
    <s v=" C304 "/>
    <n v="17"/>
    <n v="58"/>
    <n v="986"/>
    <x v="3"/>
    <x v="3"/>
    <x v="5"/>
    <x v="6"/>
    <x v="1"/>
  </r>
  <r>
    <x v="778"/>
    <s v="2023-08-21"/>
    <s v="CUST-1089"/>
    <s v="C302"/>
    <n v="5"/>
    <n v="50"/>
    <n v="250"/>
    <x v="7"/>
    <x v="9"/>
    <x v="12"/>
    <x v="2"/>
    <x v="0"/>
  </r>
  <r>
    <x v="779"/>
    <s v="2023-03-20"/>
    <s v="CUST-1109"/>
    <s v="C304"/>
    <n v="3"/>
    <n v="53"/>
    <n v="159"/>
    <x v="0"/>
    <x v="0"/>
    <x v="4"/>
    <x v="5"/>
    <x v="1"/>
  </r>
  <r>
    <x v="780"/>
    <s v="2025-03-16"/>
    <s v="CUST-1044"/>
    <s v="P203"/>
    <n v="5.2631578947368418E-2"/>
    <n v="73"/>
    <n v="3.8421052631578947"/>
    <x v="1"/>
    <x v="1"/>
    <x v="3"/>
    <x v="3"/>
    <x v="1"/>
  </r>
  <r>
    <x v="781"/>
    <s v="2023-02-13"/>
    <s v="CUST-1166"/>
    <s v="P202"/>
    <n v="19"/>
    <n v="60"/>
    <n v="1140"/>
    <x v="0"/>
    <x v="5"/>
    <x v="7"/>
    <x v="4"/>
    <x v="2"/>
  </r>
  <r>
    <x v="782"/>
    <s v="2023-04-08"/>
    <s v=" CUST-1123 "/>
    <s v="P201"/>
    <n v="11"/>
    <n v="65"/>
    <n v="715"/>
    <x v="0"/>
    <x v="0"/>
    <x v="4"/>
    <x v="1"/>
    <x v="0"/>
  </r>
  <r>
    <x v="783"/>
    <s v="2024-11-30"/>
    <s v="UNKNOW"/>
    <s v="P101"/>
    <n v="20"/>
    <n v="85"/>
    <n v="1700"/>
    <x v="5"/>
    <x v="10"/>
    <x v="12"/>
    <x v="2"/>
    <x v="1"/>
  </r>
  <r>
    <x v="784"/>
    <s v="2022-03-09"/>
    <s v="UNKNOW"/>
    <s v="C302"/>
    <n v="1"/>
    <n v="45"/>
    <n v="45"/>
    <x v="0"/>
    <x v="0"/>
    <x v="4"/>
    <x v="4"/>
    <x v="1"/>
  </r>
  <r>
    <x v="785"/>
    <s v="2024-10-22"/>
    <s v="CUST-1100"/>
    <s v="P202"/>
    <n v="15"/>
    <n v="65"/>
    <n v="975"/>
    <x v="5"/>
    <x v="3"/>
    <x v="5"/>
    <x v="6"/>
    <x v="0"/>
  </r>
  <r>
    <x v="786"/>
    <s v="2024-05-12"/>
    <s v="CUST-1083"/>
    <s v="C302"/>
    <n v="0.125"/>
    <n v="50"/>
    <n v="6.25"/>
    <x v="2"/>
    <x v="4"/>
    <x v="6"/>
    <x v="7"/>
    <x v="0"/>
  </r>
  <r>
    <x v="787"/>
    <s v="2024-01-23"/>
    <s v="CUST-1101"/>
    <s v="P102"/>
    <n v="3"/>
    <n v="80"/>
    <n v="240"/>
    <x v="3"/>
    <x v="3"/>
    <x v="5"/>
    <x v="6"/>
    <x v="0"/>
  </r>
  <r>
    <x v="788"/>
    <s v="2024-11-07"/>
    <s v="CUST-1123"/>
    <s v="C302"/>
    <n v="20"/>
    <n v="55"/>
    <n v="1100"/>
    <x v="1"/>
    <x v="6"/>
    <x v="0"/>
    <x v="0"/>
    <x v="0"/>
  </r>
  <r>
    <x v="789"/>
    <s v="2023-06-23"/>
    <s v="#N/A"/>
    <s v="P202"/>
    <n v="16"/>
    <n v="65"/>
    <n v="1040"/>
    <x v="3"/>
    <x v="7"/>
    <x v="11"/>
    <x v="1"/>
    <x v="0"/>
  </r>
  <r>
    <x v="790"/>
    <s v="2022-07-26"/>
    <s v="CUST-1079"/>
    <s v="P101"/>
    <n v="2"/>
    <n v="90"/>
    <n v="180"/>
    <x v="1"/>
    <x v="6"/>
    <x v="8"/>
    <x v="1"/>
    <x v="3"/>
  </r>
  <r>
    <x v="791"/>
    <s v="2022-04-20"/>
    <s v="CUST-1071"/>
    <s v="C302"/>
    <n v="15"/>
    <n v="50"/>
    <n v="750"/>
    <x v="3"/>
    <x v="10"/>
    <x v="0"/>
    <x v="6"/>
    <x v="2"/>
  </r>
  <r>
    <x v="792"/>
    <s v="2024-09-20"/>
    <s v="CUST-1027"/>
    <s v="P101"/>
    <n v="5"/>
    <n v="85"/>
    <n v="425"/>
    <x v="5"/>
    <x v="4"/>
    <x v="6"/>
    <x v="7"/>
    <x v="2"/>
  </r>
  <r>
    <x v="793"/>
    <s v="2024-08-24"/>
    <s v="CUST-1178"/>
    <s v=" P202 "/>
    <n v="16"/>
    <n v="70"/>
    <n v="1120"/>
    <x v="1"/>
    <x v="1"/>
    <x v="3"/>
    <x v="3"/>
    <x v="1"/>
  </r>
  <r>
    <x v="794"/>
    <s v="2025-04-10"/>
    <s v=" CUST-1112 "/>
    <s v="P203"/>
    <n v="14"/>
    <n v="68"/>
    <n v="952"/>
    <x v="3"/>
    <x v="7"/>
    <x v="9"/>
    <x v="9"/>
    <x v="0"/>
  </r>
  <r>
    <x v="795"/>
    <s v="2023-05-11"/>
    <s v="CUST-1121"/>
    <s v="P203"/>
    <n v="4"/>
    <n v="73"/>
    <n v="292"/>
    <x v="1"/>
    <x v="6"/>
    <x v="8"/>
    <x v="2"/>
    <x v="1"/>
  </r>
  <r>
    <x v="796"/>
    <s v=" 2023-03-08 "/>
    <s v=" CUST-1051 "/>
    <s v="C302"/>
    <n v="4"/>
    <n v="50"/>
    <n v="200"/>
    <x v="3"/>
    <x v="8"/>
    <x v="10"/>
    <x v="4"/>
    <x v="1"/>
  </r>
  <r>
    <x v="797"/>
    <s v="2023-07-06"/>
    <s v="CUST-1079"/>
    <s v="P201"/>
    <n v="17"/>
    <n v="70"/>
    <n v="1190"/>
    <x v="2"/>
    <x v="4"/>
    <x v="6"/>
    <x v="7"/>
    <x v="1"/>
  </r>
  <r>
    <x v="798"/>
    <s v="2025-04-06"/>
    <s v="CUST-1151"/>
    <s v="P201"/>
    <n v="1"/>
    <n v="70"/>
    <n v="70"/>
    <x v="3"/>
    <x v="3"/>
    <x v="5"/>
    <x v="6"/>
    <x v="1"/>
  </r>
  <r>
    <x v="799"/>
    <s v="2023-08-06"/>
    <s v="CUST-1010"/>
    <s v="C302"/>
    <n v="8"/>
    <n v="45"/>
    <n v="360"/>
    <x v="0"/>
    <x v="0"/>
    <x v="4"/>
    <x v="4"/>
    <x v="0"/>
  </r>
  <r>
    <x v="800"/>
    <s v="2022-10-15"/>
    <s v="CUST-1168"/>
    <s v="P103"/>
    <n v="12"/>
    <n v="95"/>
    <n v="1140"/>
    <x v="3"/>
    <x v="7"/>
    <x v="9"/>
    <x v="9"/>
    <x v="2"/>
  </r>
  <r>
    <x v="801"/>
    <s v="2022-10-15"/>
    <s v="CUST-1168"/>
    <s v="P103"/>
    <n v="12"/>
    <n v="95"/>
    <n v="1140"/>
    <x v="3"/>
    <x v="7"/>
    <x v="9"/>
    <x v="9"/>
    <x v="2"/>
  </r>
  <r>
    <x v="802"/>
    <s v="2025-06-03"/>
    <s v="CUST-1054"/>
    <s v="UNKNOW"/>
    <n v="9"/>
    <n v="68"/>
    <n v="612"/>
    <x v="3"/>
    <x v="3"/>
    <x v="5"/>
    <x v="6"/>
    <x v="1"/>
  </r>
  <r>
    <x v="803"/>
    <s v="2025-04-04"/>
    <s v="CUST-1065"/>
    <s v="P101"/>
    <n v="15"/>
    <n v="85"/>
    <n v="1275"/>
    <x v="3"/>
    <x v="8"/>
    <x v="10"/>
    <x v="5"/>
    <x v="2"/>
  </r>
  <r>
    <x v="804"/>
    <s v="2025-02-13"/>
    <s v="CUST-1133"/>
    <s v="C301"/>
    <n v="4"/>
    <n v="60"/>
    <n v="240"/>
    <x v="1"/>
    <x v="6"/>
    <x v="8"/>
    <x v="1"/>
    <x v="2"/>
  </r>
  <r>
    <x v="805"/>
    <s v="2025-09-21"/>
    <s v="CUST-1193"/>
    <s v=" C304 "/>
    <n v="12"/>
    <n v="53"/>
    <n v="636"/>
    <x v="0"/>
    <x v="0"/>
    <x v="4"/>
    <x v="4"/>
    <x v="0"/>
  </r>
  <r>
    <x v="806"/>
    <s v="2024-05-28"/>
    <s v="CUST-1078"/>
    <s v="P201"/>
    <n v="18"/>
    <n v="70"/>
    <n v="1260"/>
    <x v="2"/>
    <x v="9"/>
    <x v="12"/>
    <x v="1"/>
    <x v="4"/>
  </r>
  <r>
    <x v="807"/>
    <s v="2022-11-05"/>
    <s v="CUST-1177"/>
    <s v="C304"/>
    <n v="18"/>
    <n v="63"/>
    <n v="1134"/>
    <x v="1"/>
    <x v="6"/>
    <x v="8"/>
    <x v="1"/>
    <x v="0"/>
  </r>
  <r>
    <x v="808"/>
    <s v="2026-07-26"/>
    <s v=" CUST-1037 "/>
    <s v="P202"/>
    <n v="6"/>
    <n v="60"/>
    <n v="360"/>
    <x v="0"/>
    <x v="0"/>
    <x v="4"/>
    <x v="8"/>
    <x v="2"/>
  </r>
  <r>
    <x v="809"/>
    <s v="2022-02-08"/>
    <s v="UNKNOW"/>
    <s v="C302"/>
    <n v="18"/>
    <n v="45"/>
    <n v="810"/>
    <x v="0"/>
    <x v="0"/>
    <x v="4"/>
    <x v="1"/>
    <x v="2"/>
  </r>
  <r>
    <x v="810"/>
    <s v="2024-04-19"/>
    <s v="CUST-1073"/>
    <s v="P102"/>
    <n v="19"/>
    <n v="75"/>
    <n v="1425"/>
    <x v="0"/>
    <x v="5"/>
    <x v="7"/>
    <x v="5"/>
    <x v="1"/>
  </r>
  <r>
    <x v="811"/>
    <s v="2026-07-16"/>
    <s v="CUST-1183"/>
    <s v="P201"/>
    <n v="15"/>
    <n v="75"/>
    <n v="1125"/>
    <x v="1"/>
    <x v="6"/>
    <x v="8"/>
    <x v="4"/>
    <x v="2"/>
  </r>
  <r>
    <x v="812"/>
    <s v="2023-01-28"/>
    <s v="CUST-1049"/>
    <s v="C304"/>
    <n v="18"/>
    <n v="63"/>
    <n v="1134"/>
    <x v="1"/>
    <x v="1"/>
    <x v="1"/>
    <x v="2"/>
    <x v="0"/>
  </r>
  <r>
    <x v="813"/>
    <s v="2023-01-27"/>
    <s v="CUST-1091"/>
    <s v="C301"/>
    <n v="20"/>
    <n v="60"/>
    <n v="1200"/>
    <x v="5"/>
    <x v="6"/>
    <x v="8"/>
    <x v="0"/>
    <x v="2"/>
  </r>
  <r>
    <x v="814"/>
    <s v="2026-09-05"/>
    <s v="CUST-1085"/>
    <s v="C304"/>
    <n v="15"/>
    <n v="58"/>
    <n v="870"/>
    <x v="2"/>
    <x v="4"/>
    <x v="6"/>
    <x v="7"/>
    <x v="1"/>
  </r>
  <r>
    <x v="815"/>
    <s v="2023-06-21"/>
    <s v="CUST-1135"/>
    <s v="C301"/>
    <n v="16"/>
    <n v="55"/>
    <n v="880"/>
    <x v="2"/>
    <x v="2"/>
    <x v="0"/>
    <x v="0"/>
    <x v="0"/>
  </r>
  <r>
    <x v="816"/>
    <s v="2024-09-02"/>
    <s v="CUST-1057"/>
    <s v="C303"/>
    <n v="1"/>
    <n v="55"/>
    <n v="55"/>
    <x v="0"/>
    <x v="0"/>
    <x v="4"/>
    <x v="5"/>
    <x v="2"/>
  </r>
  <r>
    <x v="817"/>
    <s v="2024-04-26"/>
    <s v="CUST-1142"/>
    <s v="P102"/>
    <n v="11"/>
    <n v="80"/>
    <n v="880"/>
    <x v="3"/>
    <x v="3"/>
    <x v="5"/>
    <x v="6"/>
    <x v="1"/>
  </r>
  <r>
    <x v="818"/>
    <s v="2022-11-12"/>
    <s v="CUST-1147"/>
    <s v="C303"/>
    <n v="17"/>
    <n v="60"/>
    <n v="1020"/>
    <x v="3"/>
    <x v="3"/>
    <x v="5"/>
    <x v="6"/>
    <x v="0"/>
  </r>
  <r>
    <x v="819"/>
    <s v="2022-11-12"/>
    <s v="CUST-1147"/>
    <s v="C303"/>
    <n v="17"/>
    <n v="60"/>
    <n v="1020"/>
    <x v="3"/>
    <x v="3"/>
    <x v="5"/>
    <x v="6"/>
    <x v="0"/>
  </r>
  <r>
    <x v="820"/>
    <s v="2025-01-19"/>
    <s v="CUST-1066"/>
    <s v="P101"/>
    <n v="18"/>
    <n v="90"/>
    <n v="1620"/>
    <x v="1"/>
    <x v="6"/>
    <x v="8"/>
    <x v="10"/>
    <x v="1"/>
  </r>
  <r>
    <x v="821"/>
    <s v="2023-10-09"/>
    <s v="CUST-1043"/>
    <s v="P102"/>
    <n v="16"/>
    <n v="80"/>
    <n v="1280"/>
    <x v="3"/>
    <x v="8"/>
    <x v="10"/>
    <x v="2"/>
    <x v="3"/>
  </r>
  <r>
    <x v="822"/>
    <s v="2023-12-09"/>
    <s v="CUST-1019"/>
    <s v="C304"/>
    <n v="20"/>
    <n v="58"/>
    <n v="1160"/>
    <x v="3"/>
    <x v="8"/>
    <x v="10"/>
    <x v="4"/>
    <x v="2"/>
  </r>
  <r>
    <x v="823"/>
    <s v="2023-10-19"/>
    <s v="CUST-1173"/>
    <s v="C302"/>
    <n v="20"/>
    <n v="50"/>
    <n v="1000"/>
    <x v="3"/>
    <x v="7"/>
    <x v="9"/>
    <x v="10"/>
    <x v="1"/>
  </r>
  <r>
    <x v="824"/>
    <s v="2024-04-12"/>
    <s v="CUST-1093"/>
    <s v="P103"/>
    <n v="3"/>
    <n v="100"/>
    <n v="300"/>
    <x v="1"/>
    <x v="6"/>
    <x v="8"/>
    <x v="0"/>
    <x v="2"/>
  </r>
  <r>
    <x v="825"/>
    <s v="2024-09-06"/>
    <s v="CUST-1106"/>
    <s v="P203"/>
    <n v="18"/>
    <n v="68"/>
    <n v="1224"/>
    <x v="3"/>
    <x v="7"/>
    <x v="11"/>
    <x v="4"/>
    <x v="1"/>
  </r>
  <r>
    <x v="826"/>
    <s v="2023-07-17"/>
    <s v="CUST-1053"/>
    <s v="P203"/>
    <n v="10"/>
    <n v="68"/>
    <n v="680"/>
    <x v="2"/>
    <x v="2"/>
    <x v="2"/>
    <x v="5"/>
    <x v="2"/>
  </r>
  <r>
    <x v="827"/>
    <s v="2022-03-18"/>
    <s v="CUST-1063"/>
    <s v="P202"/>
    <n v="4"/>
    <n v="65"/>
    <n v="260"/>
    <x v="3"/>
    <x v="8"/>
    <x v="10"/>
    <x v="4"/>
    <x v="2"/>
  </r>
  <r>
    <x v="828"/>
    <s v="2025-07-04"/>
    <s v="CUST-1165"/>
    <s v="C303"/>
    <n v="6"/>
    <n v="60"/>
    <n v="360"/>
    <x v="2"/>
    <x v="4"/>
    <x v="6"/>
    <x v="7"/>
    <x v="0"/>
  </r>
  <r>
    <x v="829"/>
    <s v="2024-07-13"/>
    <s v="CUST-1045"/>
    <s v="P201"/>
    <n v="14"/>
    <n v="75"/>
    <n v="1050"/>
    <x v="1"/>
    <x v="1"/>
    <x v="3"/>
    <x v="3"/>
    <x v="0"/>
  </r>
  <r>
    <x v="830"/>
    <s v="2023-05-20"/>
    <s v="CUST-1046"/>
    <s v="P103"/>
    <n v="9"/>
    <n v="95"/>
    <n v="855"/>
    <x v="2"/>
    <x v="9"/>
    <x v="12"/>
    <x v="5"/>
    <x v="1"/>
  </r>
  <r>
    <x v="831"/>
    <s v="2022-02-06"/>
    <s v="CUST-1046"/>
    <s v="P202"/>
    <n v="4"/>
    <n v="60"/>
    <n v="240"/>
    <x v="0"/>
    <x v="5"/>
    <x v="7"/>
    <x v="0"/>
    <x v="2"/>
  </r>
  <r>
    <x v="832"/>
    <s v="2023-07-02"/>
    <s v="CUST-1179"/>
    <s v="C303"/>
    <n v="13"/>
    <n v="65"/>
    <n v="845"/>
    <x v="1"/>
    <x v="1"/>
    <x v="3"/>
    <x v="3"/>
    <x v="1"/>
  </r>
  <r>
    <x v="833"/>
    <s v="2026-08-30"/>
    <s v="CUST-1116"/>
    <s v="P203"/>
    <n v="12"/>
    <n v="73"/>
    <n v="876"/>
    <x v="1"/>
    <x v="1"/>
    <x v="1"/>
    <x v="5"/>
    <x v="2"/>
  </r>
  <r>
    <x v="834"/>
    <s v=" 2023-01-24 "/>
    <s v="CUST-1072"/>
    <s v="P201"/>
    <n v="12"/>
    <n v="70"/>
    <n v="840"/>
    <x v="2"/>
    <x v="4"/>
    <x v="6"/>
    <x v="7"/>
    <x v="2"/>
  </r>
  <r>
    <x v="835"/>
    <s v="2025-02-06"/>
    <s v="CUST-1059"/>
    <s v="P101"/>
    <n v="13"/>
    <n v="85"/>
    <n v="1105"/>
    <x v="2"/>
    <x v="4"/>
    <x v="6"/>
    <x v="7"/>
    <x v="0"/>
  </r>
  <r>
    <x v="836"/>
    <s v="2024-07-02"/>
    <s v="CUST-1053"/>
    <s v="P202"/>
    <n v="14"/>
    <n v="70"/>
    <n v="980"/>
    <x v="1"/>
    <x v="1"/>
    <x v="3"/>
    <x v="3"/>
    <x v="2"/>
  </r>
  <r>
    <x v="837"/>
    <s v="2022-04-02"/>
    <s v="CUST-1107"/>
    <s v="C304"/>
    <n v="10"/>
    <n v="63"/>
    <n v="630"/>
    <x v="1"/>
    <x v="11"/>
    <x v="1"/>
    <x v="0"/>
    <x v="1"/>
  </r>
  <r>
    <x v="838"/>
    <s v="2025-10-19"/>
    <s v="CUST-1055"/>
    <s v="P101"/>
    <n v="11"/>
    <n v="90"/>
    <n v="990"/>
    <x v="1"/>
    <x v="6"/>
    <x v="8"/>
    <x v="5"/>
    <x v="1"/>
  </r>
  <r>
    <x v="839"/>
    <s v="2023-08-26"/>
    <s v="CUST-1200"/>
    <s v="C303"/>
    <n v="3"/>
    <n v="65"/>
    <n v="195"/>
    <x v="1"/>
    <x v="6"/>
    <x v="8"/>
    <x v="1"/>
    <x v="1"/>
  </r>
  <r>
    <x v="840"/>
    <s v="2023-08-26"/>
    <s v="CUST-1200"/>
    <s v="C303"/>
    <n v="3"/>
    <n v="65"/>
    <n v="195"/>
    <x v="1"/>
    <x v="6"/>
    <x v="8"/>
    <x v="1"/>
    <x v="1"/>
  </r>
  <r>
    <x v="841"/>
    <s v="2023-12-12"/>
    <s v="CUST-1033"/>
    <s v="P103"/>
    <n v="10"/>
    <n v="95"/>
    <n v="950"/>
    <x v="3"/>
    <x v="3"/>
    <x v="0"/>
    <x v="6"/>
    <x v="2"/>
  </r>
  <r>
    <x v="842"/>
    <s v="2025-06-22"/>
    <s v="CUST-1171"/>
    <s v="P102"/>
    <n v="7"/>
    <n v="80"/>
    <n v="560"/>
    <x v="2"/>
    <x v="4"/>
    <x v="6"/>
    <x v="7"/>
    <x v="1"/>
  </r>
  <r>
    <x v="843"/>
    <s v="2026-06-08"/>
    <s v="CUST-1059"/>
    <s v="P103"/>
    <n v="5"/>
    <n v="90"/>
    <n v="450"/>
    <x v="0"/>
    <x v="0"/>
    <x v="4"/>
    <x v="5"/>
    <x v="0"/>
  </r>
  <r>
    <x v="844"/>
    <s v="2022-08-03"/>
    <s v="CUST-1092"/>
    <s v="C301"/>
    <n v="2"/>
    <n v="50"/>
    <n v="100"/>
    <x v="0"/>
    <x v="0"/>
    <x v="4"/>
    <x v="10"/>
    <x v="0"/>
  </r>
  <r>
    <x v="845"/>
    <s v="2022-08-08"/>
    <s v="CUST-1082"/>
    <s v="C304"/>
    <n v="9"/>
    <n v="53"/>
    <n v="477"/>
    <x v="0"/>
    <x v="0"/>
    <x v="4"/>
    <x v="4"/>
    <x v="0"/>
  </r>
  <r>
    <x v="846"/>
    <s v="2022-08-08"/>
    <s v="CUST-1082"/>
    <s v="C304"/>
    <n v="9"/>
    <n v="53"/>
    <n v="477"/>
    <x v="0"/>
    <x v="0"/>
    <x v="4"/>
    <x v="4"/>
    <x v="0"/>
  </r>
  <r>
    <x v="847"/>
    <s v="2023-05-15"/>
    <s v="CUST-1114"/>
    <s v="P203"/>
    <n v="14"/>
    <n v="73"/>
    <n v="1022"/>
    <x v="1"/>
    <x v="1"/>
    <x v="1"/>
    <x v="4"/>
    <x v="0"/>
  </r>
  <r>
    <x v="848"/>
    <s v="2024-10-19"/>
    <s v="#N/A"/>
    <s v="P201"/>
    <n v="7"/>
    <n v="70"/>
    <n v="490"/>
    <x v="3"/>
    <x v="8"/>
    <x v="10"/>
    <x v="0"/>
    <x v="0"/>
  </r>
  <r>
    <x v="849"/>
    <s v="2025-10-14"/>
    <s v="CUST-1172"/>
    <s v="P203"/>
    <n v="3"/>
    <n v="73"/>
    <n v="219"/>
    <x v="1"/>
    <x v="6"/>
    <x v="8"/>
    <x v="5"/>
    <x v="1"/>
  </r>
  <r>
    <x v="850"/>
    <s v="2024-03-30"/>
    <s v="CUST-1071"/>
    <s v="P201"/>
    <n v="7"/>
    <n v="70"/>
    <n v="490"/>
    <x v="3"/>
    <x v="8"/>
    <x v="10"/>
    <x v="1"/>
    <x v="1"/>
  </r>
  <r>
    <x v="851"/>
    <s v="2022-10-08"/>
    <s v="CUST-1189"/>
    <s v="P102"/>
    <n v="11"/>
    <n v="75"/>
    <n v="825"/>
    <x v="0"/>
    <x v="0"/>
    <x v="4"/>
    <x v="4"/>
    <x v="2"/>
  </r>
  <r>
    <x v="852"/>
    <s v="2024-10-18"/>
    <s v="CUST-1095"/>
    <s v="C303"/>
    <n v="5"/>
    <n v="60"/>
    <n v="300"/>
    <x v="2"/>
    <x v="4"/>
    <x v="6"/>
    <x v="7"/>
    <x v="1"/>
  </r>
  <r>
    <x v="853"/>
    <s v="2022-06-11"/>
    <s v="CUST-1134"/>
    <s v="P202"/>
    <n v="2"/>
    <n v="65"/>
    <n v="130"/>
    <x v="4"/>
    <x v="8"/>
    <x v="10"/>
    <x v="0"/>
    <x v="3"/>
  </r>
  <r>
    <x v="854"/>
    <s v="2026-03-12"/>
    <s v="CUST-1142"/>
    <s v="P202"/>
    <n v="7"/>
    <n v="65"/>
    <n v="455"/>
    <x v="3"/>
    <x v="8"/>
    <x v="10"/>
    <x v="4"/>
    <x v="1"/>
  </r>
  <r>
    <x v="855"/>
    <s v=" 2024-10-25 "/>
    <s v="CUST-1153"/>
    <s v="C302"/>
    <n v="15"/>
    <n v="45"/>
    <n v="675"/>
    <x v="6"/>
    <x v="0"/>
    <x v="4"/>
    <x v="5"/>
    <x v="0"/>
  </r>
  <r>
    <x v="856"/>
    <s v="2025-03-06"/>
    <s v="CUST-1113"/>
    <s v="P203"/>
    <n v="16"/>
    <n v="68"/>
    <n v="1088"/>
    <x v="2"/>
    <x v="4"/>
    <x v="6"/>
    <x v="7"/>
    <x v="3"/>
  </r>
  <r>
    <x v="857"/>
    <s v="2026-08-18"/>
    <s v="CUST-1056"/>
    <s v="P102"/>
    <n v="6"/>
    <n v="85"/>
    <n v="510"/>
    <x v="1"/>
    <x v="1"/>
    <x v="1"/>
    <x v="5"/>
    <x v="1"/>
  </r>
  <r>
    <x v="858"/>
    <s v="2026-06-08"/>
    <s v="CUST-1026"/>
    <s v="P201"/>
    <n v="9"/>
    <n v="75"/>
    <n v="675"/>
    <x v="1"/>
    <x v="1"/>
    <x v="1"/>
    <x v="1"/>
    <x v="0"/>
  </r>
  <r>
    <x v="859"/>
    <s v="2022-07-10"/>
    <s v="CUST-1118"/>
    <s v="P102"/>
    <n v="11"/>
    <n v="85"/>
    <n v="935"/>
    <x v="1"/>
    <x v="1"/>
    <x v="1"/>
    <x v="0"/>
    <x v="2"/>
  </r>
  <r>
    <x v="860"/>
    <s v="2025-06-27"/>
    <s v="CUST-1186"/>
    <s v="P201"/>
    <n v="1"/>
    <n v="75"/>
    <n v="75"/>
    <x v="1"/>
    <x v="6"/>
    <x v="8"/>
    <x v="1"/>
    <x v="1"/>
  </r>
  <r>
    <x v="861"/>
    <s v=" 2023-09-22 "/>
    <s v="CUST-1129"/>
    <s v="P103"/>
    <n v="14"/>
    <n v="100"/>
    <n v="1400"/>
    <x v="1"/>
    <x v="6"/>
    <x v="8"/>
    <x v="2"/>
    <x v="2"/>
  </r>
  <r>
    <x v="862"/>
    <s v="2024-05-30"/>
    <s v="CUST-1028"/>
    <s v="C301"/>
    <n v="4"/>
    <n v="60"/>
    <n v="240"/>
    <x v="1"/>
    <x v="6"/>
    <x v="8"/>
    <x v="1"/>
    <x v="0"/>
  </r>
  <r>
    <x v="863"/>
    <s v="2026-01-18"/>
    <s v=" CUST-1146 "/>
    <s v="P201"/>
    <n v="14"/>
    <n v="70"/>
    <n v="980"/>
    <x v="2"/>
    <x v="2"/>
    <x v="2"/>
    <x v="5"/>
    <x v="2"/>
  </r>
  <r>
    <x v="864"/>
    <s v="2026-04-18"/>
    <s v="CUST-1172"/>
    <s v="P202"/>
    <n v="13"/>
    <n v="65"/>
    <n v="845"/>
    <x v="2"/>
    <x v="9"/>
    <x v="12"/>
    <x v="4"/>
    <x v="1"/>
  </r>
  <r>
    <x v="865"/>
    <s v="2025-03-30"/>
    <s v="CUST-1081"/>
    <s v="C303"/>
    <n v="4"/>
    <n v="60"/>
    <n v="240"/>
    <x v="3"/>
    <x v="3"/>
    <x v="5"/>
    <x v="6"/>
    <x v="2"/>
  </r>
  <r>
    <x v="866"/>
    <s v="2024-06-30"/>
    <s v="CUST-1066"/>
    <s v="P202"/>
    <n v="4"/>
    <n v="60"/>
    <n v="240"/>
    <x v="0"/>
    <x v="5"/>
    <x v="7"/>
    <x v="0"/>
    <x v="2"/>
  </r>
  <r>
    <x v="867"/>
    <s v=" 2024-11-28 "/>
    <s v="CUST-1146"/>
    <s v="P101"/>
    <n v="3"/>
    <n v="85"/>
    <n v="255"/>
    <x v="2"/>
    <x v="4"/>
    <x v="6"/>
    <x v="7"/>
    <x v="1"/>
  </r>
  <r>
    <x v="868"/>
    <s v="2023-01-04"/>
    <s v="CUST-1056"/>
    <s v="P103"/>
    <n v="8"/>
    <n v="95"/>
    <n v="760"/>
    <x v="2"/>
    <x v="2"/>
    <x v="2"/>
    <x v="0"/>
    <x v="3"/>
  </r>
  <r>
    <x v="869"/>
    <s v="2023-03-10"/>
    <s v="CUST-1046"/>
    <s v="C302"/>
    <n v="7"/>
    <n v="45"/>
    <n v="315"/>
    <x v="0"/>
    <x v="5"/>
    <x v="7"/>
    <x v="1"/>
    <x v="0"/>
  </r>
  <r>
    <x v="870"/>
    <s v="2022-11-23"/>
    <s v="CUST-1165"/>
    <s v="P103"/>
    <n v="14"/>
    <n v="100"/>
    <n v="1400"/>
    <x v="1"/>
    <x v="6"/>
    <x v="8"/>
    <x v="0"/>
    <x v="2"/>
  </r>
  <r>
    <x v="871"/>
    <s v="2026-01-13"/>
    <s v="CUST-1177"/>
    <s v="P101"/>
    <n v="4"/>
    <n v="85"/>
    <n v="340"/>
    <x v="3"/>
    <x v="7"/>
    <x v="9"/>
    <x v="9"/>
    <x v="0"/>
  </r>
  <r>
    <x v="872"/>
    <s v="2022-11-21"/>
    <s v="#N/A"/>
    <s v="P201"/>
    <n v="19"/>
    <n v="75"/>
    <n v="1425"/>
    <x v="1"/>
    <x v="6"/>
    <x v="8"/>
    <x v="2"/>
    <x v="2"/>
  </r>
  <r>
    <x v="873"/>
    <s v="2026-04-29"/>
    <s v="CUST-1110"/>
    <s v="P103"/>
    <n v="7"/>
    <n v="95"/>
    <n v="665"/>
    <x v="2"/>
    <x v="4"/>
    <x v="6"/>
    <x v="7"/>
    <x v="0"/>
  </r>
  <r>
    <x v="874"/>
    <s v="2022-04-04"/>
    <s v="CUST-1169"/>
    <s v="P202"/>
    <n v="4"/>
    <n v="60"/>
    <n v="240"/>
    <x v="0"/>
    <x v="0"/>
    <x v="4"/>
    <x v="0"/>
    <x v="2"/>
  </r>
  <r>
    <x v="875"/>
    <s v="2024-11-21"/>
    <s v="CUST-1155"/>
    <s v="P203"/>
    <n v="7"/>
    <n v="68"/>
    <n v="476"/>
    <x v="2"/>
    <x v="4"/>
    <x v="6"/>
    <x v="7"/>
    <x v="2"/>
  </r>
  <r>
    <x v="876"/>
    <s v="2023-11-24"/>
    <s v="UNKNOW"/>
    <s v="P101"/>
    <n v="15"/>
    <n v="85"/>
    <n v="1275"/>
    <x v="3"/>
    <x v="7"/>
    <x v="11"/>
    <x v="5"/>
    <x v="0"/>
  </r>
  <r>
    <x v="877"/>
    <s v="2023-06-02"/>
    <s v="CUST-1048"/>
    <s v="P102"/>
    <n v="10"/>
    <n v="80"/>
    <n v="800"/>
    <x v="3"/>
    <x v="7"/>
    <x v="9"/>
    <x v="9"/>
    <x v="1"/>
  </r>
  <r>
    <x v="878"/>
    <s v="2025-11-06"/>
    <s v="CUST-1046"/>
    <s v="C304"/>
    <n v="3"/>
    <n v="63"/>
    <n v="189"/>
    <x v="1"/>
    <x v="6"/>
    <x v="8"/>
    <x v="1"/>
    <x v="0"/>
  </r>
  <r>
    <x v="879"/>
    <s v="2023-12-24"/>
    <s v="CUST-1044"/>
    <s v="P201"/>
    <n v="7"/>
    <n v="70"/>
    <n v="490"/>
    <x v="5"/>
    <x v="3"/>
    <x v="5"/>
    <x v="6"/>
    <x v="2"/>
  </r>
  <r>
    <x v="880"/>
    <s v="2022-04-23"/>
    <s v=" CUST-1077 "/>
    <s v="P103"/>
    <n v="12"/>
    <n v="100"/>
    <n v="1200"/>
    <x v="1"/>
    <x v="6"/>
    <x v="8"/>
    <x v="4"/>
    <x v="2"/>
  </r>
  <r>
    <x v="881"/>
    <s v="2023-06-01"/>
    <s v="CUST-1194"/>
    <s v="P103"/>
    <n v="3"/>
    <n v="100"/>
    <n v="300"/>
    <x v="1"/>
    <x v="1"/>
    <x v="1"/>
    <x v="0"/>
    <x v="1"/>
  </r>
  <r>
    <x v="882"/>
    <s v="2025-09-06"/>
    <s v="CUST-1124"/>
    <s v="P101"/>
    <n v="7"/>
    <n v="80"/>
    <n v="560"/>
    <x v="0"/>
    <x v="5"/>
    <x v="7"/>
    <x v="4"/>
    <x v="2"/>
  </r>
  <r>
    <x v="883"/>
    <s v="2023-05-16"/>
    <s v="CUST-1121"/>
    <s v="C302"/>
    <n v="16"/>
    <n v="50"/>
    <n v="800"/>
    <x v="2"/>
    <x v="9"/>
    <x v="12"/>
    <x v="5"/>
    <x v="2"/>
  </r>
  <r>
    <x v="884"/>
    <s v="2026-08-16"/>
    <s v="CUST-1113"/>
    <s v="P103"/>
    <n v="0.33333333333333331"/>
    <n v="90"/>
    <n v="30"/>
    <x v="0"/>
    <x v="5"/>
    <x v="7"/>
    <x v="2"/>
    <x v="2"/>
  </r>
  <r>
    <x v="885"/>
    <s v=" 2024-08-22 "/>
    <s v="CUST-1080"/>
    <s v="P102"/>
    <n v="10"/>
    <n v="80"/>
    <n v="800"/>
    <x v="2"/>
    <x v="2"/>
    <x v="2"/>
    <x v="0"/>
    <x v="0"/>
  </r>
  <r>
    <x v="886"/>
    <s v="UNKNOWN"/>
    <s v="CUST-1168"/>
    <s v="C301"/>
    <n v="17"/>
    <n v="55"/>
    <n v="935"/>
    <x v="3"/>
    <x v="8"/>
    <x v="10"/>
    <x v="1"/>
    <x v="2"/>
  </r>
  <r>
    <x v="887"/>
    <s v="2023-10-13"/>
    <s v="CUST-1021"/>
    <s v="C303"/>
    <n v="14"/>
    <n v="60"/>
    <n v="840"/>
    <x v="8"/>
    <x v="4"/>
    <x v="6"/>
    <x v="8"/>
    <x v="2"/>
  </r>
  <r>
    <x v="888"/>
    <s v="2025-02-20"/>
    <s v="CUST-1071"/>
    <s v="P202"/>
    <n v="14"/>
    <n v="70"/>
    <n v="980"/>
    <x v="1"/>
    <x v="1"/>
    <x v="1"/>
    <x v="2"/>
    <x v="1"/>
  </r>
  <r>
    <x v="889"/>
    <s v="2023-03-27"/>
    <s v="CUST-1061"/>
    <s v="C304"/>
    <n v="12"/>
    <n v="63"/>
    <n v="756"/>
    <x v="1"/>
    <x v="6"/>
    <x v="0"/>
    <x v="5"/>
    <x v="0"/>
  </r>
  <r>
    <x v="890"/>
    <s v="2024-04-13"/>
    <s v="#N/A"/>
    <s v="P202"/>
    <n v="8"/>
    <n v="65"/>
    <n v="520"/>
    <x v="5"/>
    <x v="2"/>
    <x v="0"/>
    <x v="0"/>
    <x v="2"/>
  </r>
  <r>
    <x v="891"/>
    <s v=" 2023-10-20 "/>
    <s v="CUST-1148"/>
    <s v="P201"/>
    <n v="8"/>
    <n v="65"/>
    <n v="520"/>
    <x v="0"/>
    <x v="0"/>
    <x v="4"/>
    <x v="1"/>
    <x v="0"/>
  </r>
  <r>
    <x v="892"/>
    <s v="2022-05-03"/>
    <s v="CUST-1104"/>
    <s v="P101"/>
    <n v="10"/>
    <n v="80"/>
    <n v="800"/>
    <x v="0"/>
    <x v="5"/>
    <x v="7"/>
    <x v="2"/>
    <x v="2"/>
  </r>
  <r>
    <x v="893"/>
    <s v="2023-06-16"/>
    <s v="CUST-1073"/>
    <s v="P101"/>
    <n v="5"/>
    <n v="85"/>
    <n v="425"/>
    <x v="3"/>
    <x v="8"/>
    <x v="10"/>
    <x v="4"/>
    <x v="2"/>
  </r>
  <r>
    <x v="894"/>
    <s v="2024-05-16"/>
    <s v="CUST-1180"/>
    <s v="P202"/>
    <n v="7"/>
    <n v="60"/>
    <n v="420"/>
    <x v="0"/>
    <x v="5"/>
    <x v="7"/>
    <x v="0"/>
    <x v="1"/>
  </r>
  <r>
    <x v="895"/>
    <s v="2023-10-11"/>
    <s v="CUST-1136"/>
    <s v="C302"/>
    <n v="10"/>
    <n v="55"/>
    <n v="550"/>
    <x v="1"/>
    <x v="6"/>
    <x v="8"/>
    <x v="4"/>
    <x v="0"/>
  </r>
  <r>
    <x v="896"/>
    <s v="2025-07-08"/>
    <s v="CUST-1100"/>
    <s v="C304"/>
    <n v="6"/>
    <n v="63"/>
    <n v="378"/>
    <x v="1"/>
    <x v="6"/>
    <x v="8"/>
    <x v="8"/>
    <x v="0"/>
  </r>
  <r>
    <x v="897"/>
    <s v="2023-12-17"/>
    <s v="CUST-1170"/>
    <s v="P202"/>
    <n v="13"/>
    <n v="65"/>
    <n v="845"/>
    <x v="8"/>
    <x v="4"/>
    <x v="6"/>
    <x v="7"/>
    <x v="1"/>
  </r>
  <r>
    <x v="898"/>
    <s v="2022-03-26"/>
    <s v="CUST-1066"/>
    <s v="P103"/>
    <n v="13"/>
    <n v="95"/>
    <n v="1235"/>
    <x v="2"/>
    <x v="4"/>
    <x v="6"/>
    <x v="7"/>
    <x v="0"/>
  </r>
  <r>
    <x v="899"/>
    <s v="2025-02-14"/>
    <s v="CUST-1135"/>
    <s v="P201"/>
    <n v="12"/>
    <n v="65"/>
    <n v="780"/>
    <x v="0"/>
    <x v="5"/>
    <x v="7"/>
    <x v="1"/>
    <x v="0"/>
  </r>
  <r>
    <x v="900"/>
    <s v="2025-07-07"/>
    <s v="CUST-1129"/>
    <s v="C304"/>
    <n v="2"/>
    <n v="58"/>
    <n v="116"/>
    <x v="5"/>
    <x v="4"/>
    <x v="6"/>
    <x v="7"/>
    <x v="2"/>
  </r>
  <r>
    <x v="901"/>
    <s v="2022-01-25"/>
    <s v="CUST-1063"/>
    <s v="P101"/>
    <n v="13"/>
    <n v="80"/>
    <n v="1040"/>
    <x v="0"/>
    <x v="0"/>
    <x v="4"/>
    <x v="4"/>
    <x v="2"/>
  </r>
  <r>
    <x v="902"/>
    <s v="2024-08-30"/>
    <s v="CUST-1125"/>
    <s v="P102"/>
    <n v="4"/>
    <n v="85"/>
    <n v="340"/>
    <x v="1"/>
    <x v="10"/>
    <x v="3"/>
    <x v="3"/>
    <x v="2"/>
  </r>
  <r>
    <x v="903"/>
    <s v="2025-07-21"/>
    <s v="CUST-1187"/>
    <s v="C303"/>
    <n v="13"/>
    <n v="60"/>
    <n v="780"/>
    <x v="2"/>
    <x v="4"/>
    <x v="6"/>
    <x v="7"/>
    <x v="2"/>
  </r>
  <r>
    <x v="904"/>
    <s v="2025-09-26"/>
    <s v="UNKNOW"/>
    <s v="P102"/>
    <n v="5"/>
    <n v="80"/>
    <n v="400"/>
    <x v="3"/>
    <x v="8"/>
    <x v="10"/>
    <x v="2"/>
    <x v="1"/>
  </r>
  <r>
    <x v="905"/>
    <s v=" 2023-02-08 "/>
    <s v="CUST-1117"/>
    <s v="C301"/>
    <n v="13"/>
    <n v="55"/>
    <n v="715"/>
    <x v="2"/>
    <x v="9"/>
    <x v="12"/>
    <x v="0"/>
    <x v="0"/>
  </r>
  <r>
    <x v="906"/>
    <s v=" 2024-03-03 "/>
    <s v="CUST-1185"/>
    <s v="P202"/>
    <n v="16"/>
    <n v="65"/>
    <n v="1040"/>
    <x v="2"/>
    <x v="2"/>
    <x v="2"/>
    <x v="2"/>
    <x v="1"/>
  </r>
  <r>
    <x v="907"/>
    <s v="2026-04-10"/>
    <s v="CUST-1152"/>
    <s v="C301"/>
    <n v="15"/>
    <n v="60"/>
    <n v="900"/>
    <x v="1"/>
    <x v="6"/>
    <x v="8"/>
    <x v="5"/>
    <x v="2"/>
  </r>
  <r>
    <x v="908"/>
    <s v="2024-05-02"/>
    <s v="CUST-1082"/>
    <s v="P201"/>
    <n v="3"/>
    <n v="70"/>
    <n v="210"/>
    <x v="2"/>
    <x v="9"/>
    <x v="12"/>
    <x v="2"/>
    <x v="1"/>
  </r>
  <r>
    <x v="909"/>
    <s v="2025-04-26"/>
    <s v="CUST-1083"/>
    <s v=" P201 "/>
    <n v="7"/>
    <n v="65"/>
    <n v="455"/>
    <x v="0"/>
    <x v="5"/>
    <x v="7"/>
    <x v="7"/>
    <x v="3"/>
  </r>
  <r>
    <x v="910"/>
    <s v="2026-01-16"/>
    <s v="CUST-1143"/>
    <s v="UNKNOW"/>
    <n v="20"/>
    <n v="53"/>
    <n v="1060"/>
    <x v="0"/>
    <x v="0"/>
    <x v="4"/>
    <x v="0"/>
    <x v="0"/>
  </r>
  <r>
    <x v="911"/>
    <s v="2026-01-16"/>
    <s v="CUST-1143"/>
    <s v="C304"/>
    <n v="20"/>
    <n v="53"/>
    <n v="1060"/>
    <x v="0"/>
    <x v="0"/>
    <x v="4"/>
    <x v="0"/>
    <x v="0"/>
  </r>
  <r>
    <x v="912"/>
    <s v="2025-08-08"/>
    <s v="CUST-1077"/>
    <s v=" P101 "/>
    <n v="9"/>
    <n v="90"/>
    <n v="810"/>
    <x v="1"/>
    <x v="1"/>
    <x v="3"/>
    <x v="0"/>
    <x v="1"/>
  </r>
  <r>
    <x v="913"/>
    <s v="2024-02-17"/>
    <s v="CUST-1128"/>
    <s v="C301"/>
    <n v="9"/>
    <n v="55"/>
    <n v="495"/>
    <x v="2"/>
    <x v="2"/>
    <x v="2"/>
    <x v="3"/>
    <x v="1"/>
  </r>
  <r>
    <x v="914"/>
    <s v="2025-05-13"/>
    <s v="CUST-1138"/>
    <s v="P101"/>
    <n v="12"/>
    <n v="85"/>
    <n v="1020"/>
    <x v="3"/>
    <x v="3"/>
    <x v="5"/>
    <x v="1"/>
    <x v="1"/>
  </r>
  <r>
    <x v="915"/>
    <s v="2026-03-23"/>
    <s v="CUST-1040"/>
    <s v="P101"/>
    <n v="1"/>
    <n v="90"/>
    <n v="90"/>
    <x v="9"/>
    <x v="1"/>
    <x v="1"/>
    <x v="6"/>
    <x v="2"/>
  </r>
  <r>
    <x v="916"/>
    <s v="2024-12-26"/>
    <s v="CUST-1133"/>
    <s v="P101"/>
    <n v="20"/>
    <n v="80"/>
    <n v="1600"/>
    <x v="0"/>
    <x v="5"/>
    <x v="7"/>
    <x v="4"/>
    <x v="2"/>
  </r>
  <r>
    <x v="917"/>
    <m/>
    <m/>
    <m/>
    <m/>
    <m/>
    <m/>
    <x v="10"/>
    <x v="12"/>
    <x v="14"/>
    <x v="11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Customer Type">
  <location ref="D16:F23" firstHeaderRow="0" firstDataRow="1" firstDataCol="1"/>
  <pivotFields count="12">
    <pivotField multipleItemSelectionAllowed="1" showAll="0">
      <items count="919">
        <item x="0"/>
        <item x="1"/>
        <item x="2"/>
        <item x="3"/>
        <item x="4"/>
        <item x="5"/>
        <item x="6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7"/>
        <item x="23"/>
        <item x="917"/>
        <item t="default"/>
      </items>
    </pivotField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axis="axisRow" showAll="0">
      <items count="7">
        <item x="4"/>
        <item x="2"/>
        <item x="0"/>
        <item x="3"/>
        <item x="1"/>
        <item x="5"/>
        <item t="default"/>
      </items>
    </pivotField>
  </pivotFields>
  <rowFields count="1">
    <field x="1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 Unite sold" fld="4" subtotal="count" baseField="0" baseItem="0"/>
    <dataField name="Sum of Total Revenue" fld="6" baseField="0" baseItem="0"/>
  </dataFields>
  <formats count="1">
    <format dxfId="0">
      <pivotArea dataOnly="0" outline="0" fieldPosition="0">
        <references count="1">
          <reference field="4294967294" count="1">
            <x v="1"/>
          </reference>
        </references>
      </pivotArea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Sales Person ">
  <location ref="A1:B14" firstHeaderRow="1" firstDataRow="1" firstDataCol="1"/>
  <pivotFields count="12"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13">
        <item x="10"/>
        <item x="9"/>
        <item x="6"/>
        <item x="7"/>
        <item x="3"/>
        <item x="4"/>
        <item x="5"/>
        <item x="2"/>
        <item x="0"/>
        <item x="1"/>
        <item x="8"/>
        <item x="11"/>
        <item t="default"/>
      </items>
    </pivotField>
    <pivotField showAll="0"/>
  </pivotFields>
  <rowFields count="1">
    <field x="1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Total Revenue" fld="6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Region">
  <location ref="A16:B28" firstHeaderRow="1" firstDataRow="1" firstDataCol="1"/>
  <pivotFields count="12"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12">
        <item sd="0" x="4"/>
        <item sd="0" x="8"/>
        <item sd="0" x="6"/>
        <item x="9"/>
        <item x="7"/>
        <item x="3"/>
        <item x="2"/>
        <item x="0"/>
        <item x="1"/>
        <item x="5"/>
        <item x="10"/>
        <item t="default"/>
      </items>
    </pivotField>
    <pivotField showAll="0">
      <items count="14">
        <item x="11"/>
        <item x="5"/>
        <item x="8"/>
        <item x="0"/>
        <item x="6"/>
        <item x="9"/>
        <item x="2"/>
        <item x="7"/>
        <item x="3"/>
        <item x="4"/>
        <item x="10"/>
        <item x="1"/>
        <item x="12"/>
        <item t="default"/>
      </items>
    </pivotField>
    <pivotField showAll="0">
      <items count="16">
        <item x="13"/>
        <item x="11"/>
        <item x="2"/>
        <item x="7"/>
        <item x="1"/>
        <item x="6"/>
        <item x="9"/>
        <item x="3"/>
        <item x="12"/>
        <item x="4"/>
        <item x="10"/>
        <item x="5"/>
        <item x="8"/>
        <item x="0"/>
        <item x="14"/>
        <item t="default"/>
      </items>
    </pivotField>
    <pivotField showAll="0"/>
    <pivotField showAll="0"/>
  </pivotFields>
  <rowFields count="1">
    <field x="7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Count of  Unite sold" fld="4" subtotal="count" baseField="0" baseItem="0" numFmtId="43"/>
  </dataFields>
  <formats count="1">
    <format dxfId="1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Customer Type">
  <location ref="D1:E8" firstHeaderRow="1" firstDataRow="1" firstDataCol="1"/>
  <pivotFields count="12"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7">
        <item x="4"/>
        <item x="2"/>
        <item x="0"/>
        <item x="3"/>
        <item x="1"/>
        <item x="5"/>
        <item t="default"/>
      </items>
    </pivotField>
  </pivotFields>
  <rowFields count="1">
    <field x="1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otal Revenue" fld="6" baseField="0" baseItem="0" numFmtId="44"/>
  </dataFields>
  <formats count="2">
    <format dxfId="3">
      <pivotArea dataOnly="0" outline="0" axis="axisValues" fieldPosition="0"/>
    </format>
    <format dxfId="2">
      <pivotArea dataOnly="0" outline="0" axis="axisValues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19"/>
  <sheetViews>
    <sheetView zoomScale="85" zoomScaleNormal="85" workbookViewId="0">
      <selection activeCell="B29" sqref="B29"/>
    </sheetView>
  </sheetViews>
  <sheetFormatPr defaultRowHeight="15.6" x14ac:dyDescent="0.3"/>
  <cols>
    <col min="1" max="2" width="11.09765625" bestFit="1" customWidth="1"/>
    <col min="3" max="3" width="10.796875" bestFit="1" customWidth="1"/>
    <col min="4" max="4" width="9.09765625" bestFit="1" customWidth="1"/>
    <col min="5" max="5" width="8.8984375" bestFit="1" customWidth="1"/>
    <col min="6" max="6" width="11.19921875" bestFit="1" customWidth="1"/>
    <col min="7" max="7" width="12.3984375" bestFit="1" customWidth="1"/>
    <col min="8" max="8" width="7.796875" bestFit="1" customWidth="1"/>
    <col min="9" max="9" width="10.09765625" bestFit="1" customWidth="1"/>
    <col min="10" max="10" width="12.796875" bestFit="1" customWidth="1"/>
    <col min="11" max="11" width="16" bestFit="1" customWidth="1"/>
    <col min="12" max="12" width="13.09765625" bestFit="1" customWidth="1"/>
    <col min="15" max="15" width="22" customWidth="1"/>
    <col min="16" max="16" width="25.19921875" customWidth="1"/>
  </cols>
  <sheetData>
    <row r="1" spans="1:12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x14ac:dyDescent="0.3">
      <c r="A2" s="2" t="s">
        <v>12</v>
      </c>
      <c r="B2" s="2" t="s">
        <v>13</v>
      </c>
      <c r="C2" s="2" t="s">
        <v>14</v>
      </c>
      <c r="D2" s="2" t="s">
        <v>15</v>
      </c>
      <c r="E2" s="2">
        <v>18</v>
      </c>
      <c r="F2" s="2">
        <v>45</v>
      </c>
      <c r="G2" s="2" t="s">
        <v>16</v>
      </c>
      <c r="H2" s="2" t="s">
        <v>17</v>
      </c>
      <c r="I2" s="2" t="s">
        <v>18</v>
      </c>
      <c r="J2" s="2" t="s">
        <v>19</v>
      </c>
      <c r="K2" s="2" t="s">
        <v>20</v>
      </c>
      <c r="L2" s="2" t="s">
        <v>21</v>
      </c>
    </row>
    <row r="3" spans="1:12" x14ac:dyDescent="0.3">
      <c r="A3" t="s">
        <v>22</v>
      </c>
      <c r="B3" t="s">
        <v>23</v>
      </c>
      <c r="C3" t="s">
        <v>24</v>
      </c>
      <c r="D3" t="s">
        <v>25</v>
      </c>
      <c r="E3">
        <v>3</v>
      </c>
      <c r="F3">
        <v>60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</row>
    <row r="4" spans="1:12" x14ac:dyDescent="0.3">
      <c r="A4" t="s">
        <v>32</v>
      </c>
      <c r="B4" t="s">
        <v>33</v>
      </c>
      <c r="C4" t="s">
        <v>34</v>
      </c>
      <c r="D4" t="s">
        <v>35</v>
      </c>
      <c r="E4">
        <v>15</v>
      </c>
      <c r="F4">
        <v>60</v>
      </c>
      <c r="G4" t="s">
        <v>36</v>
      </c>
      <c r="H4" t="s">
        <v>37</v>
      </c>
      <c r="I4" t="s">
        <v>38</v>
      </c>
      <c r="J4" t="s">
        <v>39</v>
      </c>
      <c r="K4" t="s">
        <v>30</v>
      </c>
      <c r="L4" t="s">
        <v>31</v>
      </c>
    </row>
    <row r="5" spans="1:12" x14ac:dyDescent="0.3">
      <c r="A5" t="s">
        <v>40</v>
      </c>
      <c r="B5" t="s">
        <v>41</v>
      </c>
      <c r="C5" t="s">
        <v>42</v>
      </c>
      <c r="D5" t="s">
        <v>43</v>
      </c>
      <c r="E5">
        <v>3</v>
      </c>
      <c r="F5">
        <v>95</v>
      </c>
      <c r="G5" t="s">
        <v>44</v>
      </c>
      <c r="H5" t="s">
        <v>37</v>
      </c>
      <c r="I5" t="s">
        <v>38</v>
      </c>
      <c r="J5" t="s">
        <v>39</v>
      </c>
      <c r="K5" t="s">
        <v>45</v>
      </c>
      <c r="L5" t="s">
        <v>46</v>
      </c>
    </row>
    <row r="6" spans="1:12" x14ac:dyDescent="0.3">
      <c r="A6" t="s">
        <v>47</v>
      </c>
      <c r="B6" t="s">
        <v>48</v>
      </c>
      <c r="C6" t="s">
        <v>49</v>
      </c>
      <c r="D6" t="s">
        <v>50</v>
      </c>
      <c r="E6">
        <v>7</v>
      </c>
      <c r="F6">
        <v>70</v>
      </c>
      <c r="G6" t="s">
        <v>51</v>
      </c>
      <c r="H6" t="s">
        <v>27</v>
      </c>
      <c r="I6" t="s">
        <v>52</v>
      </c>
      <c r="J6" t="s">
        <v>53</v>
      </c>
      <c r="K6" t="s">
        <v>54</v>
      </c>
      <c r="L6" t="s">
        <v>21</v>
      </c>
    </row>
    <row r="7" spans="1:12" x14ac:dyDescent="0.3">
      <c r="A7" t="s">
        <v>55</v>
      </c>
      <c r="B7" t="s">
        <v>56</v>
      </c>
      <c r="C7" t="s">
        <v>57</v>
      </c>
      <c r="D7" t="s">
        <v>15</v>
      </c>
      <c r="E7">
        <v>14</v>
      </c>
      <c r="F7">
        <v>50</v>
      </c>
      <c r="G7" t="s">
        <v>58</v>
      </c>
      <c r="H7" t="s">
        <v>37</v>
      </c>
      <c r="I7" t="s">
        <v>38</v>
      </c>
      <c r="J7" t="s">
        <v>59</v>
      </c>
      <c r="K7" t="s">
        <v>60</v>
      </c>
      <c r="L7" t="s">
        <v>46</v>
      </c>
    </row>
    <row r="8" spans="1:12" x14ac:dyDescent="0.3">
      <c r="A8" t="s">
        <v>61</v>
      </c>
      <c r="B8" t="s">
        <v>62</v>
      </c>
      <c r="C8" t="s">
        <v>63</v>
      </c>
      <c r="D8" t="s">
        <v>43</v>
      </c>
      <c r="E8">
        <v>6</v>
      </c>
      <c r="F8">
        <v>90</v>
      </c>
      <c r="G8" t="s">
        <v>64</v>
      </c>
      <c r="H8" t="s">
        <v>17</v>
      </c>
      <c r="I8" t="s">
        <v>18</v>
      </c>
      <c r="J8" t="s">
        <v>65</v>
      </c>
      <c r="K8" t="s">
        <v>66</v>
      </c>
      <c r="L8" t="s">
        <v>31</v>
      </c>
    </row>
    <row r="9" spans="1:12" x14ac:dyDescent="0.3">
      <c r="A9" t="s">
        <v>2188</v>
      </c>
      <c r="B9" t="s">
        <v>67</v>
      </c>
      <c r="C9" t="s">
        <v>68</v>
      </c>
      <c r="D9" t="s">
        <v>43</v>
      </c>
      <c r="E9">
        <v>19</v>
      </c>
      <c r="F9">
        <v>95</v>
      </c>
      <c r="G9" t="s">
        <v>69</v>
      </c>
      <c r="H9" t="s">
        <v>70</v>
      </c>
      <c r="I9" t="s">
        <v>71</v>
      </c>
      <c r="J9" t="s">
        <v>72</v>
      </c>
      <c r="K9" t="s">
        <v>73</v>
      </c>
      <c r="L9" t="s">
        <v>74</v>
      </c>
    </row>
    <row r="10" spans="1:12" x14ac:dyDescent="0.3">
      <c r="A10" t="s">
        <v>75</v>
      </c>
      <c r="B10" t="s">
        <v>76</v>
      </c>
      <c r="C10" t="s">
        <v>77</v>
      </c>
      <c r="D10" t="s">
        <v>25</v>
      </c>
      <c r="E10">
        <v>2</v>
      </c>
      <c r="F10">
        <v>60</v>
      </c>
      <c r="G10" t="s">
        <v>78</v>
      </c>
      <c r="H10" t="s">
        <v>27</v>
      </c>
      <c r="I10" t="s">
        <v>52</v>
      </c>
      <c r="J10" t="s">
        <v>79</v>
      </c>
      <c r="K10" t="s">
        <v>54</v>
      </c>
      <c r="L10" t="s">
        <v>31</v>
      </c>
    </row>
    <row r="11" spans="1:12" x14ac:dyDescent="0.3">
      <c r="A11" t="s">
        <v>80</v>
      </c>
      <c r="B11" t="s">
        <v>81</v>
      </c>
      <c r="C11" t="s">
        <v>82</v>
      </c>
      <c r="D11" t="s">
        <v>43</v>
      </c>
      <c r="E11">
        <v>3</v>
      </c>
      <c r="F11">
        <v>95</v>
      </c>
      <c r="G11" t="s">
        <v>44</v>
      </c>
      <c r="H11" t="s">
        <v>37</v>
      </c>
      <c r="I11" t="s">
        <v>83</v>
      </c>
      <c r="J11" t="s">
        <v>84</v>
      </c>
      <c r="K11" t="s">
        <v>85</v>
      </c>
      <c r="L11" t="s">
        <v>21</v>
      </c>
    </row>
    <row r="12" spans="1:12" x14ac:dyDescent="0.3">
      <c r="A12" t="s">
        <v>86</v>
      </c>
      <c r="B12" t="s">
        <v>87</v>
      </c>
      <c r="C12" t="s">
        <v>88</v>
      </c>
      <c r="D12" t="s">
        <v>15</v>
      </c>
      <c r="E12" t="s">
        <v>19</v>
      </c>
      <c r="F12">
        <v>45</v>
      </c>
      <c r="G12" t="s">
        <v>89</v>
      </c>
      <c r="H12" t="s">
        <v>17</v>
      </c>
      <c r="I12" t="s">
        <v>90</v>
      </c>
      <c r="J12" t="s">
        <v>91</v>
      </c>
      <c r="K12" t="s">
        <v>66</v>
      </c>
      <c r="L12" t="s">
        <v>46</v>
      </c>
    </row>
    <row r="13" spans="1:12" x14ac:dyDescent="0.3">
      <c r="A13" t="s">
        <v>92</v>
      </c>
      <c r="B13" t="s">
        <v>93</v>
      </c>
      <c r="C13" t="s">
        <v>63</v>
      </c>
      <c r="D13" t="s">
        <v>94</v>
      </c>
      <c r="E13">
        <v>7</v>
      </c>
      <c r="F13">
        <v>63</v>
      </c>
      <c r="G13" t="s">
        <v>95</v>
      </c>
      <c r="H13" t="s">
        <v>17</v>
      </c>
      <c r="I13" t="s">
        <v>18</v>
      </c>
      <c r="J13" t="s">
        <v>65</v>
      </c>
      <c r="K13" t="s">
        <v>2190</v>
      </c>
      <c r="L13" t="s">
        <v>21</v>
      </c>
    </row>
    <row r="14" spans="1:12" x14ac:dyDescent="0.3">
      <c r="A14" t="s">
        <v>96</v>
      </c>
      <c r="B14" t="s">
        <v>97</v>
      </c>
      <c r="C14" t="s">
        <v>98</v>
      </c>
      <c r="D14" t="s">
        <v>35</v>
      </c>
      <c r="E14">
        <v>8</v>
      </c>
      <c r="F14">
        <v>65</v>
      </c>
      <c r="G14" t="s">
        <v>99</v>
      </c>
      <c r="H14" t="s">
        <v>27</v>
      </c>
      <c r="I14" t="s">
        <v>100</v>
      </c>
      <c r="J14" t="s">
        <v>101</v>
      </c>
      <c r="K14" t="s">
        <v>45</v>
      </c>
      <c r="L14" t="s">
        <v>31</v>
      </c>
    </row>
    <row r="15" spans="1:12" x14ac:dyDescent="0.3">
      <c r="A15" t="s">
        <v>102</v>
      </c>
      <c r="B15" t="s">
        <v>103</v>
      </c>
      <c r="C15" t="s">
        <v>104</v>
      </c>
      <c r="D15" t="s">
        <v>50</v>
      </c>
      <c r="E15">
        <v>2</v>
      </c>
      <c r="F15">
        <v>60</v>
      </c>
      <c r="G15" t="s">
        <v>78</v>
      </c>
      <c r="H15" t="s">
        <v>17</v>
      </c>
      <c r="I15" t="s">
        <v>90</v>
      </c>
      <c r="J15" t="s">
        <v>91</v>
      </c>
      <c r="K15" t="s">
        <v>20</v>
      </c>
      <c r="L15" t="s">
        <v>21</v>
      </c>
    </row>
    <row r="16" spans="1:12" x14ac:dyDescent="0.3">
      <c r="A16" t="s">
        <v>105</v>
      </c>
      <c r="B16" t="s">
        <v>106</v>
      </c>
      <c r="C16" t="s">
        <v>107</v>
      </c>
      <c r="D16" t="s">
        <v>15</v>
      </c>
      <c r="E16">
        <v>17</v>
      </c>
      <c r="F16">
        <v>50</v>
      </c>
      <c r="G16" t="s">
        <v>108</v>
      </c>
      <c r="H16" t="s">
        <v>37</v>
      </c>
      <c r="I16" t="s">
        <v>38</v>
      </c>
      <c r="J16" t="s">
        <v>39</v>
      </c>
      <c r="K16" t="s">
        <v>20</v>
      </c>
      <c r="L16" t="s">
        <v>19</v>
      </c>
    </row>
    <row r="17" spans="1:12" x14ac:dyDescent="0.3">
      <c r="A17" t="s">
        <v>109</v>
      </c>
      <c r="B17" t="s">
        <v>110</v>
      </c>
      <c r="C17" t="s">
        <v>19</v>
      </c>
      <c r="D17" t="s">
        <v>94</v>
      </c>
      <c r="E17">
        <v>19</v>
      </c>
      <c r="F17">
        <v>63</v>
      </c>
      <c r="G17" t="s">
        <v>111</v>
      </c>
      <c r="H17" t="s">
        <v>17</v>
      </c>
      <c r="I17" t="s">
        <v>18</v>
      </c>
      <c r="J17" t="s">
        <v>65</v>
      </c>
      <c r="K17" t="s">
        <v>30</v>
      </c>
      <c r="L17" t="s">
        <v>21</v>
      </c>
    </row>
    <row r="18" spans="1:12" x14ac:dyDescent="0.3">
      <c r="A18" t="s">
        <v>112</v>
      </c>
      <c r="B18" t="s">
        <v>103</v>
      </c>
      <c r="C18" t="s">
        <v>113</v>
      </c>
      <c r="D18" t="s">
        <v>35</v>
      </c>
      <c r="E18">
        <v>9</v>
      </c>
      <c r="F18">
        <v>55</v>
      </c>
      <c r="G18" t="s">
        <v>114</v>
      </c>
      <c r="H18" t="s">
        <v>17</v>
      </c>
      <c r="I18" t="s">
        <v>18</v>
      </c>
      <c r="J18" t="s">
        <v>65</v>
      </c>
      <c r="K18" t="s">
        <v>30</v>
      </c>
      <c r="L18" t="s">
        <v>21</v>
      </c>
    </row>
    <row r="19" spans="1:12" x14ac:dyDescent="0.3">
      <c r="A19" t="s">
        <v>115</v>
      </c>
      <c r="B19" t="s">
        <v>116</v>
      </c>
      <c r="C19" t="s">
        <v>14</v>
      </c>
      <c r="D19" t="s">
        <v>25</v>
      </c>
      <c r="E19">
        <v>18</v>
      </c>
      <c r="F19">
        <v>60</v>
      </c>
      <c r="G19" t="s">
        <v>117</v>
      </c>
      <c r="H19" t="s">
        <v>27</v>
      </c>
      <c r="I19" t="s">
        <v>28</v>
      </c>
      <c r="J19" t="s">
        <v>29</v>
      </c>
      <c r="K19" t="s">
        <v>60</v>
      </c>
      <c r="L19" t="s">
        <v>46</v>
      </c>
    </row>
    <row r="20" spans="1:12" x14ac:dyDescent="0.3">
      <c r="A20" t="s">
        <v>118</v>
      </c>
      <c r="B20" t="s">
        <v>119</v>
      </c>
      <c r="C20" t="s">
        <v>120</v>
      </c>
      <c r="D20" t="s">
        <v>94</v>
      </c>
      <c r="E20">
        <v>14</v>
      </c>
      <c r="F20">
        <v>73</v>
      </c>
      <c r="G20" t="s">
        <v>121</v>
      </c>
      <c r="H20" t="s">
        <v>27</v>
      </c>
      <c r="I20" t="s">
        <v>28</v>
      </c>
      <c r="J20" t="s">
        <v>29</v>
      </c>
      <c r="K20" t="s">
        <v>66</v>
      </c>
      <c r="L20" t="s">
        <v>46</v>
      </c>
    </row>
    <row r="21" spans="1:12" x14ac:dyDescent="0.3">
      <c r="A21" t="s">
        <v>122</v>
      </c>
      <c r="B21" t="s">
        <v>123</v>
      </c>
      <c r="C21" t="s">
        <v>124</v>
      </c>
      <c r="D21" t="s">
        <v>125</v>
      </c>
      <c r="E21">
        <v>18</v>
      </c>
      <c r="F21">
        <v>63</v>
      </c>
      <c r="G21" t="s">
        <v>126</v>
      </c>
      <c r="H21" t="s">
        <v>27</v>
      </c>
      <c r="I21" t="s">
        <v>100</v>
      </c>
      <c r="J21" t="s">
        <v>101</v>
      </c>
      <c r="K21" t="s">
        <v>30</v>
      </c>
      <c r="L21" t="s">
        <v>31</v>
      </c>
    </row>
    <row r="22" spans="1:12" x14ac:dyDescent="0.3">
      <c r="A22" t="s">
        <v>127</v>
      </c>
      <c r="B22" t="s">
        <v>128</v>
      </c>
      <c r="C22" t="s">
        <v>129</v>
      </c>
      <c r="D22" t="s">
        <v>25</v>
      </c>
      <c r="E22">
        <v>7</v>
      </c>
      <c r="F22">
        <v>60</v>
      </c>
      <c r="G22" t="s">
        <v>130</v>
      </c>
      <c r="H22" t="s">
        <v>27</v>
      </c>
      <c r="I22" t="s">
        <v>28</v>
      </c>
      <c r="J22" t="s">
        <v>79</v>
      </c>
      <c r="K22" t="s">
        <v>54</v>
      </c>
      <c r="L22" t="s">
        <v>74</v>
      </c>
    </row>
    <row r="23" spans="1:12" x14ac:dyDescent="0.3">
      <c r="A23" t="s">
        <v>131</v>
      </c>
      <c r="B23" t="s">
        <v>132</v>
      </c>
      <c r="C23" t="s">
        <v>133</v>
      </c>
      <c r="D23" t="s">
        <v>94</v>
      </c>
      <c r="E23">
        <v>11</v>
      </c>
      <c r="F23">
        <v>68</v>
      </c>
      <c r="G23" t="s">
        <v>19</v>
      </c>
      <c r="H23" t="s">
        <v>70</v>
      </c>
      <c r="I23" t="s">
        <v>71</v>
      </c>
      <c r="J23" t="s">
        <v>72</v>
      </c>
      <c r="K23" t="s">
        <v>73</v>
      </c>
      <c r="L23" t="s">
        <v>21</v>
      </c>
    </row>
    <row r="24" spans="1:12" x14ac:dyDescent="0.3">
      <c r="A24" t="s">
        <v>134</v>
      </c>
      <c r="B24" t="s">
        <v>135</v>
      </c>
      <c r="C24" t="s">
        <v>136</v>
      </c>
      <c r="D24" t="s">
        <v>15</v>
      </c>
      <c r="E24">
        <v>10</v>
      </c>
      <c r="F24">
        <v>45</v>
      </c>
      <c r="G24" t="s">
        <v>137</v>
      </c>
      <c r="H24" t="s">
        <v>17</v>
      </c>
      <c r="I24" t="s">
        <v>90</v>
      </c>
      <c r="J24" t="s">
        <v>138</v>
      </c>
      <c r="K24" t="s">
        <v>139</v>
      </c>
      <c r="L24" t="s">
        <v>31</v>
      </c>
    </row>
    <row r="25" spans="1:12" x14ac:dyDescent="0.3">
      <c r="A25" t="s">
        <v>2189</v>
      </c>
      <c r="B25" t="s">
        <v>141</v>
      </c>
      <c r="C25" t="s">
        <v>142</v>
      </c>
      <c r="D25" t="s">
        <v>50</v>
      </c>
      <c r="E25">
        <v>8</v>
      </c>
      <c r="F25">
        <v>60</v>
      </c>
      <c r="G25" t="s">
        <v>143</v>
      </c>
      <c r="H25" t="s">
        <v>17</v>
      </c>
      <c r="I25" t="s">
        <v>18</v>
      </c>
      <c r="J25" t="s">
        <v>65</v>
      </c>
      <c r="K25" t="s">
        <v>45</v>
      </c>
      <c r="L25" t="s">
        <v>46</v>
      </c>
    </row>
    <row r="26" spans="1:12" x14ac:dyDescent="0.3">
      <c r="A26" t="s">
        <v>2139</v>
      </c>
      <c r="B26" t="s">
        <v>144</v>
      </c>
      <c r="C26" t="s">
        <v>145</v>
      </c>
      <c r="D26" t="s">
        <v>146</v>
      </c>
      <c r="E26">
        <v>3</v>
      </c>
      <c r="F26">
        <v>85</v>
      </c>
      <c r="G26" t="s">
        <v>147</v>
      </c>
      <c r="H26" t="s">
        <v>37</v>
      </c>
      <c r="I26" t="s">
        <v>38</v>
      </c>
      <c r="J26" t="s">
        <v>39</v>
      </c>
      <c r="K26" t="s">
        <v>66</v>
      </c>
      <c r="L26" t="s">
        <v>46</v>
      </c>
    </row>
    <row r="27" spans="1:12" x14ac:dyDescent="0.3">
      <c r="A27" t="s">
        <v>154</v>
      </c>
      <c r="B27" t="s">
        <v>148</v>
      </c>
      <c r="C27" t="s">
        <v>149</v>
      </c>
      <c r="D27" t="s">
        <v>15</v>
      </c>
      <c r="E27">
        <v>3</v>
      </c>
      <c r="F27">
        <v>50</v>
      </c>
      <c r="G27" t="s">
        <v>150</v>
      </c>
      <c r="H27" t="s">
        <v>70</v>
      </c>
      <c r="I27" t="s">
        <v>151</v>
      </c>
      <c r="J27" t="s">
        <v>152</v>
      </c>
      <c r="K27" t="s">
        <v>153</v>
      </c>
      <c r="L27" t="s">
        <v>46</v>
      </c>
    </row>
    <row r="28" spans="1:12" x14ac:dyDescent="0.3">
      <c r="A28" t="s">
        <v>159</v>
      </c>
      <c r="B28" t="s">
        <v>155</v>
      </c>
      <c r="C28" t="s">
        <v>156</v>
      </c>
      <c r="D28" t="s">
        <v>50</v>
      </c>
      <c r="E28">
        <v>15</v>
      </c>
      <c r="F28">
        <v>65</v>
      </c>
      <c r="G28" t="s">
        <v>157</v>
      </c>
      <c r="H28" t="s">
        <v>37</v>
      </c>
      <c r="I28" t="s">
        <v>83</v>
      </c>
      <c r="J28" t="s">
        <v>84</v>
      </c>
      <c r="K28" t="s">
        <v>158</v>
      </c>
      <c r="L28" t="s">
        <v>46</v>
      </c>
    </row>
    <row r="29" spans="1:12" x14ac:dyDescent="0.3">
      <c r="A29" t="s">
        <v>162</v>
      </c>
      <c r="C29" t="s">
        <v>160</v>
      </c>
      <c r="D29" t="s">
        <v>25</v>
      </c>
      <c r="E29">
        <v>12</v>
      </c>
      <c r="F29">
        <v>55</v>
      </c>
      <c r="G29" t="s">
        <v>161</v>
      </c>
      <c r="H29" t="s">
        <v>37</v>
      </c>
      <c r="I29" t="s">
        <v>38</v>
      </c>
      <c r="J29" t="s">
        <v>39</v>
      </c>
      <c r="K29" t="s">
        <v>66</v>
      </c>
      <c r="L29" t="s">
        <v>21</v>
      </c>
    </row>
    <row r="30" spans="1:12" x14ac:dyDescent="0.3">
      <c r="A30" t="s">
        <v>166</v>
      </c>
      <c r="B30" t="s">
        <v>163</v>
      </c>
      <c r="C30" t="s">
        <v>164</v>
      </c>
      <c r="D30" t="s">
        <v>125</v>
      </c>
      <c r="E30">
        <v>8</v>
      </c>
      <c r="F30">
        <v>58</v>
      </c>
      <c r="G30" t="s">
        <v>165</v>
      </c>
      <c r="H30" t="s">
        <v>70</v>
      </c>
      <c r="I30" t="s">
        <v>71</v>
      </c>
      <c r="J30" t="s">
        <v>72</v>
      </c>
      <c r="K30" t="s">
        <v>73</v>
      </c>
      <c r="L30" t="s">
        <v>21</v>
      </c>
    </row>
    <row r="31" spans="1:12" x14ac:dyDescent="0.3">
      <c r="A31" t="s">
        <v>171</v>
      </c>
      <c r="B31" t="s">
        <v>167</v>
      </c>
      <c r="C31" t="s">
        <v>168</v>
      </c>
      <c r="D31" t="s">
        <v>169</v>
      </c>
      <c r="E31">
        <v>19</v>
      </c>
      <c r="F31">
        <v>75</v>
      </c>
      <c r="G31" t="s">
        <v>170</v>
      </c>
      <c r="H31" t="s">
        <v>17</v>
      </c>
      <c r="I31" t="s">
        <v>18</v>
      </c>
      <c r="J31" t="s">
        <v>65</v>
      </c>
      <c r="K31" t="s">
        <v>2190</v>
      </c>
      <c r="L31" t="s">
        <v>31</v>
      </c>
    </row>
    <row r="32" spans="1:12" x14ac:dyDescent="0.3">
      <c r="A32" t="s">
        <v>175</v>
      </c>
      <c r="B32" t="s">
        <v>172</v>
      </c>
      <c r="C32" t="s">
        <v>173</v>
      </c>
      <c r="D32" t="s">
        <v>169</v>
      </c>
      <c r="E32">
        <v>11</v>
      </c>
      <c r="F32">
        <v>75</v>
      </c>
      <c r="G32" t="s">
        <v>174</v>
      </c>
      <c r="H32" t="s">
        <v>17</v>
      </c>
      <c r="I32" t="s">
        <v>90</v>
      </c>
      <c r="J32" t="s">
        <v>91</v>
      </c>
      <c r="K32" t="s">
        <v>20</v>
      </c>
      <c r="L32" t="s">
        <v>31</v>
      </c>
    </row>
    <row r="33" spans="1:12" x14ac:dyDescent="0.3">
      <c r="A33" t="s">
        <v>179</v>
      </c>
      <c r="B33" t="s">
        <v>176</v>
      </c>
      <c r="C33" t="s">
        <v>177</v>
      </c>
      <c r="D33" t="s">
        <v>146</v>
      </c>
      <c r="E33">
        <v>14</v>
      </c>
      <c r="F33">
        <v>80</v>
      </c>
      <c r="G33" t="s">
        <v>178</v>
      </c>
      <c r="H33" t="s">
        <v>17</v>
      </c>
      <c r="I33" t="s">
        <v>18</v>
      </c>
      <c r="J33" t="s">
        <v>65</v>
      </c>
      <c r="K33" t="s">
        <v>20</v>
      </c>
      <c r="L33" t="s">
        <v>21</v>
      </c>
    </row>
    <row r="34" spans="1:12" x14ac:dyDescent="0.3">
      <c r="A34" t="s">
        <v>185</v>
      </c>
      <c r="B34" t="s">
        <v>180</v>
      </c>
      <c r="C34" t="s">
        <v>181</v>
      </c>
      <c r="D34" t="s">
        <v>35</v>
      </c>
      <c r="E34">
        <v>20</v>
      </c>
      <c r="F34">
        <v>60</v>
      </c>
      <c r="G34" t="s">
        <v>182</v>
      </c>
      <c r="H34" t="s">
        <v>70</v>
      </c>
      <c r="I34" t="s">
        <v>183</v>
      </c>
      <c r="J34" t="s">
        <v>184</v>
      </c>
      <c r="K34" t="s">
        <v>45</v>
      </c>
      <c r="L34" t="s">
        <v>31</v>
      </c>
    </row>
    <row r="35" spans="1:12" x14ac:dyDescent="0.3">
      <c r="A35" t="s">
        <v>189</v>
      </c>
      <c r="B35" t="s">
        <v>186</v>
      </c>
      <c r="C35" t="s">
        <v>187</v>
      </c>
      <c r="D35" t="s">
        <v>15</v>
      </c>
      <c r="E35">
        <v>18</v>
      </c>
      <c r="F35" t="s">
        <v>19</v>
      </c>
      <c r="G35" t="s">
        <v>36</v>
      </c>
      <c r="H35" t="s">
        <v>70</v>
      </c>
      <c r="I35" t="s">
        <v>151</v>
      </c>
      <c r="J35" t="s">
        <v>188</v>
      </c>
      <c r="K35" t="s">
        <v>30</v>
      </c>
      <c r="L35" t="s">
        <v>21</v>
      </c>
    </row>
    <row r="36" spans="1:12" x14ac:dyDescent="0.3">
      <c r="A36" t="s">
        <v>193</v>
      </c>
      <c r="B36" t="s">
        <v>140</v>
      </c>
      <c r="C36" t="s">
        <v>190</v>
      </c>
      <c r="D36" t="s">
        <v>43</v>
      </c>
      <c r="E36">
        <v>19</v>
      </c>
      <c r="F36">
        <v>90</v>
      </c>
      <c r="G36" t="s">
        <v>191</v>
      </c>
      <c r="H36" t="s">
        <v>17</v>
      </c>
      <c r="I36" t="s">
        <v>90</v>
      </c>
      <c r="J36" t="s">
        <v>91</v>
      </c>
      <c r="K36" t="s">
        <v>20</v>
      </c>
      <c r="L36" t="s">
        <v>21</v>
      </c>
    </row>
    <row r="37" spans="1:12" x14ac:dyDescent="0.3">
      <c r="A37" t="s">
        <v>196</v>
      </c>
      <c r="B37" t="s">
        <v>192</v>
      </c>
      <c r="C37" t="s">
        <v>190</v>
      </c>
      <c r="D37" t="s">
        <v>43</v>
      </c>
      <c r="E37">
        <v>19</v>
      </c>
      <c r="F37">
        <v>90</v>
      </c>
      <c r="G37" t="s">
        <v>191</v>
      </c>
      <c r="H37" t="s">
        <v>17</v>
      </c>
      <c r="I37" t="s">
        <v>90</v>
      </c>
      <c r="J37" t="s">
        <v>91</v>
      </c>
      <c r="K37" t="s">
        <v>20</v>
      </c>
      <c r="L37" t="s">
        <v>21</v>
      </c>
    </row>
    <row r="38" spans="1:12" x14ac:dyDescent="0.3">
      <c r="A38" t="s">
        <v>199</v>
      </c>
      <c r="B38" t="s">
        <v>194</v>
      </c>
      <c r="C38" t="s">
        <v>42</v>
      </c>
      <c r="D38" t="s">
        <v>25</v>
      </c>
      <c r="E38">
        <v>19</v>
      </c>
      <c r="F38">
        <v>55</v>
      </c>
      <c r="G38" t="s">
        <v>195</v>
      </c>
      <c r="H38" t="s">
        <v>70</v>
      </c>
      <c r="I38" t="s">
        <v>71</v>
      </c>
      <c r="J38" t="s">
        <v>72</v>
      </c>
      <c r="K38" t="s">
        <v>73</v>
      </c>
      <c r="L38" t="s">
        <v>31</v>
      </c>
    </row>
    <row r="39" spans="1:12" x14ac:dyDescent="0.3">
      <c r="A39" t="s">
        <v>206</v>
      </c>
      <c r="B39" t="s">
        <v>197</v>
      </c>
      <c r="C39" t="s">
        <v>190</v>
      </c>
      <c r="D39" t="s">
        <v>19</v>
      </c>
      <c r="E39">
        <v>3</v>
      </c>
      <c r="F39">
        <v>65</v>
      </c>
      <c r="G39" t="s">
        <v>198</v>
      </c>
      <c r="H39" t="s">
        <v>70</v>
      </c>
      <c r="I39" t="s">
        <v>151</v>
      </c>
      <c r="J39" t="s">
        <v>188</v>
      </c>
      <c r="K39" t="s">
        <v>66</v>
      </c>
      <c r="L39" t="s">
        <v>21</v>
      </c>
    </row>
    <row r="40" spans="1:12" x14ac:dyDescent="0.3">
      <c r="A40" t="s">
        <v>210</v>
      </c>
      <c r="B40" t="s">
        <v>200</v>
      </c>
      <c r="C40" t="s">
        <v>201</v>
      </c>
      <c r="D40" t="s">
        <v>50</v>
      </c>
      <c r="E40">
        <v>17</v>
      </c>
      <c r="F40">
        <v>65</v>
      </c>
      <c r="G40" t="s">
        <v>202</v>
      </c>
      <c r="H40" t="s">
        <v>37</v>
      </c>
      <c r="I40" t="s">
        <v>38</v>
      </c>
      <c r="J40" t="s">
        <v>39</v>
      </c>
      <c r="K40" t="s">
        <v>66</v>
      </c>
      <c r="L40" t="s">
        <v>21</v>
      </c>
    </row>
    <row r="41" spans="1:12" x14ac:dyDescent="0.3">
      <c r="A41" t="s">
        <v>217</v>
      </c>
      <c r="B41" t="s">
        <v>203</v>
      </c>
      <c r="C41" t="s">
        <v>204</v>
      </c>
      <c r="D41" t="s">
        <v>15</v>
      </c>
      <c r="E41">
        <v>7</v>
      </c>
      <c r="F41">
        <v>50</v>
      </c>
      <c r="G41" t="s">
        <v>205</v>
      </c>
      <c r="H41" t="s">
        <v>70</v>
      </c>
      <c r="I41" t="s">
        <v>183</v>
      </c>
      <c r="J41" t="s">
        <v>184</v>
      </c>
      <c r="K41" t="s">
        <v>45</v>
      </c>
      <c r="L41" t="s">
        <v>31</v>
      </c>
    </row>
    <row r="42" spans="1:12" x14ac:dyDescent="0.3">
      <c r="A42" t="s">
        <v>221</v>
      </c>
      <c r="B42" t="s">
        <v>207</v>
      </c>
      <c r="C42" t="s">
        <v>208</v>
      </c>
      <c r="D42" t="s">
        <v>43</v>
      </c>
      <c r="E42">
        <v>20</v>
      </c>
      <c r="F42">
        <v>100</v>
      </c>
      <c r="G42" t="s">
        <v>209</v>
      </c>
      <c r="H42" t="s">
        <v>27</v>
      </c>
      <c r="I42" t="s">
        <v>100</v>
      </c>
      <c r="J42" t="s">
        <v>101</v>
      </c>
      <c r="K42" t="s">
        <v>30</v>
      </c>
      <c r="L42" t="s">
        <v>46</v>
      </c>
    </row>
    <row r="43" spans="1:12" x14ac:dyDescent="0.3">
      <c r="A43" t="s">
        <v>227</v>
      </c>
      <c r="B43" t="s">
        <v>211</v>
      </c>
      <c r="C43" t="s">
        <v>212</v>
      </c>
      <c r="D43" t="s">
        <v>213</v>
      </c>
      <c r="E43">
        <v>6</v>
      </c>
      <c r="F43">
        <v>55</v>
      </c>
      <c r="G43" t="s">
        <v>214</v>
      </c>
      <c r="H43" t="s">
        <v>27</v>
      </c>
      <c r="I43" t="s">
        <v>28</v>
      </c>
      <c r="J43" t="s">
        <v>29</v>
      </c>
      <c r="K43" t="s">
        <v>45</v>
      </c>
      <c r="L43" t="s">
        <v>31</v>
      </c>
    </row>
    <row r="44" spans="1:12" x14ac:dyDescent="0.3">
      <c r="A44" t="s">
        <v>232</v>
      </c>
      <c r="B44" t="s">
        <v>215</v>
      </c>
      <c r="C44" t="s">
        <v>124</v>
      </c>
      <c r="D44" t="s">
        <v>94</v>
      </c>
      <c r="E44">
        <v>3</v>
      </c>
      <c r="F44">
        <v>73</v>
      </c>
      <c r="G44" t="s">
        <v>216</v>
      </c>
      <c r="H44" t="s">
        <v>27</v>
      </c>
      <c r="I44" t="s">
        <v>28</v>
      </c>
      <c r="J44" t="s">
        <v>29</v>
      </c>
      <c r="K44" t="s">
        <v>66</v>
      </c>
      <c r="L44" t="s">
        <v>31</v>
      </c>
    </row>
    <row r="45" spans="1:12" x14ac:dyDescent="0.3">
      <c r="A45" t="s">
        <v>236</v>
      </c>
      <c r="B45" t="s">
        <v>218</v>
      </c>
      <c r="C45" t="s">
        <v>219</v>
      </c>
      <c r="D45" t="s">
        <v>146</v>
      </c>
      <c r="E45">
        <v>19</v>
      </c>
      <c r="F45">
        <v>80</v>
      </c>
      <c r="G45" t="s">
        <v>220</v>
      </c>
      <c r="H45" t="s">
        <v>17</v>
      </c>
      <c r="I45" t="s">
        <v>90</v>
      </c>
      <c r="J45" t="s">
        <v>91</v>
      </c>
      <c r="K45" t="s">
        <v>20</v>
      </c>
      <c r="L45" t="s">
        <v>31</v>
      </c>
    </row>
    <row r="46" spans="1:12" x14ac:dyDescent="0.3">
      <c r="A46" t="s">
        <v>238</v>
      </c>
      <c r="B46" t="s">
        <v>222</v>
      </c>
      <c r="C46" t="s">
        <v>223</v>
      </c>
      <c r="D46" t="s">
        <v>94</v>
      </c>
      <c r="E46">
        <v>9</v>
      </c>
      <c r="F46">
        <v>68</v>
      </c>
      <c r="G46" t="s">
        <v>224</v>
      </c>
      <c r="H46" t="s">
        <v>37</v>
      </c>
      <c r="I46" t="s">
        <v>225</v>
      </c>
      <c r="J46" t="s">
        <v>226</v>
      </c>
      <c r="K46" t="s">
        <v>45</v>
      </c>
      <c r="L46" t="s">
        <v>19</v>
      </c>
    </row>
    <row r="47" spans="1:12" x14ac:dyDescent="0.3">
      <c r="A47" t="s">
        <v>242</v>
      </c>
      <c r="B47" t="s">
        <v>228</v>
      </c>
      <c r="C47" t="s">
        <v>229</v>
      </c>
      <c r="D47" t="s">
        <v>94</v>
      </c>
      <c r="E47">
        <v>7</v>
      </c>
      <c r="F47">
        <v>68</v>
      </c>
      <c r="G47" t="s">
        <v>230</v>
      </c>
      <c r="H47" t="s">
        <v>231</v>
      </c>
      <c r="I47" t="s">
        <v>19</v>
      </c>
      <c r="J47" t="s">
        <v>152</v>
      </c>
      <c r="K47" t="s">
        <v>153</v>
      </c>
      <c r="L47" t="s">
        <v>21</v>
      </c>
    </row>
    <row r="48" spans="1:12" x14ac:dyDescent="0.3">
      <c r="A48" t="s">
        <v>245</v>
      </c>
      <c r="B48" t="s">
        <v>233</v>
      </c>
      <c r="C48" t="s">
        <v>234</v>
      </c>
      <c r="D48" t="s">
        <v>35</v>
      </c>
      <c r="E48">
        <v>14</v>
      </c>
      <c r="F48">
        <v>55</v>
      </c>
      <c r="G48" t="s">
        <v>235</v>
      </c>
      <c r="H48" t="s">
        <v>19</v>
      </c>
      <c r="I48" t="s">
        <v>90</v>
      </c>
      <c r="J48" t="s">
        <v>91</v>
      </c>
      <c r="K48" t="s">
        <v>60</v>
      </c>
      <c r="L48" t="s">
        <v>46</v>
      </c>
    </row>
    <row r="49" spans="1:12" x14ac:dyDescent="0.3">
      <c r="A49" t="s">
        <v>248</v>
      </c>
      <c r="B49" t="s">
        <v>237</v>
      </c>
      <c r="C49" t="s">
        <v>208</v>
      </c>
      <c r="D49" t="s">
        <v>15</v>
      </c>
      <c r="E49">
        <v>18</v>
      </c>
      <c r="F49">
        <v>50</v>
      </c>
      <c r="G49" t="s">
        <v>36</v>
      </c>
      <c r="H49" t="s">
        <v>37</v>
      </c>
      <c r="I49" t="s">
        <v>38</v>
      </c>
      <c r="J49" t="s">
        <v>39</v>
      </c>
      <c r="K49" t="s">
        <v>60</v>
      </c>
      <c r="L49" t="s">
        <v>31</v>
      </c>
    </row>
    <row r="50" spans="1:12" x14ac:dyDescent="0.3">
      <c r="A50" t="s">
        <v>2140</v>
      </c>
      <c r="B50" t="s">
        <v>239</v>
      </c>
      <c r="C50" t="s">
        <v>240</v>
      </c>
      <c r="D50" t="s">
        <v>169</v>
      </c>
      <c r="E50">
        <v>3</v>
      </c>
      <c r="F50">
        <v>85</v>
      </c>
      <c r="G50" t="s">
        <v>241</v>
      </c>
      <c r="H50" t="s">
        <v>27</v>
      </c>
      <c r="I50" t="s">
        <v>100</v>
      </c>
      <c r="J50" t="s">
        <v>101</v>
      </c>
      <c r="K50" t="s">
        <v>60</v>
      </c>
      <c r="L50" t="s">
        <v>21</v>
      </c>
    </row>
    <row r="51" spans="1:12" x14ac:dyDescent="0.3">
      <c r="A51" t="s">
        <v>254</v>
      </c>
      <c r="B51" t="s">
        <v>243</v>
      </c>
      <c r="C51" t="s">
        <v>244</v>
      </c>
      <c r="D51" t="s">
        <v>169</v>
      </c>
      <c r="E51">
        <v>18</v>
      </c>
      <c r="F51">
        <v>85</v>
      </c>
      <c r="G51" t="s">
        <v>19</v>
      </c>
      <c r="H51" t="s">
        <v>27</v>
      </c>
      <c r="I51" t="s">
        <v>28</v>
      </c>
      <c r="J51" t="s">
        <v>79</v>
      </c>
      <c r="K51" t="s">
        <v>54</v>
      </c>
      <c r="L51" t="s">
        <v>31</v>
      </c>
    </row>
    <row r="52" spans="1:12" x14ac:dyDescent="0.3">
      <c r="A52" t="s">
        <v>257</v>
      </c>
      <c r="B52" t="s">
        <v>246</v>
      </c>
      <c r="C52" t="s">
        <v>201</v>
      </c>
      <c r="D52" t="s">
        <v>35</v>
      </c>
      <c r="E52">
        <v>6</v>
      </c>
      <c r="F52">
        <v>60</v>
      </c>
      <c r="G52" t="s">
        <v>247</v>
      </c>
      <c r="H52" t="s">
        <v>37</v>
      </c>
      <c r="I52" t="s">
        <v>83</v>
      </c>
      <c r="J52" t="s">
        <v>84</v>
      </c>
      <c r="K52" t="s">
        <v>158</v>
      </c>
      <c r="L52" t="s">
        <v>31</v>
      </c>
    </row>
    <row r="53" spans="1:12" x14ac:dyDescent="0.3">
      <c r="A53" t="s">
        <v>261</v>
      </c>
      <c r="B53" t="s">
        <v>249</v>
      </c>
      <c r="C53" t="s">
        <v>88</v>
      </c>
      <c r="D53" t="s">
        <v>125</v>
      </c>
      <c r="E53">
        <v>20</v>
      </c>
      <c r="F53">
        <v>58</v>
      </c>
      <c r="G53" t="s">
        <v>250</v>
      </c>
      <c r="H53" t="s">
        <v>37</v>
      </c>
      <c r="I53" t="s">
        <v>38</v>
      </c>
      <c r="J53" t="s">
        <v>39</v>
      </c>
      <c r="K53" t="s">
        <v>30</v>
      </c>
      <c r="L53" t="s">
        <v>19</v>
      </c>
    </row>
    <row r="54" spans="1:12" x14ac:dyDescent="0.3">
      <c r="A54" t="s">
        <v>264</v>
      </c>
      <c r="B54" t="s">
        <v>251</v>
      </c>
      <c r="C54" t="s">
        <v>252</v>
      </c>
      <c r="D54" t="s">
        <v>169</v>
      </c>
      <c r="E54">
        <v>10</v>
      </c>
      <c r="F54">
        <v>80</v>
      </c>
      <c r="G54" t="s">
        <v>253</v>
      </c>
      <c r="H54" t="s">
        <v>70</v>
      </c>
      <c r="I54" t="s">
        <v>183</v>
      </c>
      <c r="J54" t="s">
        <v>184</v>
      </c>
      <c r="K54" t="s">
        <v>66</v>
      </c>
      <c r="L54" t="s">
        <v>31</v>
      </c>
    </row>
    <row r="55" spans="1:12" x14ac:dyDescent="0.3">
      <c r="A55" t="s">
        <v>267</v>
      </c>
      <c r="B55" t="s">
        <v>255</v>
      </c>
      <c r="C55" t="s">
        <v>256</v>
      </c>
      <c r="D55" t="s">
        <v>25</v>
      </c>
      <c r="E55">
        <v>19</v>
      </c>
      <c r="F55">
        <v>55</v>
      </c>
      <c r="G55" t="s">
        <v>195</v>
      </c>
      <c r="H55" t="s">
        <v>70</v>
      </c>
      <c r="I55" t="s">
        <v>183</v>
      </c>
      <c r="J55" t="s">
        <v>184</v>
      </c>
      <c r="K55" t="s">
        <v>66</v>
      </c>
      <c r="L55" t="s">
        <v>46</v>
      </c>
    </row>
    <row r="56" spans="1:12" x14ac:dyDescent="0.3">
      <c r="A56" t="s">
        <v>271</v>
      </c>
      <c r="B56" t="s">
        <v>258</v>
      </c>
      <c r="C56" t="s">
        <v>259</v>
      </c>
      <c r="D56" t="s">
        <v>35</v>
      </c>
      <c r="E56">
        <v>14</v>
      </c>
      <c r="F56">
        <v>55</v>
      </c>
      <c r="G56" t="s">
        <v>235</v>
      </c>
      <c r="H56" t="s">
        <v>17</v>
      </c>
      <c r="I56" t="s">
        <v>18</v>
      </c>
      <c r="J56" t="s">
        <v>260</v>
      </c>
      <c r="K56" t="s">
        <v>66</v>
      </c>
      <c r="L56" t="s">
        <v>31</v>
      </c>
    </row>
    <row r="57" spans="1:12" x14ac:dyDescent="0.3">
      <c r="A57" t="s">
        <v>275</v>
      </c>
      <c r="B57" t="s">
        <v>262</v>
      </c>
      <c r="C57" t="s">
        <v>120</v>
      </c>
      <c r="D57" t="s">
        <v>43</v>
      </c>
      <c r="E57">
        <v>3</v>
      </c>
      <c r="F57">
        <v>95</v>
      </c>
      <c r="G57" t="s">
        <v>44</v>
      </c>
      <c r="H57" t="s">
        <v>70</v>
      </c>
      <c r="I57" t="s">
        <v>71</v>
      </c>
      <c r="J57" t="s">
        <v>72</v>
      </c>
      <c r="K57" t="s">
        <v>263</v>
      </c>
      <c r="L57" t="s">
        <v>21</v>
      </c>
    </row>
    <row r="58" spans="1:12" x14ac:dyDescent="0.3">
      <c r="A58" t="s">
        <v>278</v>
      </c>
      <c r="B58" t="s">
        <v>265</v>
      </c>
      <c r="C58" t="s">
        <v>149</v>
      </c>
      <c r="D58" t="s">
        <v>43</v>
      </c>
      <c r="E58">
        <v>1</v>
      </c>
      <c r="F58">
        <v>100</v>
      </c>
      <c r="G58" t="s">
        <v>266</v>
      </c>
      <c r="H58" t="s">
        <v>27</v>
      </c>
      <c r="I58" t="s">
        <v>100</v>
      </c>
      <c r="J58" t="s">
        <v>101</v>
      </c>
      <c r="K58" t="s">
        <v>60</v>
      </c>
      <c r="L58" t="s">
        <v>46</v>
      </c>
    </row>
    <row r="59" spans="1:12" x14ac:dyDescent="0.3">
      <c r="A59" t="s">
        <v>283</v>
      </c>
      <c r="B59" t="s">
        <v>268</v>
      </c>
      <c r="C59" t="s">
        <v>269</v>
      </c>
      <c r="D59" t="s">
        <v>25</v>
      </c>
      <c r="E59">
        <v>4</v>
      </c>
      <c r="F59">
        <v>55</v>
      </c>
      <c r="G59" t="s">
        <v>270</v>
      </c>
      <c r="H59" t="s">
        <v>19</v>
      </c>
      <c r="I59" t="s">
        <v>151</v>
      </c>
      <c r="J59" t="s">
        <v>152</v>
      </c>
      <c r="K59" t="s">
        <v>153</v>
      </c>
      <c r="L59" t="s">
        <v>31</v>
      </c>
    </row>
    <row r="60" spans="1:12" x14ac:dyDescent="0.3">
      <c r="A60" t="s">
        <v>287</v>
      </c>
      <c r="B60" t="s">
        <v>268</v>
      </c>
      <c r="C60" t="s">
        <v>269</v>
      </c>
      <c r="D60" t="s">
        <v>25</v>
      </c>
      <c r="E60">
        <v>4</v>
      </c>
      <c r="F60">
        <v>55</v>
      </c>
      <c r="G60" t="s">
        <v>270</v>
      </c>
      <c r="H60" t="s">
        <v>70</v>
      </c>
      <c r="I60" t="s">
        <v>151</v>
      </c>
      <c r="J60" t="s">
        <v>152</v>
      </c>
      <c r="K60" t="s">
        <v>153</v>
      </c>
      <c r="L60" t="s">
        <v>31</v>
      </c>
    </row>
    <row r="61" spans="1:12" x14ac:dyDescent="0.3">
      <c r="A61" t="s">
        <v>290</v>
      </c>
      <c r="B61" t="s">
        <v>272</v>
      </c>
      <c r="C61" t="s">
        <v>273</v>
      </c>
      <c r="D61" t="s">
        <v>125</v>
      </c>
      <c r="E61">
        <v>15</v>
      </c>
      <c r="F61">
        <v>63</v>
      </c>
      <c r="G61" t="s">
        <v>274</v>
      </c>
      <c r="H61" t="s">
        <v>27</v>
      </c>
      <c r="I61" t="s">
        <v>28</v>
      </c>
      <c r="J61" t="s">
        <v>79</v>
      </c>
      <c r="K61" t="s">
        <v>54</v>
      </c>
      <c r="L61" t="s">
        <v>46</v>
      </c>
    </row>
    <row r="62" spans="1:12" x14ac:dyDescent="0.3">
      <c r="A62" t="s">
        <v>295</v>
      </c>
      <c r="B62" t="s">
        <v>276</v>
      </c>
      <c r="C62" t="s">
        <v>88</v>
      </c>
      <c r="D62" t="s">
        <v>146</v>
      </c>
      <c r="E62">
        <v>1</v>
      </c>
      <c r="F62">
        <v>80</v>
      </c>
      <c r="G62" t="s">
        <v>277</v>
      </c>
      <c r="H62" t="s">
        <v>17</v>
      </c>
      <c r="I62" t="s">
        <v>90</v>
      </c>
      <c r="J62" t="s">
        <v>91</v>
      </c>
      <c r="K62" t="s">
        <v>20</v>
      </c>
      <c r="L62" t="s">
        <v>21</v>
      </c>
    </row>
    <row r="63" spans="1:12" x14ac:dyDescent="0.3">
      <c r="A63" t="s">
        <v>299</v>
      </c>
      <c r="B63" t="s">
        <v>279</v>
      </c>
      <c r="C63" t="s">
        <v>280</v>
      </c>
      <c r="D63" t="s">
        <v>281</v>
      </c>
      <c r="E63" t="s">
        <v>19</v>
      </c>
      <c r="F63">
        <v>70</v>
      </c>
      <c r="G63" t="s">
        <v>282</v>
      </c>
      <c r="H63" t="s">
        <v>70</v>
      </c>
      <c r="I63" t="s">
        <v>71</v>
      </c>
      <c r="J63" t="s">
        <v>72</v>
      </c>
      <c r="K63" t="s">
        <v>263</v>
      </c>
      <c r="L63" t="s">
        <v>21</v>
      </c>
    </row>
    <row r="64" spans="1:12" x14ac:dyDescent="0.3">
      <c r="A64" t="s">
        <v>303</v>
      </c>
      <c r="B64" t="s">
        <v>284</v>
      </c>
      <c r="C64" t="s">
        <v>285</v>
      </c>
      <c r="D64" t="s">
        <v>125</v>
      </c>
      <c r="E64">
        <v>17</v>
      </c>
      <c r="F64">
        <v>53</v>
      </c>
      <c r="G64" t="s">
        <v>286</v>
      </c>
      <c r="H64" t="s">
        <v>17</v>
      </c>
      <c r="I64" t="s">
        <v>90</v>
      </c>
      <c r="J64" t="s">
        <v>91</v>
      </c>
      <c r="K64" t="s">
        <v>45</v>
      </c>
      <c r="L64" t="s">
        <v>21</v>
      </c>
    </row>
    <row r="65" spans="1:12" x14ac:dyDescent="0.3">
      <c r="A65" t="s">
        <v>307</v>
      </c>
      <c r="B65" t="s">
        <v>288</v>
      </c>
      <c r="C65" t="s">
        <v>289</v>
      </c>
      <c r="D65" t="s">
        <v>19</v>
      </c>
      <c r="E65">
        <v>10</v>
      </c>
      <c r="F65">
        <v>90</v>
      </c>
      <c r="G65" t="s">
        <v>36</v>
      </c>
      <c r="H65" t="s">
        <v>17</v>
      </c>
      <c r="I65" t="s">
        <v>90</v>
      </c>
      <c r="J65" t="s">
        <v>91</v>
      </c>
      <c r="K65" t="s">
        <v>30</v>
      </c>
      <c r="L65" t="s">
        <v>31</v>
      </c>
    </row>
    <row r="66" spans="1:12" x14ac:dyDescent="0.3">
      <c r="A66" t="s">
        <v>314</v>
      </c>
      <c r="B66" t="s">
        <v>291</v>
      </c>
      <c r="C66" t="s">
        <v>292</v>
      </c>
      <c r="D66" t="s">
        <v>15</v>
      </c>
      <c r="E66">
        <v>8</v>
      </c>
      <c r="F66">
        <v>50</v>
      </c>
      <c r="G66" t="s">
        <v>293</v>
      </c>
      <c r="H66" t="s">
        <v>70</v>
      </c>
      <c r="I66" t="s">
        <v>183</v>
      </c>
      <c r="J66" t="s">
        <v>294</v>
      </c>
      <c r="K66" t="s">
        <v>45</v>
      </c>
      <c r="L66" t="s">
        <v>21</v>
      </c>
    </row>
    <row r="67" spans="1:12" x14ac:dyDescent="0.3">
      <c r="A67" t="s">
        <v>318</v>
      </c>
      <c r="B67" t="s">
        <v>296</v>
      </c>
      <c r="C67" t="s">
        <v>229</v>
      </c>
      <c r="D67" t="s">
        <v>125</v>
      </c>
      <c r="E67">
        <v>1</v>
      </c>
      <c r="F67">
        <v>63</v>
      </c>
      <c r="G67" t="s">
        <v>297</v>
      </c>
      <c r="H67" t="s">
        <v>27</v>
      </c>
      <c r="I67" t="s">
        <v>298</v>
      </c>
      <c r="J67" t="s">
        <v>101</v>
      </c>
      <c r="K67" t="s">
        <v>30</v>
      </c>
      <c r="L67" t="s">
        <v>46</v>
      </c>
    </row>
    <row r="68" spans="1:12" x14ac:dyDescent="0.3">
      <c r="A68" t="s">
        <v>322</v>
      </c>
      <c r="B68" t="s">
        <v>300</v>
      </c>
      <c r="C68" t="s">
        <v>301</v>
      </c>
      <c r="D68" t="s">
        <v>43</v>
      </c>
      <c r="E68">
        <v>20</v>
      </c>
      <c r="F68">
        <v>95</v>
      </c>
      <c r="G68" t="s">
        <v>302</v>
      </c>
      <c r="H68" t="s">
        <v>70</v>
      </c>
      <c r="I68" t="s">
        <v>151</v>
      </c>
      <c r="J68" t="s">
        <v>188</v>
      </c>
      <c r="K68" t="s">
        <v>66</v>
      </c>
      <c r="L68" t="s">
        <v>31</v>
      </c>
    </row>
    <row r="69" spans="1:12" x14ac:dyDescent="0.3">
      <c r="A69" t="s">
        <v>324</v>
      </c>
      <c r="B69" t="s">
        <v>304</v>
      </c>
      <c r="C69" t="s">
        <v>305</v>
      </c>
      <c r="D69" t="s">
        <v>94</v>
      </c>
      <c r="E69">
        <v>20</v>
      </c>
      <c r="F69">
        <v>68</v>
      </c>
      <c r="G69" t="s">
        <v>306</v>
      </c>
      <c r="H69" t="s">
        <v>70</v>
      </c>
      <c r="I69" t="s">
        <v>151</v>
      </c>
      <c r="J69" t="s">
        <v>188</v>
      </c>
      <c r="K69" t="s">
        <v>20</v>
      </c>
      <c r="L69" t="s">
        <v>46</v>
      </c>
    </row>
    <row r="70" spans="1:12" x14ac:dyDescent="0.3">
      <c r="A70" t="s">
        <v>327</v>
      </c>
      <c r="B70" t="s">
        <v>308</v>
      </c>
      <c r="C70" t="s">
        <v>19</v>
      </c>
      <c r="D70" t="s">
        <v>43</v>
      </c>
      <c r="E70">
        <v>11</v>
      </c>
      <c r="F70">
        <v>100</v>
      </c>
      <c r="G70" t="s">
        <v>309</v>
      </c>
      <c r="H70" t="s">
        <v>27</v>
      </c>
      <c r="I70" t="s">
        <v>28</v>
      </c>
      <c r="J70" t="s">
        <v>79</v>
      </c>
      <c r="K70" t="s">
        <v>54</v>
      </c>
      <c r="L70" t="s">
        <v>21</v>
      </c>
    </row>
    <row r="71" spans="1:12" x14ac:dyDescent="0.3">
      <c r="A71" t="s">
        <v>331</v>
      </c>
      <c r="B71" t="s">
        <v>308</v>
      </c>
      <c r="C71" t="s">
        <v>310</v>
      </c>
      <c r="D71" t="s">
        <v>43</v>
      </c>
      <c r="E71">
        <v>11</v>
      </c>
      <c r="F71">
        <v>100</v>
      </c>
      <c r="G71" t="s">
        <v>309</v>
      </c>
      <c r="H71" t="s">
        <v>27</v>
      </c>
      <c r="I71" t="s">
        <v>28</v>
      </c>
      <c r="J71" t="s">
        <v>79</v>
      </c>
      <c r="K71" t="s">
        <v>54</v>
      </c>
      <c r="L71" t="s">
        <v>21</v>
      </c>
    </row>
    <row r="72" spans="1:12" x14ac:dyDescent="0.3">
      <c r="A72" t="s">
        <v>334</v>
      </c>
      <c r="B72" t="s">
        <v>311</v>
      </c>
      <c r="C72" t="s">
        <v>312</v>
      </c>
      <c r="D72" t="s">
        <v>94</v>
      </c>
      <c r="E72">
        <v>14</v>
      </c>
      <c r="F72">
        <v>68</v>
      </c>
      <c r="G72" t="s">
        <v>313</v>
      </c>
      <c r="H72" t="s">
        <v>37</v>
      </c>
      <c r="I72" t="s">
        <v>83</v>
      </c>
      <c r="J72" t="s">
        <v>84</v>
      </c>
      <c r="K72" t="s">
        <v>85</v>
      </c>
      <c r="L72" t="s">
        <v>46</v>
      </c>
    </row>
    <row r="73" spans="1:12" x14ac:dyDescent="0.3">
      <c r="A73" t="s">
        <v>337</v>
      </c>
      <c r="B73" t="s">
        <v>315</v>
      </c>
      <c r="C73" t="s">
        <v>316</v>
      </c>
      <c r="D73" t="s">
        <v>146</v>
      </c>
      <c r="E73">
        <v>7</v>
      </c>
      <c r="F73">
        <v>80</v>
      </c>
      <c r="G73" t="s">
        <v>317</v>
      </c>
      <c r="H73" t="s">
        <v>17</v>
      </c>
      <c r="I73" t="s">
        <v>18</v>
      </c>
      <c r="J73" t="s">
        <v>65</v>
      </c>
      <c r="K73" t="s">
        <v>60</v>
      </c>
      <c r="L73" t="s">
        <v>21</v>
      </c>
    </row>
    <row r="74" spans="1:12" x14ac:dyDescent="0.3">
      <c r="A74" t="s">
        <v>341</v>
      </c>
      <c r="B74" t="s">
        <v>319</v>
      </c>
      <c r="C74" t="s">
        <v>320</v>
      </c>
      <c r="D74" t="s">
        <v>43</v>
      </c>
      <c r="E74">
        <v>6</v>
      </c>
      <c r="F74">
        <v>100</v>
      </c>
      <c r="G74" t="s">
        <v>321</v>
      </c>
      <c r="H74" t="s">
        <v>27</v>
      </c>
      <c r="I74" t="s">
        <v>28</v>
      </c>
      <c r="J74" t="s">
        <v>29</v>
      </c>
      <c r="K74" t="s">
        <v>66</v>
      </c>
      <c r="L74" t="s">
        <v>31</v>
      </c>
    </row>
    <row r="75" spans="1:12" x14ac:dyDescent="0.3">
      <c r="A75" t="s">
        <v>346</v>
      </c>
      <c r="B75" t="s">
        <v>319</v>
      </c>
      <c r="C75" t="s">
        <v>320</v>
      </c>
      <c r="D75" t="s">
        <v>43</v>
      </c>
      <c r="E75">
        <v>6</v>
      </c>
      <c r="F75">
        <v>100</v>
      </c>
      <c r="G75" t="s">
        <v>321</v>
      </c>
      <c r="H75" t="s">
        <v>27</v>
      </c>
      <c r="I75" t="s">
        <v>28</v>
      </c>
      <c r="J75" t="s">
        <v>29</v>
      </c>
      <c r="K75" t="s">
        <v>66</v>
      </c>
      <c r="L75" t="s">
        <v>31</v>
      </c>
    </row>
    <row r="76" spans="1:12" x14ac:dyDescent="0.3">
      <c r="A76" t="s">
        <v>349</v>
      </c>
      <c r="B76" t="s">
        <v>323</v>
      </c>
      <c r="C76" t="s">
        <v>168</v>
      </c>
      <c r="D76" t="s">
        <v>15</v>
      </c>
      <c r="E76">
        <v>9</v>
      </c>
      <c r="F76">
        <v>50</v>
      </c>
      <c r="G76" t="s">
        <v>137</v>
      </c>
      <c r="H76" t="s">
        <v>37</v>
      </c>
      <c r="I76" t="s">
        <v>83</v>
      </c>
      <c r="J76" t="s">
        <v>84</v>
      </c>
      <c r="K76" t="s">
        <v>158</v>
      </c>
      <c r="L76" t="s">
        <v>46</v>
      </c>
    </row>
    <row r="77" spans="1:12" x14ac:dyDescent="0.3">
      <c r="A77" t="s">
        <v>352</v>
      </c>
      <c r="B77" t="s">
        <v>325</v>
      </c>
      <c r="C77" t="s">
        <v>326</v>
      </c>
      <c r="D77" t="s">
        <v>43</v>
      </c>
      <c r="E77">
        <v>11</v>
      </c>
      <c r="F77">
        <v>95</v>
      </c>
      <c r="G77" t="s">
        <v>195</v>
      </c>
      <c r="H77" t="s">
        <v>70</v>
      </c>
      <c r="I77" t="s">
        <v>183</v>
      </c>
      <c r="J77" t="s">
        <v>184</v>
      </c>
      <c r="K77" t="s">
        <v>60</v>
      </c>
      <c r="L77" t="s">
        <v>46</v>
      </c>
    </row>
    <row r="78" spans="1:12" x14ac:dyDescent="0.3">
      <c r="A78" t="s">
        <v>355</v>
      </c>
      <c r="B78" t="s">
        <v>328</v>
      </c>
      <c r="C78" t="s">
        <v>329</v>
      </c>
      <c r="D78" t="s">
        <v>35</v>
      </c>
      <c r="E78">
        <v>10</v>
      </c>
      <c r="F78">
        <v>60</v>
      </c>
      <c r="G78" t="s">
        <v>321</v>
      </c>
      <c r="H78" t="s">
        <v>37</v>
      </c>
      <c r="I78" t="s">
        <v>225</v>
      </c>
      <c r="J78" t="s">
        <v>226</v>
      </c>
      <c r="K78" t="s">
        <v>330</v>
      </c>
      <c r="L78" t="s">
        <v>21</v>
      </c>
    </row>
    <row r="79" spans="1:12" x14ac:dyDescent="0.3">
      <c r="A79" t="s">
        <v>358</v>
      </c>
      <c r="B79" t="s">
        <v>332</v>
      </c>
      <c r="C79" t="s">
        <v>34</v>
      </c>
      <c r="D79" t="s">
        <v>281</v>
      </c>
      <c r="E79">
        <v>14</v>
      </c>
      <c r="F79">
        <v>65</v>
      </c>
      <c r="G79" t="s">
        <v>333</v>
      </c>
      <c r="H79" t="s">
        <v>17</v>
      </c>
      <c r="I79" t="s">
        <v>18</v>
      </c>
      <c r="J79" t="s">
        <v>65</v>
      </c>
      <c r="K79" t="s">
        <v>45</v>
      </c>
      <c r="L79" t="s">
        <v>46</v>
      </c>
    </row>
    <row r="80" spans="1:12" x14ac:dyDescent="0.3">
      <c r="A80" t="s">
        <v>366</v>
      </c>
      <c r="B80" t="s">
        <v>335</v>
      </c>
      <c r="C80" t="s">
        <v>240</v>
      </c>
      <c r="D80" t="s">
        <v>43</v>
      </c>
      <c r="E80">
        <v>10</v>
      </c>
      <c r="F80">
        <v>95</v>
      </c>
      <c r="G80" t="s">
        <v>336</v>
      </c>
      <c r="H80" t="s">
        <v>37</v>
      </c>
      <c r="I80" t="s">
        <v>83</v>
      </c>
      <c r="J80" t="s">
        <v>84</v>
      </c>
      <c r="K80" t="s">
        <v>85</v>
      </c>
      <c r="L80" t="s">
        <v>46</v>
      </c>
    </row>
    <row r="81" spans="1:12" x14ac:dyDescent="0.3">
      <c r="A81" t="s">
        <v>369</v>
      </c>
      <c r="B81" t="s">
        <v>338</v>
      </c>
      <c r="C81" t="s">
        <v>339</v>
      </c>
      <c r="D81" t="s">
        <v>19</v>
      </c>
      <c r="E81">
        <v>19</v>
      </c>
      <c r="F81">
        <v>60</v>
      </c>
      <c r="G81" t="s">
        <v>340</v>
      </c>
      <c r="H81" t="s">
        <v>37</v>
      </c>
      <c r="I81" t="s">
        <v>225</v>
      </c>
      <c r="J81" t="s">
        <v>226</v>
      </c>
      <c r="K81" t="s">
        <v>60</v>
      </c>
      <c r="L81" t="s">
        <v>31</v>
      </c>
    </row>
    <row r="82" spans="1:12" x14ac:dyDescent="0.3">
      <c r="A82" t="s">
        <v>373</v>
      </c>
      <c r="B82" t="s">
        <v>342</v>
      </c>
      <c r="C82" t="s">
        <v>343</v>
      </c>
      <c r="D82" t="s">
        <v>169</v>
      </c>
      <c r="E82">
        <v>16</v>
      </c>
      <c r="F82">
        <v>80</v>
      </c>
      <c r="G82" t="s">
        <v>344</v>
      </c>
      <c r="H82" t="s">
        <v>37</v>
      </c>
      <c r="I82" t="s">
        <v>225</v>
      </c>
      <c r="J82" t="s">
        <v>226</v>
      </c>
      <c r="K82" t="s">
        <v>45</v>
      </c>
      <c r="L82" t="s">
        <v>345</v>
      </c>
    </row>
    <row r="83" spans="1:12" x14ac:dyDescent="0.3">
      <c r="A83" t="s">
        <v>375</v>
      </c>
      <c r="B83" t="s">
        <v>347</v>
      </c>
      <c r="C83" t="s">
        <v>316</v>
      </c>
      <c r="D83" t="s">
        <v>50</v>
      </c>
      <c r="E83">
        <v>19</v>
      </c>
      <c r="F83">
        <v>65</v>
      </c>
      <c r="G83" t="s">
        <v>348</v>
      </c>
      <c r="H83" t="s">
        <v>70</v>
      </c>
      <c r="I83" t="s">
        <v>183</v>
      </c>
      <c r="J83" t="s">
        <v>184</v>
      </c>
      <c r="K83" t="s">
        <v>20</v>
      </c>
      <c r="L83" t="s">
        <v>31</v>
      </c>
    </row>
    <row r="84" spans="1:12" x14ac:dyDescent="0.3">
      <c r="A84" t="s">
        <v>379</v>
      </c>
      <c r="B84" t="s">
        <v>350</v>
      </c>
      <c r="C84" t="s">
        <v>187</v>
      </c>
      <c r="D84" t="s">
        <v>19</v>
      </c>
      <c r="E84">
        <v>13</v>
      </c>
      <c r="F84">
        <v>58</v>
      </c>
      <c r="G84" t="s">
        <v>351</v>
      </c>
      <c r="H84" t="s">
        <v>70</v>
      </c>
      <c r="I84" t="s">
        <v>183</v>
      </c>
      <c r="J84" t="s">
        <v>184</v>
      </c>
      <c r="K84" t="s">
        <v>20</v>
      </c>
      <c r="L84" t="s">
        <v>31</v>
      </c>
    </row>
    <row r="85" spans="1:12" x14ac:dyDescent="0.3">
      <c r="A85" t="s">
        <v>382</v>
      </c>
      <c r="B85" t="s">
        <v>353</v>
      </c>
      <c r="C85" t="s">
        <v>82</v>
      </c>
      <c r="D85" t="s">
        <v>94</v>
      </c>
      <c r="E85">
        <v>10</v>
      </c>
      <c r="F85">
        <v>68</v>
      </c>
      <c r="G85" t="s">
        <v>354</v>
      </c>
      <c r="H85" t="s">
        <v>70</v>
      </c>
      <c r="I85" t="s">
        <v>71</v>
      </c>
      <c r="J85" t="s">
        <v>72</v>
      </c>
      <c r="K85" t="s">
        <v>73</v>
      </c>
      <c r="L85" t="s">
        <v>46</v>
      </c>
    </row>
    <row r="86" spans="1:12" x14ac:dyDescent="0.3">
      <c r="A86" t="s">
        <v>384</v>
      </c>
      <c r="B86" t="s">
        <v>356</v>
      </c>
      <c r="C86" t="s">
        <v>357</v>
      </c>
      <c r="D86" t="s">
        <v>19</v>
      </c>
      <c r="E86">
        <v>5</v>
      </c>
      <c r="F86">
        <v>80</v>
      </c>
      <c r="G86" t="s">
        <v>293</v>
      </c>
      <c r="H86" t="s">
        <v>19</v>
      </c>
      <c r="I86" t="s">
        <v>18</v>
      </c>
      <c r="J86" t="s">
        <v>260</v>
      </c>
      <c r="K86" t="s">
        <v>60</v>
      </c>
      <c r="L86" t="s">
        <v>19</v>
      </c>
    </row>
    <row r="87" spans="1:12" x14ac:dyDescent="0.3">
      <c r="A87" t="s">
        <v>386</v>
      </c>
      <c r="B87" t="s">
        <v>359</v>
      </c>
      <c r="C87" t="s">
        <v>360</v>
      </c>
      <c r="D87" t="s">
        <v>169</v>
      </c>
      <c r="E87">
        <v>7</v>
      </c>
      <c r="F87">
        <v>75</v>
      </c>
      <c r="G87" t="s">
        <v>361</v>
      </c>
      <c r="H87" t="s">
        <v>17</v>
      </c>
      <c r="I87" t="s">
        <v>19</v>
      </c>
      <c r="J87" t="s">
        <v>65</v>
      </c>
      <c r="K87" t="s">
        <v>66</v>
      </c>
      <c r="L87" t="s">
        <v>46</v>
      </c>
    </row>
    <row r="88" spans="1:12" x14ac:dyDescent="0.3">
      <c r="A88" t="s">
        <v>389</v>
      </c>
      <c r="B88" t="s">
        <v>362</v>
      </c>
      <c r="C88" t="s">
        <v>156</v>
      </c>
      <c r="D88" t="s">
        <v>281</v>
      </c>
      <c r="E88">
        <v>6</v>
      </c>
      <c r="F88">
        <v>70</v>
      </c>
      <c r="G88" t="s">
        <v>363</v>
      </c>
      <c r="H88" t="s">
        <v>70</v>
      </c>
      <c r="I88" t="s">
        <v>151</v>
      </c>
      <c r="J88" t="s">
        <v>364</v>
      </c>
      <c r="K88" t="s">
        <v>365</v>
      </c>
      <c r="L88" t="s">
        <v>31</v>
      </c>
    </row>
    <row r="89" spans="1:12" x14ac:dyDescent="0.3">
      <c r="A89" t="s">
        <v>392</v>
      </c>
      <c r="B89" t="s">
        <v>367</v>
      </c>
      <c r="C89" t="s">
        <v>77</v>
      </c>
      <c r="D89" t="s">
        <v>43</v>
      </c>
      <c r="E89">
        <v>19</v>
      </c>
      <c r="F89">
        <v>95</v>
      </c>
      <c r="G89" t="s">
        <v>69</v>
      </c>
      <c r="H89" t="s">
        <v>37</v>
      </c>
      <c r="I89" t="s">
        <v>368</v>
      </c>
      <c r="J89" t="s">
        <v>226</v>
      </c>
      <c r="K89" t="s">
        <v>60</v>
      </c>
      <c r="L89" t="s">
        <v>31</v>
      </c>
    </row>
    <row r="90" spans="1:12" x14ac:dyDescent="0.3">
      <c r="A90" t="s">
        <v>397</v>
      </c>
      <c r="B90" t="s">
        <v>370</v>
      </c>
      <c r="C90" t="s">
        <v>371</v>
      </c>
      <c r="D90" t="s">
        <v>125</v>
      </c>
      <c r="E90">
        <v>19</v>
      </c>
      <c r="F90">
        <v>58</v>
      </c>
      <c r="G90" t="s">
        <v>372</v>
      </c>
      <c r="H90" t="s">
        <v>37</v>
      </c>
      <c r="I90" t="s">
        <v>38</v>
      </c>
      <c r="J90" t="s">
        <v>39</v>
      </c>
      <c r="K90" t="s">
        <v>60</v>
      </c>
      <c r="L90" t="s">
        <v>21</v>
      </c>
    </row>
    <row r="91" spans="1:12" x14ac:dyDescent="0.3">
      <c r="A91" t="s">
        <v>400</v>
      </c>
      <c r="B91" t="s">
        <v>251</v>
      </c>
      <c r="C91" t="s">
        <v>374</v>
      </c>
      <c r="D91" t="s">
        <v>146</v>
      </c>
      <c r="E91">
        <v>1</v>
      </c>
      <c r="F91">
        <v>80</v>
      </c>
      <c r="G91" t="s">
        <v>277</v>
      </c>
      <c r="H91" t="s">
        <v>17</v>
      </c>
      <c r="I91" t="s">
        <v>18</v>
      </c>
      <c r="J91" t="s">
        <v>65</v>
      </c>
      <c r="K91" t="s">
        <v>139</v>
      </c>
      <c r="L91" t="s">
        <v>19</v>
      </c>
    </row>
    <row r="92" spans="1:12" x14ac:dyDescent="0.3">
      <c r="A92" t="s">
        <v>2141</v>
      </c>
      <c r="B92" t="s">
        <v>376</v>
      </c>
      <c r="C92" t="s">
        <v>377</v>
      </c>
      <c r="D92" t="s">
        <v>94</v>
      </c>
      <c r="E92">
        <v>3</v>
      </c>
      <c r="F92">
        <v>68</v>
      </c>
      <c r="G92" t="s">
        <v>378</v>
      </c>
      <c r="H92" t="s">
        <v>70</v>
      </c>
      <c r="I92" t="s">
        <v>151</v>
      </c>
      <c r="J92" t="s">
        <v>188</v>
      </c>
      <c r="K92" t="s">
        <v>20</v>
      </c>
      <c r="L92" t="s">
        <v>31</v>
      </c>
    </row>
    <row r="93" spans="1:12" x14ac:dyDescent="0.3">
      <c r="A93" t="s">
        <v>406</v>
      </c>
      <c r="B93" t="s">
        <v>380</v>
      </c>
      <c r="C93" t="s">
        <v>190</v>
      </c>
      <c r="D93" t="s">
        <v>15</v>
      </c>
      <c r="E93">
        <v>7</v>
      </c>
      <c r="F93">
        <v>50</v>
      </c>
      <c r="G93" t="s">
        <v>381</v>
      </c>
      <c r="H93" t="s">
        <v>70</v>
      </c>
      <c r="I93" t="s">
        <v>183</v>
      </c>
      <c r="J93" t="s">
        <v>184</v>
      </c>
      <c r="K93" t="s">
        <v>66</v>
      </c>
      <c r="L93" t="s">
        <v>46</v>
      </c>
    </row>
    <row r="94" spans="1:12" x14ac:dyDescent="0.3">
      <c r="A94" t="s">
        <v>408</v>
      </c>
      <c r="B94" t="s">
        <v>383</v>
      </c>
      <c r="C94" t="s">
        <v>229</v>
      </c>
      <c r="D94" t="s">
        <v>50</v>
      </c>
      <c r="E94">
        <v>8</v>
      </c>
      <c r="F94">
        <v>70</v>
      </c>
      <c r="G94" t="s">
        <v>317</v>
      </c>
      <c r="H94" t="s">
        <v>27</v>
      </c>
      <c r="I94" t="s">
        <v>100</v>
      </c>
      <c r="J94" t="s">
        <v>101</v>
      </c>
      <c r="K94" t="s">
        <v>20</v>
      </c>
      <c r="L94" t="s">
        <v>31</v>
      </c>
    </row>
    <row r="95" spans="1:12" x14ac:dyDescent="0.3">
      <c r="A95" t="s">
        <v>412</v>
      </c>
      <c r="B95" t="s">
        <v>300</v>
      </c>
      <c r="C95" t="s">
        <v>57</v>
      </c>
      <c r="D95" t="s">
        <v>125</v>
      </c>
      <c r="E95">
        <v>4</v>
      </c>
      <c r="F95">
        <v>58</v>
      </c>
      <c r="G95" t="s">
        <v>385</v>
      </c>
      <c r="H95" t="s">
        <v>70</v>
      </c>
      <c r="I95" t="s">
        <v>183</v>
      </c>
      <c r="J95" t="s">
        <v>184</v>
      </c>
      <c r="K95" t="s">
        <v>45</v>
      </c>
      <c r="L95" t="s">
        <v>31</v>
      </c>
    </row>
    <row r="96" spans="1:12" x14ac:dyDescent="0.3">
      <c r="A96" t="s">
        <v>416</v>
      </c>
      <c r="B96" t="s">
        <v>387</v>
      </c>
      <c r="C96" t="s">
        <v>292</v>
      </c>
      <c r="D96" t="s">
        <v>169</v>
      </c>
      <c r="E96">
        <v>13</v>
      </c>
      <c r="F96">
        <v>80</v>
      </c>
      <c r="G96" t="s">
        <v>388</v>
      </c>
      <c r="H96" t="s">
        <v>37</v>
      </c>
      <c r="I96" t="s">
        <v>38</v>
      </c>
      <c r="J96" t="s">
        <v>39</v>
      </c>
      <c r="K96" t="s">
        <v>45</v>
      </c>
      <c r="L96" t="s">
        <v>31</v>
      </c>
    </row>
    <row r="97" spans="1:12" x14ac:dyDescent="0.3">
      <c r="A97" t="s">
        <v>419</v>
      </c>
      <c r="B97" t="s">
        <v>387</v>
      </c>
      <c r="C97" t="s">
        <v>292</v>
      </c>
      <c r="D97" t="s">
        <v>169</v>
      </c>
      <c r="E97">
        <v>13</v>
      </c>
      <c r="F97">
        <v>80</v>
      </c>
      <c r="G97" t="s">
        <v>388</v>
      </c>
      <c r="H97" t="s">
        <v>37</v>
      </c>
      <c r="I97" t="s">
        <v>38</v>
      </c>
      <c r="J97" t="s">
        <v>39</v>
      </c>
      <c r="K97" t="s">
        <v>45</v>
      </c>
      <c r="L97" t="s">
        <v>31</v>
      </c>
    </row>
    <row r="98" spans="1:12" x14ac:dyDescent="0.3">
      <c r="A98" t="s">
        <v>422</v>
      </c>
      <c r="B98" t="s">
        <v>390</v>
      </c>
      <c r="C98" t="s">
        <v>343</v>
      </c>
      <c r="D98" t="s">
        <v>15</v>
      </c>
      <c r="E98">
        <v>18</v>
      </c>
      <c r="F98">
        <v>50</v>
      </c>
      <c r="G98" t="s">
        <v>391</v>
      </c>
      <c r="H98" t="s">
        <v>70</v>
      </c>
      <c r="I98" t="s">
        <v>151</v>
      </c>
      <c r="J98" t="s">
        <v>188</v>
      </c>
      <c r="K98" t="s">
        <v>45</v>
      </c>
      <c r="L98" t="s">
        <v>31</v>
      </c>
    </row>
    <row r="99" spans="1:12" x14ac:dyDescent="0.3">
      <c r="A99" t="s">
        <v>426</v>
      </c>
      <c r="B99" t="s">
        <v>393</v>
      </c>
      <c r="C99" t="s">
        <v>394</v>
      </c>
      <c r="D99" t="s">
        <v>125</v>
      </c>
      <c r="E99">
        <v>5</v>
      </c>
      <c r="F99">
        <v>63</v>
      </c>
      <c r="G99" t="s">
        <v>395</v>
      </c>
      <c r="H99" t="s">
        <v>27</v>
      </c>
      <c r="I99" t="s">
        <v>100</v>
      </c>
      <c r="J99" t="s">
        <v>396</v>
      </c>
      <c r="K99" t="s">
        <v>60</v>
      </c>
      <c r="L99" t="s">
        <v>31</v>
      </c>
    </row>
    <row r="100" spans="1:12" x14ac:dyDescent="0.3">
      <c r="A100" t="s">
        <v>430</v>
      </c>
      <c r="B100" t="s">
        <v>398</v>
      </c>
      <c r="C100" t="s">
        <v>181</v>
      </c>
      <c r="D100" t="s">
        <v>169</v>
      </c>
      <c r="E100">
        <v>11</v>
      </c>
      <c r="F100">
        <v>85</v>
      </c>
      <c r="G100" t="s">
        <v>399</v>
      </c>
      <c r="H100" t="s">
        <v>27</v>
      </c>
      <c r="I100" t="s">
        <v>100</v>
      </c>
      <c r="J100" t="s">
        <v>140</v>
      </c>
      <c r="K100" t="s">
        <v>30</v>
      </c>
      <c r="L100" t="s">
        <v>21</v>
      </c>
    </row>
    <row r="101" spans="1:12" x14ac:dyDescent="0.3">
      <c r="A101" t="s">
        <v>434</v>
      </c>
      <c r="B101" t="s">
        <v>401</v>
      </c>
      <c r="C101" t="s">
        <v>402</v>
      </c>
      <c r="D101" t="s">
        <v>43</v>
      </c>
      <c r="E101">
        <v>16</v>
      </c>
      <c r="F101">
        <v>95</v>
      </c>
      <c r="G101" t="s">
        <v>220</v>
      </c>
      <c r="H101" t="s">
        <v>70</v>
      </c>
      <c r="I101" t="s">
        <v>151</v>
      </c>
      <c r="J101" t="s">
        <v>152</v>
      </c>
      <c r="K101" t="s">
        <v>153</v>
      </c>
      <c r="L101" t="s">
        <v>21</v>
      </c>
    </row>
    <row r="102" spans="1:12" x14ac:dyDescent="0.3">
      <c r="A102" t="s">
        <v>437</v>
      </c>
      <c r="B102" t="s">
        <v>110</v>
      </c>
      <c r="C102" t="s">
        <v>403</v>
      </c>
      <c r="D102" t="s">
        <v>125</v>
      </c>
      <c r="E102">
        <v>4</v>
      </c>
      <c r="F102">
        <v>53</v>
      </c>
      <c r="G102" t="s">
        <v>404</v>
      </c>
      <c r="H102" t="s">
        <v>405</v>
      </c>
      <c r="I102" t="s">
        <v>18</v>
      </c>
      <c r="J102" t="s">
        <v>65</v>
      </c>
      <c r="K102" t="s">
        <v>2190</v>
      </c>
      <c r="L102" t="s">
        <v>21</v>
      </c>
    </row>
    <row r="103" spans="1:12" x14ac:dyDescent="0.3">
      <c r="A103" t="s">
        <v>440</v>
      </c>
      <c r="B103" t="s">
        <v>407</v>
      </c>
      <c r="C103" t="s">
        <v>142</v>
      </c>
      <c r="D103" t="s">
        <v>15</v>
      </c>
      <c r="E103">
        <v>9</v>
      </c>
      <c r="F103">
        <v>50</v>
      </c>
      <c r="G103" t="s">
        <v>137</v>
      </c>
      <c r="H103" t="s">
        <v>37</v>
      </c>
      <c r="I103" t="s">
        <v>83</v>
      </c>
      <c r="J103" t="s">
        <v>84</v>
      </c>
      <c r="K103" t="s">
        <v>158</v>
      </c>
      <c r="L103" t="s">
        <v>46</v>
      </c>
    </row>
    <row r="104" spans="1:12" x14ac:dyDescent="0.3">
      <c r="A104" t="s">
        <v>2142</v>
      </c>
      <c r="B104" t="s">
        <v>409</v>
      </c>
      <c r="C104" t="s">
        <v>410</v>
      </c>
      <c r="D104" t="s">
        <v>169</v>
      </c>
      <c r="E104">
        <v>12</v>
      </c>
      <c r="F104">
        <v>80</v>
      </c>
      <c r="G104" t="s">
        <v>411</v>
      </c>
      <c r="H104" t="s">
        <v>70</v>
      </c>
      <c r="I104" t="s">
        <v>183</v>
      </c>
      <c r="J104" t="s">
        <v>184</v>
      </c>
      <c r="K104" t="s">
        <v>20</v>
      </c>
      <c r="L104" t="s">
        <v>21</v>
      </c>
    </row>
    <row r="105" spans="1:12" x14ac:dyDescent="0.3">
      <c r="A105" t="s">
        <v>2143</v>
      </c>
      <c r="B105" t="s">
        <v>413</v>
      </c>
      <c r="C105" t="s">
        <v>414</v>
      </c>
      <c r="D105" t="s">
        <v>50</v>
      </c>
      <c r="E105">
        <v>14</v>
      </c>
      <c r="F105">
        <v>65</v>
      </c>
      <c r="G105" t="s">
        <v>333</v>
      </c>
      <c r="H105" t="s">
        <v>140</v>
      </c>
      <c r="I105" t="s">
        <v>183</v>
      </c>
      <c r="J105" t="s">
        <v>184</v>
      </c>
      <c r="K105" t="s">
        <v>415</v>
      </c>
      <c r="L105" t="s">
        <v>21</v>
      </c>
    </row>
    <row r="106" spans="1:12" x14ac:dyDescent="0.3">
      <c r="A106" t="s">
        <v>449</v>
      </c>
      <c r="B106" t="s">
        <v>417</v>
      </c>
      <c r="C106" t="s">
        <v>357</v>
      </c>
      <c r="D106" t="s">
        <v>19</v>
      </c>
      <c r="E106" t="s">
        <v>19</v>
      </c>
      <c r="F106">
        <v>90</v>
      </c>
      <c r="G106" t="s">
        <v>418</v>
      </c>
      <c r="H106" t="s">
        <v>17</v>
      </c>
      <c r="I106" t="s">
        <v>90</v>
      </c>
      <c r="J106" t="s">
        <v>91</v>
      </c>
      <c r="K106" t="s">
        <v>20</v>
      </c>
      <c r="L106" t="s">
        <v>21</v>
      </c>
    </row>
    <row r="107" spans="1:12" x14ac:dyDescent="0.3">
      <c r="A107" t="s">
        <v>455</v>
      </c>
      <c r="B107" t="s">
        <v>167</v>
      </c>
      <c r="C107" t="s">
        <v>420</v>
      </c>
      <c r="D107" t="s">
        <v>25</v>
      </c>
      <c r="E107">
        <v>1</v>
      </c>
      <c r="F107">
        <v>50</v>
      </c>
      <c r="G107" t="s">
        <v>19</v>
      </c>
      <c r="H107" t="s">
        <v>17</v>
      </c>
      <c r="I107" t="s">
        <v>18</v>
      </c>
      <c r="J107" t="s">
        <v>65</v>
      </c>
      <c r="K107" t="s">
        <v>20</v>
      </c>
      <c r="L107" t="s">
        <v>421</v>
      </c>
    </row>
    <row r="108" spans="1:12" x14ac:dyDescent="0.3">
      <c r="A108" t="s">
        <v>458</v>
      </c>
      <c r="B108" t="s">
        <v>423</v>
      </c>
      <c r="C108" t="s">
        <v>424</v>
      </c>
      <c r="D108" t="s">
        <v>94</v>
      </c>
      <c r="E108">
        <v>12</v>
      </c>
      <c r="F108">
        <v>68</v>
      </c>
      <c r="G108" t="s">
        <v>425</v>
      </c>
      <c r="H108" t="s">
        <v>37</v>
      </c>
      <c r="I108" t="s">
        <v>38</v>
      </c>
      <c r="J108" t="s">
        <v>39</v>
      </c>
      <c r="K108" t="s">
        <v>66</v>
      </c>
      <c r="L108" t="s">
        <v>46</v>
      </c>
    </row>
    <row r="109" spans="1:12" x14ac:dyDescent="0.3">
      <c r="A109" t="s">
        <v>461</v>
      </c>
      <c r="B109" t="s">
        <v>427</v>
      </c>
      <c r="C109" t="s">
        <v>428</v>
      </c>
      <c r="D109" t="s">
        <v>429</v>
      </c>
      <c r="E109">
        <v>16</v>
      </c>
      <c r="F109">
        <v>63</v>
      </c>
      <c r="G109" t="s">
        <v>19</v>
      </c>
      <c r="H109" t="s">
        <v>27</v>
      </c>
      <c r="I109" t="s">
        <v>100</v>
      </c>
      <c r="J109" t="s">
        <v>101</v>
      </c>
      <c r="K109" t="s">
        <v>60</v>
      </c>
      <c r="L109" t="s">
        <v>46</v>
      </c>
    </row>
    <row r="110" spans="1:12" x14ac:dyDescent="0.3">
      <c r="A110" t="s">
        <v>466</v>
      </c>
      <c r="B110" t="s">
        <v>431</v>
      </c>
      <c r="C110" t="s">
        <v>432</v>
      </c>
      <c r="D110" t="s">
        <v>25</v>
      </c>
      <c r="E110">
        <v>11</v>
      </c>
      <c r="F110">
        <v>55</v>
      </c>
      <c r="G110" t="s">
        <v>433</v>
      </c>
      <c r="H110" t="s">
        <v>70</v>
      </c>
      <c r="I110" t="s">
        <v>151</v>
      </c>
      <c r="J110" t="s">
        <v>152</v>
      </c>
      <c r="K110" t="s">
        <v>153</v>
      </c>
      <c r="L110" t="s">
        <v>46</v>
      </c>
    </row>
    <row r="111" spans="1:12" x14ac:dyDescent="0.3">
      <c r="A111" t="s">
        <v>469</v>
      </c>
      <c r="B111" t="s">
        <v>435</v>
      </c>
      <c r="C111" t="s">
        <v>339</v>
      </c>
      <c r="D111" t="s">
        <v>19</v>
      </c>
      <c r="E111">
        <v>20</v>
      </c>
      <c r="F111">
        <v>100</v>
      </c>
      <c r="G111" t="s">
        <v>209</v>
      </c>
      <c r="H111" t="s">
        <v>27</v>
      </c>
      <c r="I111" t="s">
        <v>28</v>
      </c>
      <c r="J111" t="s">
        <v>29</v>
      </c>
      <c r="K111" t="s">
        <v>436</v>
      </c>
      <c r="L111" t="s">
        <v>46</v>
      </c>
    </row>
    <row r="112" spans="1:12" x14ac:dyDescent="0.3">
      <c r="A112" t="s">
        <v>471</v>
      </c>
      <c r="B112" t="s">
        <v>438</v>
      </c>
      <c r="C112" t="s">
        <v>394</v>
      </c>
      <c r="D112" t="s">
        <v>281</v>
      </c>
      <c r="E112">
        <v>1</v>
      </c>
      <c r="F112">
        <v>65</v>
      </c>
      <c r="G112" t="s">
        <v>439</v>
      </c>
      <c r="H112" t="s">
        <v>17</v>
      </c>
      <c r="I112" t="s">
        <v>18</v>
      </c>
      <c r="J112" t="s">
        <v>65</v>
      </c>
      <c r="K112" t="s">
        <v>60</v>
      </c>
      <c r="L112" t="s">
        <v>74</v>
      </c>
    </row>
    <row r="113" spans="1:12" x14ac:dyDescent="0.3">
      <c r="A113" t="s">
        <v>475</v>
      </c>
      <c r="B113" t="s">
        <v>441</v>
      </c>
      <c r="C113" t="s">
        <v>442</v>
      </c>
      <c r="D113" t="s">
        <v>146</v>
      </c>
      <c r="E113">
        <v>4</v>
      </c>
      <c r="F113">
        <v>80</v>
      </c>
      <c r="G113" t="s">
        <v>443</v>
      </c>
      <c r="H113" t="s">
        <v>17</v>
      </c>
      <c r="I113" t="s">
        <v>90</v>
      </c>
      <c r="J113" t="s">
        <v>91</v>
      </c>
      <c r="K113" t="s">
        <v>45</v>
      </c>
      <c r="L113" t="s">
        <v>345</v>
      </c>
    </row>
    <row r="114" spans="1:12" x14ac:dyDescent="0.3">
      <c r="A114" t="s">
        <v>480</v>
      </c>
      <c r="B114" t="s">
        <v>444</v>
      </c>
      <c r="C114" t="s">
        <v>445</v>
      </c>
      <c r="D114" t="s">
        <v>25</v>
      </c>
      <c r="E114">
        <v>6</v>
      </c>
      <c r="F114">
        <v>50</v>
      </c>
      <c r="G114" t="s">
        <v>446</v>
      </c>
      <c r="H114" t="s">
        <v>17</v>
      </c>
      <c r="I114" t="s">
        <v>90</v>
      </c>
      <c r="J114" t="s">
        <v>91</v>
      </c>
      <c r="K114" t="s">
        <v>66</v>
      </c>
      <c r="L114" t="s">
        <v>31</v>
      </c>
    </row>
    <row r="115" spans="1:12" x14ac:dyDescent="0.3">
      <c r="A115" t="s">
        <v>483</v>
      </c>
      <c r="B115" t="s">
        <v>447</v>
      </c>
      <c r="C115" t="s">
        <v>448</v>
      </c>
      <c r="D115" t="s">
        <v>50</v>
      </c>
      <c r="E115" t="s">
        <v>19</v>
      </c>
      <c r="F115">
        <v>70</v>
      </c>
      <c r="G115" t="s">
        <v>130</v>
      </c>
      <c r="H115" t="s">
        <v>27</v>
      </c>
      <c r="I115" t="s">
        <v>28</v>
      </c>
      <c r="J115" t="s">
        <v>79</v>
      </c>
      <c r="K115" t="s">
        <v>54</v>
      </c>
      <c r="L115" t="s">
        <v>31</v>
      </c>
    </row>
    <row r="116" spans="1:12" x14ac:dyDescent="0.3">
      <c r="A116" t="s">
        <v>486</v>
      </c>
      <c r="B116" t="s">
        <v>450</v>
      </c>
      <c r="C116" t="s">
        <v>156</v>
      </c>
      <c r="D116" t="s">
        <v>146</v>
      </c>
      <c r="E116">
        <v>1</v>
      </c>
      <c r="F116">
        <v>85</v>
      </c>
      <c r="G116" t="s">
        <v>451</v>
      </c>
      <c r="H116" t="s">
        <v>37</v>
      </c>
      <c r="I116" t="s">
        <v>83</v>
      </c>
      <c r="J116" t="s">
        <v>84</v>
      </c>
      <c r="K116" t="s">
        <v>158</v>
      </c>
      <c r="L116" t="s">
        <v>21</v>
      </c>
    </row>
    <row r="117" spans="1:12" x14ac:dyDescent="0.3">
      <c r="A117" t="s">
        <v>489</v>
      </c>
      <c r="B117" t="s">
        <v>452</v>
      </c>
      <c r="C117" t="s">
        <v>453</v>
      </c>
      <c r="D117" t="s">
        <v>454</v>
      </c>
      <c r="E117">
        <v>15</v>
      </c>
      <c r="F117">
        <v>60</v>
      </c>
      <c r="G117" t="s">
        <v>36</v>
      </c>
      <c r="H117" t="s">
        <v>27</v>
      </c>
      <c r="I117" t="s">
        <v>28</v>
      </c>
      <c r="J117" t="s">
        <v>79</v>
      </c>
      <c r="K117" t="s">
        <v>54</v>
      </c>
      <c r="L117" t="s">
        <v>21</v>
      </c>
    </row>
    <row r="118" spans="1:12" x14ac:dyDescent="0.3">
      <c r="A118" t="s">
        <v>494</v>
      </c>
      <c r="B118" t="s">
        <v>456</v>
      </c>
      <c r="C118" t="s">
        <v>177</v>
      </c>
      <c r="D118" t="s">
        <v>146</v>
      </c>
      <c r="E118">
        <v>7</v>
      </c>
      <c r="F118">
        <v>85</v>
      </c>
      <c r="G118" t="s">
        <v>457</v>
      </c>
      <c r="H118" t="s">
        <v>70</v>
      </c>
      <c r="I118" t="s">
        <v>71</v>
      </c>
      <c r="J118" t="s">
        <v>72</v>
      </c>
      <c r="K118" t="s">
        <v>73</v>
      </c>
      <c r="L118" t="s">
        <v>31</v>
      </c>
    </row>
    <row r="119" spans="1:12" x14ac:dyDescent="0.3">
      <c r="A119" t="s">
        <v>497</v>
      </c>
      <c r="B119" t="s">
        <v>459</v>
      </c>
      <c r="C119" t="s">
        <v>460</v>
      </c>
      <c r="D119" t="s">
        <v>50</v>
      </c>
      <c r="E119">
        <v>19</v>
      </c>
      <c r="F119">
        <v>60</v>
      </c>
      <c r="G119" t="s">
        <v>340</v>
      </c>
      <c r="H119" t="s">
        <v>17</v>
      </c>
      <c r="I119" t="s">
        <v>18</v>
      </c>
      <c r="J119" t="s">
        <v>65</v>
      </c>
      <c r="K119" t="s">
        <v>45</v>
      </c>
      <c r="L119" t="s">
        <v>31</v>
      </c>
    </row>
    <row r="120" spans="1:12" x14ac:dyDescent="0.3">
      <c r="A120" t="s">
        <v>500</v>
      </c>
      <c r="B120" t="s">
        <v>462</v>
      </c>
      <c r="C120" t="s">
        <v>463</v>
      </c>
      <c r="D120" t="s">
        <v>125</v>
      </c>
      <c r="E120">
        <v>7</v>
      </c>
      <c r="F120">
        <v>58</v>
      </c>
      <c r="G120" t="s">
        <v>464</v>
      </c>
      <c r="H120" t="s">
        <v>37</v>
      </c>
      <c r="I120" t="s">
        <v>465</v>
      </c>
      <c r="J120" t="s">
        <v>39</v>
      </c>
      <c r="K120" t="s">
        <v>60</v>
      </c>
      <c r="L120" t="s">
        <v>31</v>
      </c>
    </row>
    <row r="121" spans="1:12" x14ac:dyDescent="0.3">
      <c r="A121" t="s">
        <v>505</v>
      </c>
      <c r="B121" t="s">
        <v>467</v>
      </c>
      <c r="C121" t="s">
        <v>468</v>
      </c>
      <c r="D121" t="s">
        <v>94</v>
      </c>
      <c r="E121">
        <v>12</v>
      </c>
      <c r="F121">
        <v>68</v>
      </c>
      <c r="G121" t="s">
        <v>425</v>
      </c>
      <c r="H121" t="s">
        <v>37</v>
      </c>
      <c r="I121" t="s">
        <v>38</v>
      </c>
      <c r="J121" t="s">
        <v>39</v>
      </c>
      <c r="K121" t="s">
        <v>30</v>
      </c>
      <c r="L121" t="s">
        <v>46</v>
      </c>
    </row>
    <row r="122" spans="1:12" x14ac:dyDescent="0.3">
      <c r="A122" t="s">
        <v>508</v>
      </c>
      <c r="B122" t="s">
        <v>438</v>
      </c>
      <c r="C122" t="s">
        <v>219</v>
      </c>
      <c r="D122" t="s">
        <v>169</v>
      </c>
      <c r="E122">
        <v>20</v>
      </c>
      <c r="F122">
        <v>85</v>
      </c>
      <c r="G122" t="s">
        <v>470</v>
      </c>
      <c r="H122" t="s">
        <v>27</v>
      </c>
      <c r="I122" t="s">
        <v>28</v>
      </c>
      <c r="J122" t="s">
        <v>29</v>
      </c>
      <c r="K122" t="s">
        <v>66</v>
      </c>
      <c r="L122" t="s">
        <v>31</v>
      </c>
    </row>
    <row r="123" spans="1:12" x14ac:dyDescent="0.3">
      <c r="A123" t="s">
        <v>510</v>
      </c>
      <c r="B123" t="s">
        <v>472</v>
      </c>
      <c r="C123" t="s">
        <v>473</v>
      </c>
      <c r="D123" t="s">
        <v>125</v>
      </c>
      <c r="E123">
        <v>2</v>
      </c>
      <c r="F123">
        <v>58</v>
      </c>
      <c r="G123" t="s">
        <v>474</v>
      </c>
      <c r="H123" t="s">
        <v>70</v>
      </c>
      <c r="I123" t="s">
        <v>183</v>
      </c>
      <c r="J123" t="s">
        <v>184</v>
      </c>
      <c r="K123" t="s">
        <v>66</v>
      </c>
      <c r="L123" t="s">
        <v>31</v>
      </c>
    </row>
    <row r="124" spans="1:12" x14ac:dyDescent="0.3">
      <c r="A124" t="s">
        <v>513</v>
      </c>
      <c r="B124" t="s">
        <v>476</v>
      </c>
      <c r="C124" t="s">
        <v>477</v>
      </c>
      <c r="D124" t="s">
        <v>94</v>
      </c>
      <c r="E124">
        <v>11</v>
      </c>
      <c r="F124">
        <v>73</v>
      </c>
      <c r="G124" t="s">
        <v>478</v>
      </c>
      <c r="H124" t="s">
        <v>27</v>
      </c>
      <c r="I124" t="s">
        <v>28</v>
      </c>
      <c r="J124" t="s">
        <v>79</v>
      </c>
      <c r="K124" t="s">
        <v>479</v>
      </c>
      <c r="L124" t="s">
        <v>345</v>
      </c>
    </row>
    <row r="125" spans="1:12" x14ac:dyDescent="0.3">
      <c r="A125" t="s">
        <v>516</v>
      </c>
      <c r="B125" t="s">
        <v>481</v>
      </c>
      <c r="C125" t="s">
        <v>482</v>
      </c>
      <c r="D125" t="s">
        <v>35</v>
      </c>
      <c r="E125">
        <v>14</v>
      </c>
      <c r="F125">
        <v>60</v>
      </c>
      <c r="G125" t="s">
        <v>19</v>
      </c>
      <c r="H125" t="s">
        <v>37</v>
      </c>
      <c r="I125" t="s">
        <v>38</v>
      </c>
      <c r="J125" t="s">
        <v>39</v>
      </c>
      <c r="K125" t="s">
        <v>66</v>
      </c>
      <c r="L125" t="s">
        <v>46</v>
      </c>
    </row>
    <row r="126" spans="1:12" x14ac:dyDescent="0.3">
      <c r="A126" t="s">
        <v>519</v>
      </c>
      <c r="B126" t="s">
        <v>484</v>
      </c>
      <c r="C126" t="s">
        <v>212</v>
      </c>
      <c r="D126" t="s">
        <v>281</v>
      </c>
      <c r="E126">
        <v>20</v>
      </c>
      <c r="F126">
        <v>70</v>
      </c>
      <c r="G126" t="s">
        <v>485</v>
      </c>
      <c r="H126" t="s">
        <v>70</v>
      </c>
      <c r="I126" t="s">
        <v>151</v>
      </c>
      <c r="J126" t="s">
        <v>188</v>
      </c>
      <c r="K126" t="s">
        <v>60</v>
      </c>
      <c r="L126" t="s">
        <v>21</v>
      </c>
    </row>
    <row r="127" spans="1:12" x14ac:dyDescent="0.3">
      <c r="A127" t="s">
        <v>521</v>
      </c>
      <c r="B127" t="s">
        <v>487</v>
      </c>
      <c r="C127" t="s">
        <v>488</v>
      </c>
      <c r="D127" t="s">
        <v>281</v>
      </c>
      <c r="E127">
        <v>6</v>
      </c>
      <c r="F127">
        <v>70</v>
      </c>
      <c r="G127" t="s">
        <v>130</v>
      </c>
      <c r="H127" t="s">
        <v>231</v>
      </c>
      <c r="I127" t="s">
        <v>71</v>
      </c>
      <c r="J127" t="s">
        <v>72</v>
      </c>
      <c r="K127" t="s">
        <v>73</v>
      </c>
      <c r="L127" t="s">
        <v>31</v>
      </c>
    </row>
    <row r="128" spans="1:12" x14ac:dyDescent="0.3">
      <c r="A128" t="s">
        <v>2144</v>
      </c>
      <c r="B128" t="s">
        <v>490</v>
      </c>
      <c r="C128" t="s">
        <v>491</v>
      </c>
      <c r="D128" t="s">
        <v>492</v>
      </c>
      <c r="E128">
        <v>5</v>
      </c>
      <c r="F128">
        <v>85</v>
      </c>
      <c r="G128" t="s">
        <v>493</v>
      </c>
      <c r="H128" t="s">
        <v>27</v>
      </c>
      <c r="I128" t="s">
        <v>28</v>
      </c>
      <c r="J128" t="s">
        <v>79</v>
      </c>
      <c r="K128" t="s">
        <v>479</v>
      </c>
      <c r="L128" t="s">
        <v>21</v>
      </c>
    </row>
    <row r="129" spans="1:12" x14ac:dyDescent="0.3">
      <c r="A129" t="s">
        <v>526</v>
      </c>
      <c r="B129" t="s">
        <v>495</v>
      </c>
      <c r="C129" t="s">
        <v>496</v>
      </c>
      <c r="D129" t="s">
        <v>25</v>
      </c>
      <c r="E129">
        <v>19</v>
      </c>
      <c r="F129">
        <v>60</v>
      </c>
      <c r="G129" t="s">
        <v>340</v>
      </c>
      <c r="H129" t="s">
        <v>27</v>
      </c>
      <c r="I129" t="s">
        <v>100</v>
      </c>
      <c r="J129" t="s">
        <v>101</v>
      </c>
      <c r="K129" t="s">
        <v>30</v>
      </c>
      <c r="L129" t="s">
        <v>46</v>
      </c>
    </row>
    <row r="130" spans="1:12" x14ac:dyDescent="0.3">
      <c r="A130" t="s">
        <v>528</v>
      </c>
      <c r="B130" t="s">
        <v>498</v>
      </c>
      <c r="C130" t="s">
        <v>34</v>
      </c>
      <c r="D130" t="s">
        <v>146</v>
      </c>
      <c r="E130">
        <v>19</v>
      </c>
      <c r="F130" t="s">
        <v>19</v>
      </c>
      <c r="G130" t="s">
        <v>499</v>
      </c>
      <c r="H130" t="s">
        <v>70</v>
      </c>
      <c r="I130" t="s">
        <v>71</v>
      </c>
      <c r="J130" t="s">
        <v>72</v>
      </c>
      <c r="K130" t="s">
        <v>73</v>
      </c>
      <c r="L130" t="s">
        <v>31</v>
      </c>
    </row>
    <row r="131" spans="1:12" x14ac:dyDescent="0.3">
      <c r="A131" t="s">
        <v>532</v>
      </c>
      <c r="B131" t="s">
        <v>501</v>
      </c>
      <c r="C131" t="s">
        <v>502</v>
      </c>
      <c r="D131" t="s">
        <v>35</v>
      </c>
      <c r="E131">
        <v>6</v>
      </c>
      <c r="F131">
        <v>65</v>
      </c>
      <c r="G131" t="s">
        <v>503</v>
      </c>
      <c r="H131" t="s">
        <v>27</v>
      </c>
      <c r="I131" t="s">
        <v>28</v>
      </c>
      <c r="J131" t="s">
        <v>79</v>
      </c>
      <c r="K131" t="s">
        <v>54</v>
      </c>
      <c r="L131" t="s">
        <v>19</v>
      </c>
    </row>
    <row r="132" spans="1:12" x14ac:dyDescent="0.3">
      <c r="A132" t="s">
        <v>535</v>
      </c>
      <c r="B132" t="s">
        <v>501</v>
      </c>
      <c r="C132" t="s">
        <v>504</v>
      </c>
      <c r="D132" t="s">
        <v>35</v>
      </c>
      <c r="E132">
        <v>6</v>
      </c>
      <c r="F132">
        <v>65</v>
      </c>
      <c r="G132" t="s">
        <v>503</v>
      </c>
      <c r="H132" t="s">
        <v>27</v>
      </c>
      <c r="I132" t="s">
        <v>28</v>
      </c>
      <c r="J132" t="s">
        <v>79</v>
      </c>
      <c r="K132" t="s">
        <v>54</v>
      </c>
      <c r="L132" t="s">
        <v>46</v>
      </c>
    </row>
    <row r="133" spans="1:12" x14ac:dyDescent="0.3">
      <c r="A133" t="s">
        <v>538</v>
      </c>
      <c r="B133" t="s">
        <v>506</v>
      </c>
      <c r="C133" t="s">
        <v>507</v>
      </c>
      <c r="D133" t="s">
        <v>19</v>
      </c>
      <c r="E133">
        <v>19</v>
      </c>
      <c r="F133">
        <v>60</v>
      </c>
      <c r="G133" t="s">
        <v>340</v>
      </c>
      <c r="H133" t="s">
        <v>27</v>
      </c>
      <c r="I133" t="s">
        <v>100</v>
      </c>
      <c r="J133" t="s">
        <v>101</v>
      </c>
      <c r="K133" t="s">
        <v>30</v>
      </c>
      <c r="L133" t="s">
        <v>21</v>
      </c>
    </row>
    <row r="134" spans="1:12" x14ac:dyDescent="0.3">
      <c r="A134" t="s">
        <v>541</v>
      </c>
      <c r="B134" t="s">
        <v>417</v>
      </c>
      <c r="C134" t="s">
        <v>509</v>
      </c>
      <c r="D134" t="s">
        <v>94</v>
      </c>
      <c r="E134">
        <v>3</v>
      </c>
      <c r="F134">
        <v>68</v>
      </c>
      <c r="G134" t="s">
        <v>378</v>
      </c>
      <c r="H134" t="s">
        <v>37</v>
      </c>
      <c r="I134" t="s">
        <v>38</v>
      </c>
      <c r="J134" t="s">
        <v>39</v>
      </c>
      <c r="K134" t="s">
        <v>66</v>
      </c>
      <c r="L134" t="s">
        <v>46</v>
      </c>
    </row>
    <row r="135" spans="1:12" x14ac:dyDescent="0.3">
      <c r="A135" t="s">
        <v>545</v>
      </c>
      <c r="B135" t="s">
        <v>511</v>
      </c>
      <c r="C135" t="s">
        <v>512</v>
      </c>
      <c r="D135" t="s">
        <v>146</v>
      </c>
      <c r="E135">
        <v>10</v>
      </c>
      <c r="F135">
        <v>90</v>
      </c>
      <c r="G135" t="s">
        <v>36</v>
      </c>
      <c r="H135" t="s">
        <v>27</v>
      </c>
      <c r="I135" t="s">
        <v>28</v>
      </c>
      <c r="J135" t="s">
        <v>79</v>
      </c>
      <c r="K135" t="s">
        <v>54</v>
      </c>
      <c r="L135" t="s">
        <v>21</v>
      </c>
    </row>
    <row r="136" spans="1:12" x14ac:dyDescent="0.3">
      <c r="A136" t="s">
        <v>548</v>
      </c>
      <c r="B136" t="s">
        <v>514</v>
      </c>
      <c r="C136" t="s">
        <v>515</v>
      </c>
      <c r="D136" t="s">
        <v>50</v>
      </c>
      <c r="E136">
        <v>2</v>
      </c>
      <c r="F136">
        <v>60</v>
      </c>
      <c r="G136" t="s">
        <v>78</v>
      </c>
      <c r="H136" t="s">
        <v>17</v>
      </c>
      <c r="I136" t="s">
        <v>18</v>
      </c>
      <c r="J136" t="s">
        <v>65</v>
      </c>
      <c r="K136" t="s">
        <v>20</v>
      </c>
      <c r="L136" t="s">
        <v>21</v>
      </c>
    </row>
    <row r="137" spans="1:12" x14ac:dyDescent="0.3">
      <c r="A137" t="s">
        <v>550</v>
      </c>
      <c r="B137" t="s">
        <v>517</v>
      </c>
      <c r="C137" t="s">
        <v>343</v>
      </c>
      <c r="D137" t="s">
        <v>43</v>
      </c>
      <c r="E137">
        <v>2</v>
      </c>
      <c r="F137">
        <v>95</v>
      </c>
      <c r="G137" t="s">
        <v>518</v>
      </c>
      <c r="H137" t="s">
        <v>70</v>
      </c>
      <c r="I137" t="s">
        <v>183</v>
      </c>
      <c r="J137" t="s">
        <v>184</v>
      </c>
      <c r="K137" t="s">
        <v>30</v>
      </c>
      <c r="L137" t="s">
        <v>21</v>
      </c>
    </row>
    <row r="138" spans="1:12" x14ac:dyDescent="0.3">
      <c r="A138" t="s">
        <v>554</v>
      </c>
      <c r="B138" t="s">
        <v>192</v>
      </c>
      <c r="C138" t="s">
        <v>520</v>
      </c>
      <c r="D138" t="s">
        <v>43</v>
      </c>
      <c r="E138">
        <v>16</v>
      </c>
      <c r="F138">
        <v>95</v>
      </c>
      <c r="G138" t="s">
        <v>220</v>
      </c>
      <c r="H138" t="s">
        <v>70</v>
      </c>
      <c r="I138" t="s">
        <v>183</v>
      </c>
      <c r="J138" t="s">
        <v>184</v>
      </c>
      <c r="K138" t="s">
        <v>60</v>
      </c>
      <c r="L138" t="s">
        <v>31</v>
      </c>
    </row>
    <row r="139" spans="1:12" x14ac:dyDescent="0.3">
      <c r="A139" t="s">
        <v>558</v>
      </c>
      <c r="B139" t="s">
        <v>522</v>
      </c>
      <c r="C139" t="s">
        <v>244</v>
      </c>
      <c r="D139" t="s">
        <v>169</v>
      </c>
      <c r="E139">
        <v>18</v>
      </c>
      <c r="F139">
        <v>80</v>
      </c>
      <c r="G139" t="s">
        <v>523</v>
      </c>
      <c r="H139" t="s">
        <v>70</v>
      </c>
      <c r="I139" t="s">
        <v>183</v>
      </c>
      <c r="J139" t="s">
        <v>184</v>
      </c>
      <c r="K139" t="s">
        <v>66</v>
      </c>
      <c r="L139" t="s">
        <v>46</v>
      </c>
    </row>
    <row r="140" spans="1:12" x14ac:dyDescent="0.3">
      <c r="A140" t="s">
        <v>561</v>
      </c>
      <c r="B140" t="s">
        <v>524</v>
      </c>
      <c r="C140" t="s">
        <v>525</v>
      </c>
      <c r="D140" t="s">
        <v>43</v>
      </c>
      <c r="E140">
        <v>19</v>
      </c>
      <c r="F140">
        <v>95</v>
      </c>
      <c r="G140" t="s">
        <v>69</v>
      </c>
      <c r="H140" t="s">
        <v>70</v>
      </c>
      <c r="I140" t="s">
        <v>183</v>
      </c>
      <c r="J140" t="s">
        <v>184</v>
      </c>
      <c r="K140" t="s">
        <v>20</v>
      </c>
      <c r="L140" t="s">
        <v>21</v>
      </c>
    </row>
    <row r="141" spans="1:12" x14ac:dyDescent="0.3">
      <c r="A141" t="s">
        <v>565</v>
      </c>
      <c r="B141" t="s">
        <v>527</v>
      </c>
      <c r="C141" t="s">
        <v>82</v>
      </c>
      <c r="D141" t="s">
        <v>25</v>
      </c>
      <c r="E141">
        <v>20</v>
      </c>
      <c r="F141">
        <v>55</v>
      </c>
      <c r="G141" t="s">
        <v>19</v>
      </c>
      <c r="H141" t="s">
        <v>19</v>
      </c>
      <c r="I141" t="s">
        <v>225</v>
      </c>
      <c r="J141" t="s">
        <v>226</v>
      </c>
      <c r="K141" t="s">
        <v>60</v>
      </c>
      <c r="L141" t="s">
        <v>46</v>
      </c>
    </row>
    <row r="142" spans="1:12" x14ac:dyDescent="0.3">
      <c r="A142" t="s">
        <v>568</v>
      </c>
      <c r="B142" t="s">
        <v>529</v>
      </c>
      <c r="C142" t="s">
        <v>530</v>
      </c>
      <c r="D142" t="s">
        <v>35</v>
      </c>
      <c r="E142">
        <v>1</v>
      </c>
      <c r="F142">
        <v>60</v>
      </c>
      <c r="G142" t="s">
        <v>531</v>
      </c>
      <c r="H142" t="s">
        <v>70</v>
      </c>
      <c r="I142" t="s">
        <v>151</v>
      </c>
      <c r="J142" t="s">
        <v>152</v>
      </c>
      <c r="K142" t="s">
        <v>153</v>
      </c>
      <c r="L142" t="s">
        <v>46</v>
      </c>
    </row>
    <row r="143" spans="1:12" x14ac:dyDescent="0.3">
      <c r="A143" t="s">
        <v>571</v>
      </c>
      <c r="B143" t="s">
        <v>533</v>
      </c>
      <c r="C143" t="s">
        <v>168</v>
      </c>
      <c r="D143" t="s">
        <v>35</v>
      </c>
      <c r="E143">
        <v>4</v>
      </c>
      <c r="F143">
        <v>65</v>
      </c>
      <c r="G143" t="s">
        <v>534</v>
      </c>
      <c r="H143" t="s">
        <v>19</v>
      </c>
      <c r="I143" t="s">
        <v>100</v>
      </c>
      <c r="J143" t="s">
        <v>101</v>
      </c>
      <c r="K143" t="s">
        <v>66</v>
      </c>
      <c r="L143" t="s">
        <v>31</v>
      </c>
    </row>
    <row r="144" spans="1:12" x14ac:dyDescent="0.3">
      <c r="A144" t="s">
        <v>575</v>
      </c>
      <c r="B144" t="s">
        <v>536</v>
      </c>
      <c r="C144" t="s">
        <v>181</v>
      </c>
      <c r="D144" t="s">
        <v>50</v>
      </c>
      <c r="E144">
        <v>8</v>
      </c>
      <c r="F144">
        <v>60</v>
      </c>
      <c r="G144" t="s">
        <v>537</v>
      </c>
      <c r="H144" t="s">
        <v>17</v>
      </c>
      <c r="I144" t="s">
        <v>18</v>
      </c>
      <c r="J144" t="s">
        <v>65</v>
      </c>
      <c r="K144" t="s">
        <v>66</v>
      </c>
      <c r="L144" t="s">
        <v>31</v>
      </c>
    </row>
    <row r="145" spans="1:12" x14ac:dyDescent="0.3">
      <c r="A145" t="s">
        <v>578</v>
      </c>
      <c r="B145" t="s">
        <v>539</v>
      </c>
      <c r="C145" t="s">
        <v>140</v>
      </c>
      <c r="D145" t="s">
        <v>94</v>
      </c>
      <c r="E145">
        <v>19</v>
      </c>
      <c r="F145">
        <v>68</v>
      </c>
      <c r="G145" t="s">
        <v>540</v>
      </c>
      <c r="H145" t="s">
        <v>70</v>
      </c>
      <c r="I145" t="s">
        <v>71</v>
      </c>
      <c r="J145" t="s">
        <v>72</v>
      </c>
      <c r="K145" t="s">
        <v>73</v>
      </c>
      <c r="L145" t="s">
        <v>74</v>
      </c>
    </row>
    <row r="146" spans="1:12" x14ac:dyDescent="0.3">
      <c r="A146" t="s">
        <v>581</v>
      </c>
      <c r="B146" t="s">
        <v>542</v>
      </c>
      <c r="C146" t="s">
        <v>543</v>
      </c>
      <c r="D146" t="s">
        <v>94</v>
      </c>
      <c r="E146">
        <v>16</v>
      </c>
      <c r="F146">
        <v>68</v>
      </c>
      <c r="G146" t="s">
        <v>544</v>
      </c>
      <c r="H146" t="s">
        <v>70</v>
      </c>
      <c r="I146" t="s">
        <v>183</v>
      </c>
      <c r="J146" t="s">
        <v>184</v>
      </c>
      <c r="K146" t="s">
        <v>66</v>
      </c>
      <c r="L146" t="s">
        <v>31</v>
      </c>
    </row>
    <row r="147" spans="1:12" x14ac:dyDescent="0.3">
      <c r="A147" t="s">
        <v>586</v>
      </c>
      <c r="B147" t="s">
        <v>546</v>
      </c>
      <c r="C147" t="s">
        <v>120</v>
      </c>
      <c r="D147" t="s">
        <v>25</v>
      </c>
      <c r="E147">
        <v>13</v>
      </c>
      <c r="F147">
        <v>50</v>
      </c>
      <c r="G147" t="s">
        <v>547</v>
      </c>
      <c r="H147" t="s">
        <v>17</v>
      </c>
      <c r="I147" t="s">
        <v>18</v>
      </c>
      <c r="J147" t="s">
        <v>65</v>
      </c>
      <c r="K147" t="s">
        <v>30</v>
      </c>
      <c r="L147" t="s">
        <v>421</v>
      </c>
    </row>
    <row r="148" spans="1:12" x14ac:dyDescent="0.3">
      <c r="A148" t="s">
        <v>590</v>
      </c>
      <c r="B148" t="s">
        <v>549</v>
      </c>
      <c r="C148" t="s">
        <v>468</v>
      </c>
      <c r="D148" t="s">
        <v>50</v>
      </c>
      <c r="E148">
        <v>10</v>
      </c>
      <c r="F148">
        <v>60</v>
      </c>
      <c r="G148" t="s">
        <v>321</v>
      </c>
      <c r="H148" t="s">
        <v>19</v>
      </c>
      <c r="I148" t="s">
        <v>18</v>
      </c>
      <c r="J148" t="s">
        <v>65</v>
      </c>
      <c r="K148" t="s">
        <v>20</v>
      </c>
      <c r="L148" t="s">
        <v>31</v>
      </c>
    </row>
    <row r="149" spans="1:12" x14ac:dyDescent="0.3">
      <c r="A149" t="s">
        <v>593</v>
      </c>
      <c r="B149" t="s">
        <v>551</v>
      </c>
      <c r="C149" t="s">
        <v>552</v>
      </c>
      <c r="D149" t="s">
        <v>281</v>
      </c>
      <c r="E149">
        <v>5</v>
      </c>
      <c r="F149">
        <v>65</v>
      </c>
      <c r="G149" t="s">
        <v>553</v>
      </c>
      <c r="H149" t="s">
        <v>17</v>
      </c>
      <c r="I149" t="s">
        <v>90</v>
      </c>
      <c r="J149" t="s">
        <v>91</v>
      </c>
      <c r="K149" t="s">
        <v>30</v>
      </c>
      <c r="L149" t="s">
        <v>31</v>
      </c>
    </row>
    <row r="150" spans="1:12" x14ac:dyDescent="0.3">
      <c r="A150" t="s">
        <v>596</v>
      </c>
      <c r="B150" t="s">
        <v>555</v>
      </c>
      <c r="C150" t="s">
        <v>244</v>
      </c>
      <c r="D150" t="s">
        <v>125</v>
      </c>
      <c r="E150">
        <v>15</v>
      </c>
      <c r="F150">
        <v>58</v>
      </c>
      <c r="G150" t="s">
        <v>556</v>
      </c>
      <c r="H150" t="s">
        <v>70</v>
      </c>
      <c r="I150" t="s">
        <v>71</v>
      </c>
      <c r="J150" t="s">
        <v>557</v>
      </c>
      <c r="K150" t="s">
        <v>73</v>
      </c>
      <c r="L150" t="s">
        <v>21</v>
      </c>
    </row>
    <row r="151" spans="1:12" x14ac:dyDescent="0.3">
      <c r="A151" t="s">
        <v>602</v>
      </c>
      <c r="B151" t="s">
        <v>559</v>
      </c>
      <c r="C151" t="s">
        <v>104</v>
      </c>
      <c r="D151" t="s">
        <v>15</v>
      </c>
      <c r="E151">
        <v>11</v>
      </c>
      <c r="F151">
        <v>55</v>
      </c>
      <c r="G151" t="s">
        <v>560</v>
      </c>
      <c r="H151" t="s">
        <v>27</v>
      </c>
      <c r="I151" t="s">
        <v>28</v>
      </c>
      <c r="J151" t="s">
        <v>29</v>
      </c>
      <c r="K151" t="s">
        <v>66</v>
      </c>
      <c r="L151" t="s">
        <v>31</v>
      </c>
    </row>
    <row r="152" spans="1:12" x14ac:dyDescent="0.3">
      <c r="A152" t="s">
        <v>605</v>
      </c>
      <c r="B152" t="s">
        <v>559</v>
      </c>
      <c r="C152" t="s">
        <v>104</v>
      </c>
      <c r="D152" t="s">
        <v>15</v>
      </c>
      <c r="E152">
        <v>11</v>
      </c>
      <c r="F152">
        <v>55</v>
      </c>
      <c r="G152" t="s">
        <v>433</v>
      </c>
      <c r="H152" t="s">
        <v>27</v>
      </c>
      <c r="I152" t="s">
        <v>28</v>
      </c>
      <c r="J152" t="s">
        <v>29</v>
      </c>
      <c r="K152" t="s">
        <v>66</v>
      </c>
      <c r="L152" t="s">
        <v>31</v>
      </c>
    </row>
    <row r="153" spans="1:12" x14ac:dyDescent="0.3">
      <c r="A153" t="s">
        <v>608</v>
      </c>
      <c r="B153" t="s">
        <v>562</v>
      </c>
      <c r="C153" t="s">
        <v>563</v>
      </c>
      <c r="D153" t="s">
        <v>43</v>
      </c>
      <c r="E153">
        <v>8</v>
      </c>
      <c r="F153">
        <v>95</v>
      </c>
      <c r="G153" t="s">
        <v>564</v>
      </c>
      <c r="H153" t="s">
        <v>37</v>
      </c>
      <c r="I153" t="s">
        <v>38</v>
      </c>
      <c r="J153" t="s">
        <v>39</v>
      </c>
      <c r="K153" t="s">
        <v>60</v>
      </c>
      <c r="L153" t="s">
        <v>46</v>
      </c>
    </row>
    <row r="154" spans="1:12" x14ac:dyDescent="0.3">
      <c r="A154" t="s">
        <v>611</v>
      </c>
      <c r="B154" t="s">
        <v>566</v>
      </c>
      <c r="C154" t="s">
        <v>567</v>
      </c>
      <c r="D154" t="s">
        <v>15</v>
      </c>
      <c r="E154">
        <v>8</v>
      </c>
      <c r="F154">
        <v>50</v>
      </c>
      <c r="G154" t="s">
        <v>293</v>
      </c>
      <c r="H154" t="s">
        <v>70</v>
      </c>
      <c r="I154" t="s">
        <v>151</v>
      </c>
      <c r="J154" t="s">
        <v>152</v>
      </c>
      <c r="K154" t="s">
        <v>153</v>
      </c>
      <c r="L154" t="s">
        <v>46</v>
      </c>
    </row>
    <row r="155" spans="1:12" x14ac:dyDescent="0.3">
      <c r="A155" t="s">
        <v>613</v>
      </c>
      <c r="B155" t="s">
        <v>569</v>
      </c>
      <c r="C155" t="s">
        <v>570</v>
      </c>
      <c r="D155" t="s">
        <v>35</v>
      </c>
      <c r="E155">
        <v>3</v>
      </c>
      <c r="F155">
        <v>60</v>
      </c>
      <c r="G155" t="s">
        <v>26</v>
      </c>
      <c r="H155" t="s">
        <v>70</v>
      </c>
      <c r="I155" t="s">
        <v>151</v>
      </c>
      <c r="J155" t="s">
        <v>152</v>
      </c>
      <c r="K155" t="s">
        <v>365</v>
      </c>
      <c r="L155" t="s">
        <v>21</v>
      </c>
    </row>
    <row r="156" spans="1:12" x14ac:dyDescent="0.3">
      <c r="A156" t="s">
        <v>617</v>
      </c>
      <c r="B156" t="s">
        <v>572</v>
      </c>
      <c r="C156" t="s">
        <v>573</v>
      </c>
      <c r="D156" t="s">
        <v>50</v>
      </c>
      <c r="E156">
        <v>12</v>
      </c>
      <c r="F156">
        <v>65</v>
      </c>
      <c r="G156" t="s">
        <v>574</v>
      </c>
      <c r="H156" t="s">
        <v>37</v>
      </c>
      <c r="I156" t="s">
        <v>83</v>
      </c>
      <c r="J156" t="s">
        <v>84</v>
      </c>
      <c r="K156" t="s">
        <v>158</v>
      </c>
      <c r="L156" t="s">
        <v>46</v>
      </c>
    </row>
    <row r="157" spans="1:12" x14ac:dyDescent="0.3">
      <c r="A157" t="s">
        <v>619</v>
      </c>
      <c r="B157" t="s">
        <v>572</v>
      </c>
      <c r="C157" t="s">
        <v>573</v>
      </c>
      <c r="D157" t="s">
        <v>50</v>
      </c>
      <c r="E157">
        <v>12</v>
      </c>
      <c r="F157">
        <v>65</v>
      </c>
      <c r="G157" t="s">
        <v>574</v>
      </c>
      <c r="H157" t="s">
        <v>37</v>
      </c>
      <c r="I157" t="s">
        <v>83</v>
      </c>
      <c r="J157" t="s">
        <v>84</v>
      </c>
      <c r="K157" t="s">
        <v>158</v>
      </c>
      <c r="L157" t="s">
        <v>46</v>
      </c>
    </row>
    <row r="158" spans="1:12" x14ac:dyDescent="0.3">
      <c r="A158" t="s">
        <v>622</v>
      </c>
      <c r="B158" t="s">
        <v>576</v>
      </c>
      <c r="C158" t="s">
        <v>577</v>
      </c>
      <c r="D158" t="s">
        <v>19</v>
      </c>
      <c r="E158">
        <v>14</v>
      </c>
      <c r="F158">
        <v>80</v>
      </c>
      <c r="G158" t="s">
        <v>178</v>
      </c>
      <c r="H158" t="s">
        <v>17</v>
      </c>
      <c r="I158" t="s">
        <v>90</v>
      </c>
      <c r="J158" t="s">
        <v>91</v>
      </c>
      <c r="K158" t="s">
        <v>45</v>
      </c>
      <c r="L158" t="s">
        <v>19</v>
      </c>
    </row>
    <row r="159" spans="1:12" x14ac:dyDescent="0.3">
      <c r="A159" t="s">
        <v>625</v>
      </c>
      <c r="B159" t="s">
        <v>579</v>
      </c>
      <c r="C159" t="s">
        <v>580</v>
      </c>
      <c r="D159" t="s">
        <v>146</v>
      </c>
      <c r="E159">
        <v>8</v>
      </c>
      <c r="F159">
        <v>90</v>
      </c>
      <c r="G159" t="s">
        <v>418</v>
      </c>
      <c r="H159" t="s">
        <v>27</v>
      </c>
      <c r="I159" t="s">
        <v>19</v>
      </c>
      <c r="J159" t="s">
        <v>29</v>
      </c>
      <c r="K159" t="s">
        <v>60</v>
      </c>
      <c r="L159" t="s">
        <v>46</v>
      </c>
    </row>
    <row r="160" spans="1:12" x14ac:dyDescent="0.3">
      <c r="A160" t="s">
        <v>628</v>
      </c>
      <c r="B160" t="s">
        <v>582</v>
      </c>
      <c r="C160" t="s">
        <v>583</v>
      </c>
      <c r="D160" t="s">
        <v>25</v>
      </c>
      <c r="E160">
        <v>7</v>
      </c>
      <c r="F160">
        <v>55</v>
      </c>
      <c r="G160" t="s">
        <v>584</v>
      </c>
      <c r="H160" t="s">
        <v>585</v>
      </c>
      <c r="I160" t="s">
        <v>225</v>
      </c>
      <c r="J160" t="s">
        <v>226</v>
      </c>
      <c r="K160" t="s">
        <v>20</v>
      </c>
      <c r="L160" t="s">
        <v>21</v>
      </c>
    </row>
    <row r="161" spans="1:12" x14ac:dyDescent="0.3">
      <c r="A161" t="s">
        <v>632</v>
      </c>
      <c r="B161" t="s">
        <v>587</v>
      </c>
      <c r="C161" t="s">
        <v>588</v>
      </c>
      <c r="D161" t="s">
        <v>15</v>
      </c>
      <c r="E161">
        <v>11</v>
      </c>
      <c r="F161">
        <v>50</v>
      </c>
      <c r="G161" t="s">
        <v>589</v>
      </c>
      <c r="H161" t="s">
        <v>70</v>
      </c>
      <c r="I161" t="s">
        <v>151</v>
      </c>
      <c r="J161" t="s">
        <v>188</v>
      </c>
      <c r="K161" t="s">
        <v>66</v>
      </c>
      <c r="L161" t="s">
        <v>21</v>
      </c>
    </row>
    <row r="162" spans="1:12" x14ac:dyDescent="0.3">
      <c r="A162" t="s">
        <v>634</v>
      </c>
      <c r="B162" t="s">
        <v>591</v>
      </c>
      <c r="C162" t="s">
        <v>592</v>
      </c>
      <c r="D162" t="s">
        <v>35</v>
      </c>
      <c r="E162">
        <v>6</v>
      </c>
      <c r="F162">
        <v>60</v>
      </c>
      <c r="G162" t="s">
        <v>247</v>
      </c>
      <c r="H162" t="s">
        <v>70</v>
      </c>
      <c r="I162" t="s">
        <v>183</v>
      </c>
      <c r="J162" t="s">
        <v>184</v>
      </c>
      <c r="K162" t="s">
        <v>45</v>
      </c>
      <c r="L162" t="s">
        <v>19</v>
      </c>
    </row>
    <row r="163" spans="1:12" x14ac:dyDescent="0.3">
      <c r="A163" t="s">
        <v>637</v>
      </c>
      <c r="B163" t="s">
        <v>594</v>
      </c>
      <c r="C163" t="s">
        <v>289</v>
      </c>
      <c r="D163" t="s">
        <v>169</v>
      </c>
      <c r="E163">
        <v>17</v>
      </c>
      <c r="F163">
        <v>75</v>
      </c>
      <c r="G163" t="s">
        <v>595</v>
      </c>
      <c r="H163" t="s">
        <v>17</v>
      </c>
      <c r="I163" t="s">
        <v>19</v>
      </c>
      <c r="J163" t="s">
        <v>91</v>
      </c>
      <c r="K163" t="s">
        <v>20</v>
      </c>
      <c r="L163" t="s">
        <v>21</v>
      </c>
    </row>
    <row r="164" spans="1:12" x14ac:dyDescent="0.3">
      <c r="A164" t="s">
        <v>640</v>
      </c>
      <c r="B164" t="s">
        <v>597</v>
      </c>
      <c r="C164" t="s">
        <v>432</v>
      </c>
      <c r="D164" t="s">
        <v>35</v>
      </c>
      <c r="E164">
        <v>13</v>
      </c>
      <c r="F164">
        <v>55</v>
      </c>
      <c r="G164" t="s">
        <v>598</v>
      </c>
      <c r="H164" t="s">
        <v>17</v>
      </c>
      <c r="I164" t="s">
        <v>90</v>
      </c>
      <c r="J164" t="s">
        <v>91</v>
      </c>
      <c r="K164" t="s">
        <v>66</v>
      </c>
      <c r="L164" t="s">
        <v>21</v>
      </c>
    </row>
    <row r="165" spans="1:12" x14ac:dyDescent="0.3">
      <c r="A165" t="s">
        <v>643</v>
      </c>
      <c r="B165" t="s">
        <v>599</v>
      </c>
      <c r="C165" t="s">
        <v>600</v>
      </c>
      <c r="D165" t="s">
        <v>94</v>
      </c>
      <c r="E165">
        <v>17</v>
      </c>
      <c r="F165">
        <v>63</v>
      </c>
      <c r="G165" t="s">
        <v>601</v>
      </c>
      <c r="H165" t="s">
        <v>17</v>
      </c>
      <c r="I165" t="s">
        <v>19</v>
      </c>
      <c r="J165" t="s">
        <v>65</v>
      </c>
      <c r="K165" t="s">
        <v>140</v>
      </c>
      <c r="L165" t="s">
        <v>31</v>
      </c>
    </row>
    <row r="166" spans="1:12" x14ac:dyDescent="0.3">
      <c r="A166" t="s">
        <v>646</v>
      </c>
      <c r="B166" t="s">
        <v>128</v>
      </c>
      <c r="C166" t="s">
        <v>603</v>
      </c>
      <c r="D166" t="s">
        <v>15</v>
      </c>
      <c r="E166">
        <v>8</v>
      </c>
      <c r="F166">
        <v>55</v>
      </c>
      <c r="G166" t="s">
        <v>604</v>
      </c>
      <c r="H166" t="s">
        <v>27</v>
      </c>
      <c r="I166" t="s">
        <v>28</v>
      </c>
      <c r="J166" t="s">
        <v>29</v>
      </c>
      <c r="K166" t="s">
        <v>66</v>
      </c>
      <c r="L166" t="s">
        <v>21</v>
      </c>
    </row>
    <row r="167" spans="1:12" x14ac:dyDescent="0.3">
      <c r="A167" t="s">
        <v>649</v>
      </c>
      <c r="B167" t="s">
        <v>128</v>
      </c>
      <c r="C167" t="s">
        <v>603</v>
      </c>
      <c r="D167" t="s">
        <v>15</v>
      </c>
      <c r="E167">
        <v>8</v>
      </c>
      <c r="F167">
        <v>55</v>
      </c>
      <c r="G167" t="s">
        <v>604</v>
      </c>
      <c r="H167" t="s">
        <v>27</v>
      </c>
      <c r="I167" t="s">
        <v>28</v>
      </c>
      <c r="J167" t="s">
        <v>29</v>
      </c>
      <c r="K167" t="s">
        <v>66</v>
      </c>
      <c r="L167" t="s">
        <v>21</v>
      </c>
    </row>
    <row r="168" spans="1:12" x14ac:dyDescent="0.3">
      <c r="A168" t="s">
        <v>651</v>
      </c>
      <c r="B168" t="s">
        <v>606</v>
      </c>
      <c r="C168" t="s">
        <v>463</v>
      </c>
      <c r="D168" t="s">
        <v>94</v>
      </c>
      <c r="E168">
        <v>18</v>
      </c>
      <c r="F168">
        <v>68</v>
      </c>
      <c r="G168" t="s">
        <v>607</v>
      </c>
      <c r="H168" t="s">
        <v>70</v>
      </c>
      <c r="I168" t="s">
        <v>151</v>
      </c>
      <c r="J168" t="s">
        <v>188</v>
      </c>
      <c r="K168" t="s">
        <v>60</v>
      </c>
      <c r="L168" t="s">
        <v>31</v>
      </c>
    </row>
    <row r="169" spans="1:12" x14ac:dyDescent="0.3">
      <c r="A169" t="s">
        <v>654</v>
      </c>
      <c r="B169" t="s">
        <v>609</v>
      </c>
      <c r="C169" t="s">
        <v>583</v>
      </c>
      <c r="D169" t="s">
        <v>50</v>
      </c>
      <c r="E169">
        <v>18</v>
      </c>
      <c r="F169">
        <v>65</v>
      </c>
      <c r="G169" t="s">
        <v>610</v>
      </c>
      <c r="H169" t="s">
        <v>70</v>
      </c>
      <c r="I169" t="s">
        <v>151</v>
      </c>
      <c r="J169" t="s">
        <v>188</v>
      </c>
      <c r="K169" t="s">
        <v>60</v>
      </c>
      <c r="L169" t="s">
        <v>31</v>
      </c>
    </row>
    <row r="170" spans="1:12" x14ac:dyDescent="0.3">
      <c r="A170" t="s">
        <v>659</v>
      </c>
      <c r="B170" t="s">
        <v>609</v>
      </c>
      <c r="C170" t="s">
        <v>583</v>
      </c>
      <c r="D170" t="s">
        <v>50</v>
      </c>
      <c r="E170">
        <v>18</v>
      </c>
      <c r="F170">
        <v>65</v>
      </c>
      <c r="G170" t="s">
        <v>610</v>
      </c>
      <c r="H170" t="s">
        <v>70</v>
      </c>
      <c r="I170" t="s">
        <v>151</v>
      </c>
      <c r="J170" t="s">
        <v>188</v>
      </c>
      <c r="K170" t="s">
        <v>60</v>
      </c>
      <c r="L170" t="s">
        <v>31</v>
      </c>
    </row>
    <row r="171" spans="1:12" x14ac:dyDescent="0.3">
      <c r="A171" t="s">
        <v>660</v>
      </c>
      <c r="B171" t="s">
        <v>612</v>
      </c>
      <c r="C171" t="s">
        <v>504</v>
      </c>
      <c r="D171" t="s">
        <v>35</v>
      </c>
      <c r="E171">
        <v>8</v>
      </c>
      <c r="F171">
        <v>55</v>
      </c>
      <c r="G171" t="s">
        <v>604</v>
      </c>
      <c r="H171" t="s">
        <v>17</v>
      </c>
      <c r="I171" t="s">
        <v>18</v>
      </c>
      <c r="J171" t="s">
        <v>65</v>
      </c>
      <c r="K171" t="s">
        <v>66</v>
      </c>
      <c r="L171" t="s">
        <v>21</v>
      </c>
    </row>
    <row r="172" spans="1:12" x14ac:dyDescent="0.3">
      <c r="A172" t="s">
        <v>664</v>
      </c>
      <c r="B172" t="s">
        <v>614</v>
      </c>
      <c r="C172" t="s">
        <v>615</v>
      </c>
      <c r="D172" t="s">
        <v>15</v>
      </c>
      <c r="E172">
        <v>2</v>
      </c>
      <c r="F172">
        <v>45</v>
      </c>
      <c r="G172" t="s">
        <v>616</v>
      </c>
      <c r="H172" t="s">
        <v>17</v>
      </c>
      <c r="I172" t="s">
        <v>18</v>
      </c>
      <c r="J172" t="s">
        <v>65</v>
      </c>
      <c r="K172" t="s">
        <v>30</v>
      </c>
      <c r="L172" t="s">
        <v>21</v>
      </c>
    </row>
    <row r="173" spans="1:12" x14ac:dyDescent="0.3">
      <c r="A173" t="s">
        <v>669</v>
      </c>
      <c r="B173" t="s">
        <v>618</v>
      </c>
      <c r="C173" t="s">
        <v>19</v>
      </c>
      <c r="D173" t="s">
        <v>19</v>
      </c>
      <c r="E173">
        <v>7</v>
      </c>
      <c r="F173">
        <v>63</v>
      </c>
      <c r="G173" t="s">
        <v>95</v>
      </c>
      <c r="H173" t="s">
        <v>27</v>
      </c>
      <c r="I173" t="s">
        <v>28</v>
      </c>
      <c r="J173" t="s">
        <v>53</v>
      </c>
      <c r="K173" t="s">
        <v>54</v>
      </c>
      <c r="L173" t="s">
        <v>31</v>
      </c>
    </row>
    <row r="174" spans="1:12" x14ac:dyDescent="0.3">
      <c r="A174" t="s">
        <v>672</v>
      </c>
      <c r="B174" t="s">
        <v>618</v>
      </c>
      <c r="C174" t="s">
        <v>592</v>
      </c>
      <c r="D174" t="s">
        <v>125</v>
      </c>
      <c r="E174">
        <v>7</v>
      </c>
      <c r="F174">
        <v>63</v>
      </c>
      <c r="G174" t="s">
        <v>95</v>
      </c>
      <c r="H174" t="s">
        <v>27</v>
      </c>
      <c r="I174" t="s">
        <v>28</v>
      </c>
      <c r="J174" t="s">
        <v>79</v>
      </c>
      <c r="K174" t="s">
        <v>54</v>
      </c>
      <c r="L174" t="s">
        <v>31</v>
      </c>
    </row>
    <row r="175" spans="1:12" x14ac:dyDescent="0.3">
      <c r="A175" t="s">
        <v>673</v>
      </c>
      <c r="B175" t="s">
        <v>620</v>
      </c>
      <c r="C175" t="s">
        <v>621</v>
      </c>
      <c r="D175" t="s">
        <v>146</v>
      </c>
      <c r="E175">
        <v>19</v>
      </c>
      <c r="F175">
        <v>85</v>
      </c>
      <c r="G175" t="s">
        <v>499</v>
      </c>
      <c r="H175" t="s">
        <v>70</v>
      </c>
      <c r="I175" t="s">
        <v>183</v>
      </c>
      <c r="J175" t="s">
        <v>19</v>
      </c>
      <c r="K175" t="s">
        <v>20</v>
      </c>
      <c r="L175" t="s">
        <v>31</v>
      </c>
    </row>
    <row r="176" spans="1:12" x14ac:dyDescent="0.3">
      <c r="A176" t="s">
        <v>677</v>
      </c>
      <c r="B176" t="s">
        <v>620</v>
      </c>
      <c r="C176" t="s">
        <v>621</v>
      </c>
      <c r="D176" t="s">
        <v>146</v>
      </c>
      <c r="E176">
        <v>19</v>
      </c>
      <c r="F176">
        <v>85</v>
      </c>
      <c r="G176" t="s">
        <v>499</v>
      </c>
      <c r="H176" t="s">
        <v>70</v>
      </c>
      <c r="I176" t="s">
        <v>183</v>
      </c>
      <c r="J176" t="s">
        <v>184</v>
      </c>
      <c r="K176" t="s">
        <v>20</v>
      </c>
      <c r="L176" t="s">
        <v>31</v>
      </c>
    </row>
    <row r="177" spans="1:12" x14ac:dyDescent="0.3">
      <c r="A177" t="s">
        <v>680</v>
      </c>
      <c r="B177" t="s">
        <v>623</v>
      </c>
      <c r="C177" t="s">
        <v>624</v>
      </c>
      <c r="D177" t="s">
        <v>146</v>
      </c>
      <c r="E177">
        <v>9</v>
      </c>
      <c r="F177">
        <v>80</v>
      </c>
      <c r="G177" t="s">
        <v>418</v>
      </c>
      <c r="H177" t="s">
        <v>17</v>
      </c>
      <c r="I177" t="s">
        <v>18</v>
      </c>
      <c r="J177" t="s">
        <v>65</v>
      </c>
      <c r="K177" t="s">
        <v>60</v>
      </c>
      <c r="L177" t="s">
        <v>46</v>
      </c>
    </row>
    <row r="178" spans="1:12" x14ac:dyDescent="0.3">
      <c r="A178" t="s">
        <v>683</v>
      </c>
      <c r="B178" t="s">
        <v>626</v>
      </c>
      <c r="C178" t="s">
        <v>627</v>
      </c>
      <c r="D178" t="s">
        <v>50</v>
      </c>
      <c r="E178">
        <v>19</v>
      </c>
      <c r="F178">
        <v>60</v>
      </c>
      <c r="G178" t="s">
        <v>340</v>
      </c>
      <c r="H178" t="s">
        <v>17</v>
      </c>
      <c r="I178" t="s">
        <v>90</v>
      </c>
      <c r="J178" t="s">
        <v>91</v>
      </c>
      <c r="K178" t="s">
        <v>30</v>
      </c>
      <c r="L178" t="s">
        <v>46</v>
      </c>
    </row>
    <row r="179" spans="1:12" x14ac:dyDescent="0.3">
      <c r="A179" t="s">
        <v>686</v>
      </c>
      <c r="B179" t="s">
        <v>629</v>
      </c>
      <c r="C179" t="s">
        <v>630</v>
      </c>
      <c r="D179" t="s">
        <v>35</v>
      </c>
      <c r="E179">
        <v>9</v>
      </c>
      <c r="F179">
        <v>65</v>
      </c>
      <c r="G179" t="s">
        <v>631</v>
      </c>
      <c r="H179" t="s">
        <v>27</v>
      </c>
      <c r="I179" t="s">
        <v>100</v>
      </c>
      <c r="J179" t="s">
        <v>396</v>
      </c>
      <c r="K179" t="s">
        <v>20</v>
      </c>
      <c r="L179" t="s">
        <v>46</v>
      </c>
    </row>
    <row r="180" spans="1:12" x14ac:dyDescent="0.3">
      <c r="A180" t="s">
        <v>690</v>
      </c>
      <c r="B180" t="s">
        <v>172</v>
      </c>
      <c r="C180" t="s">
        <v>177</v>
      </c>
      <c r="D180" t="s">
        <v>94</v>
      </c>
      <c r="E180">
        <v>5</v>
      </c>
      <c r="F180">
        <v>73</v>
      </c>
      <c r="G180" t="s">
        <v>633</v>
      </c>
      <c r="H180" t="s">
        <v>27</v>
      </c>
      <c r="I180" t="s">
        <v>100</v>
      </c>
      <c r="J180" t="s">
        <v>101</v>
      </c>
      <c r="K180" t="s">
        <v>20</v>
      </c>
      <c r="L180" t="s">
        <v>21</v>
      </c>
    </row>
    <row r="181" spans="1:12" x14ac:dyDescent="0.3">
      <c r="A181" t="s">
        <v>692</v>
      </c>
      <c r="B181" t="s">
        <v>635</v>
      </c>
      <c r="C181" t="s">
        <v>256</v>
      </c>
      <c r="D181" t="s">
        <v>15</v>
      </c>
      <c r="E181">
        <v>5</v>
      </c>
      <c r="F181" t="s">
        <v>19</v>
      </c>
      <c r="G181" t="s">
        <v>636</v>
      </c>
      <c r="H181" t="s">
        <v>27</v>
      </c>
      <c r="I181" t="s">
        <v>100</v>
      </c>
      <c r="J181" t="s">
        <v>101</v>
      </c>
      <c r="K181" t="s">
        <v>330</v>
      </c>
      <c r="L181" t="s">
        <v>31</v>
      </c>
    </row>
    <row r="182" spans="1:12" x14ac:dyDescent="0.3">
      <c r="A182" t="s">
        <v>696</v>
      </c>
      <c r="B182" t="s">
        <v>87</v>
      </c>
      <c r="C182" t="s">
        <v>638</v>
      </c>
      <c r="D182" t="s">
        <v>43</v>
      </c>
      <c r="E182">
        <v>7</v>
      </c>
      <c r="F182">
        <v>95</v>
      </c>
      <c r="G182" t="s">
        <v>639</v>
      </c>
      <c r="H182" t="s">
        <v>37</v>
      </c>
      <c r="I182" t="s">
        <v>225</v>
      </c>
      <c r="J182" t="s">
        <v>226</v>
      </c>
      <c r="K182" t="s">
        <v>45</v>
      </c>
      <c r="L182" t="s">
        <v>31</v>
      </c>
    </row>
    <row r="183" spans="1:12" x14ac:dyDescent="0.3">
      <c r="A183" t="s">
        <v>700</v>
      </c>
      <c r="B183" t="s">
        <v>641</v>
      </c>
      <c r="C183" t="s">
        <v>630</v>
      </c>
      <c r="D183" t="s">
        <v>43</v>
      </c>
      <c r="E183">
        <v>7</v>
      </c>
      <c r="F183">
        <v>90</v>
      </c>
      <c r="G183" t="s">
        <v>642</v>
      </c>
      <c r="H183" t="s">
        <v>17</v>
      </c>
      <c r="I183" t="s">
        <v>90</v>
      </c>
      <c r="J183" t="s">
        <v>91</v>
      </c>
      <c r="K183" t="s">
        <v>20</v>
      </c>
      <c r="L183" t="s">
        <v>21</v>
      </c>
    </row>
    <row r="184" spans="1:12" x14ac:dyDescent="0.3">
      <c r="A184" t="s">
        <v>702</v>
      </c>
      <c r="B184" t="s">
        <v>644</v>
      </c>
      <c r="C184" t="s">
        <v>645</v>
      </c>
      <c r="D184" t="s">
        <v>15</v>
      </c>
      <c r="E184">
        <v>16</v>
      </c>
      <c r="F184">
        <v>50</v>
      </c>
      <c r="G184" t="s">
        <v>253</v>
      </c>
      <c r="H184" t="s">
        <v>37</v>
      </c>
      <c r="I184" t="s">
        <v>83</v>
      </c>
      <c r="J184" t="s">
        <v>84</v>
      </c>
      <c r="K184" t="s">
        <v>158</v>
      </c>
      <c r="L184" t="s">
        <v>31</v>
      </c>
    </row>
    <row r="185" spans="1:12" x14ac:dyDescent="0.3">
      <c r="A185" t="s">
        <v>704</v>
      </c>
      <c r="B185" t="s">
        <v>647</v>
      </c>
      <c r="C185" t="s">
        <v>312</v>
      </c>
      <c r="D185" t="s">
        <v>94</v>
      </c>
      <c r="E185">
        <v>18</v>
      </c>
      <c r="F185">
        <v>73</v>
      </c>
      <c r="G185" t="s">
        <v>19</v>
      </c>
      <c r="H185" t="s">
        <v>27</v>
      </c>
      <c r="I185" t="s">
        <v>28</v>
      </c>
      <c r="J185" t="s">
        <v>79</v>
      </c>
      <c r="K185" t="s">
        <v>54</v>
      </c>
      <c r="L185" t="s">
        <v>21</v>
      </c>
    </row>
    <row r="186" spans="1:12" x14ac:dyDescent="0.3">
      <c r="A186" t="s">
        <v>707</v>
      </c>
      <c r="B186" t="s">
        <v>647</v>
      </c>
      <c r="C186" t="s">
        <v>312</v>
      </c>
      <c r="D186" t="s">
        <v>94</v>
      </c>
      <c r="E186">
        <v>18</v>
      </c>
      <c r="F186">
        <v>73</v>
      </c>
      <c r="G186" t="s">
        <v>648</v>
      </c>
      <c r="H186" t="s">
        <v>27</v>
      </c>
      <c r="I186" t="s">
        <v>28</v>
      </c>
      <c r="J186" t="s">
        <v>79</v>
      </c>
      <c r="K186" t="s">
        <v>54</v>
      </c>
      <c r="L186" t="s">
        <v>21</v>
      </c>
    </row>
    <row r="187" spans="1:12" x14ac:dyDescent="0.3">
      <c r="A187" t="s">
        <v>712</v>
      </c>
      <c r="B187" t="s">
        <v>19</v>
      </c>
      <c r="C187" t="s">
        <v>650</v>
      </c>
      <c r="D187" t="s">
        <v>35</v>
      </c>
      <c r="E187">
        <v>11</v>
      </c>
      <c r="F187">
        <v>55</v>
      </c>
      <c r="G187" t="s">
        <v>433</v>
      </c>
      <c r="H187" t="s">
        <v>17</v>
      </c>
      <c r="I187" t="s">
        <v>18</v>
      </c>
      <c r="J187" t="s">
        <v>65</v>
      </c>
      <c r="K187" t="s">
        <v>30</v>
      </c>
      <c r="L187" t="s">
        <v>21</v>
      </c>
    </row>
    <row r="188" spans="1:12" x14ac:dyDescent="0.3">
      <c r="A188" t="s">
        <v>714</v>
      </c>
      <c r="B188" t="s">
        <v>652</v>
      </c>
      <c r="C188" t="s">
        <v>653</v>
      </c>
      <c r="D188" t="s">
        <v>169</v>
      </c>
      <c r="E188">
        <v>4</v>
      </c>
      <c r="F188">
        <v>80</v>
      </c>
      <c r="G188" t="s">
        <v>443</v>
      </c>
      <c r="H188" t="s">
        <v>70</v>
      </c>
      <c r="I188" t="s">
        <v>71</v>
      </c>
      <c r="J188" t="s">
        <v>557</v>
      </c>
      <c r="K188" t="s">
        <v>73</v>
      </c>
      <c r="L188" t="s">
        <v>46</v>
      </c>
    </row>
    <row r="189" spans="1:12" x14ac:dyDescent="0.3">
      <c r="A189" t="s">
        <v>719</v>
      </c>
      <c r="B189" t="s">
        <v>655</v>
      </c>
      <c r="C189" t="s">
        <v>403</v>
      </c>
      <c r="D189" t="s">
        <v>50</v>
      </c>
      <c r="E189">
        <v>15</v>
      </c>
      <c r="F189">
        <v>70</v>
      </c>
      <c r="G189" t="s">
        <v>656</v>
      </c>
      <c r="H189" t="s">
        <v>19</v>
      </c>
      <c r="I189" t="s">
        <v>28</v>
      </c>
      <c r="J189" t="s">
        <v>79</v>
      </c>
      <c r="K189" t="s">
        <v>54</v>
      </c>
      <c r="L189" t="s">
        <v>21</v>
      </c>
    </row>
    <row r="190" spans="1:12" x14ac:dyDescent="0.3">
      <c r="A190" t="s">
        <v>720</v>
      </c>
      <c r="B190" t="s">
        <v>657</v>
      </c>
      <c r="C190" t="s">
        <v>658</v>
      </c>
      <c r="D190" t="s">
        <v>125</v>
      </c>
      <c r="E190">
        <v>18</v>
      </c>
      <c r="F190">
        <v>63</v>
      </c>
      <c r="G190" t="s">
        <v>126</v>
      </c>
      <c r="H190" t="s">
        <v>27</v>
      </c>
      <c r="I190" t="s">
        <v>28</v>
      </c>
      <c r="J190" t="s">
        <v>79</v>
      </c>
      <c r="K190" t="s">
        <v>54</v>
      </c>
      <c r="L190" t="s">
        <v>31</v>
      </c>
    </row>
    <row r="191" spans="1:12" x14ac:dyDescent="0.3">
      <c r="A191" t="s">
        <v>723</v>
      </c>
      <c r="B191" t="s">
        <v>657</v>
      </c>
      <c r="C191" t="s">
        <v>658</v>
      </c>
      <c r="D191" t="s">
        <v>125</v>
      </c>
      <c r="E191">
        <v>18</v>
      </c>
      <c r="F191">
        <v>63</v>
      </c>
      <c r="G191" t="s">
        <v>126</v>
      </c>
      <c r="H191" t="s">
        <v>27</v>
      </c>
      <c r="I191" t="s">
        <v>28</v>
      </c>
      <c r="J191" t="s">
        <v>79</v>
      </c>
      <c r="K191" t="s">
        <v>54</v>
      </c>
      <c r="L191" t="s">
        <v>31</v>
      </c>
    </row>
    <row r="192" spans="1:12" x14ac:dyDescent="0.3">
      <c r="A192" t="s">
        <v>726</v>
      </c>
      <c r="B192" t="s">
        <v>661</v>
      </c>
      <c r="C192" t="s">
        <v>63</v>
      </c>
      <c r="D192" t="s">
        <v>94</v>
      </c>
      <c r="E192">
        <v>15</v>
      </c>
      <c r="F192">
        <v>68</v>
      </c>
      <c r="G192" t="s">
        <v>662</v>
      </c>
      <c r="H192" t="s">
        <v>37</v>
      </c>
      <c r="I192" t="s">
        <v>663</v>
      </c>
      <c r="J192" t="s">
        <v>84</v>
      </c>
      <c r="K192" t="s">
        <v>158</v>
      </c>
      <c r="L192" t="s">
        <v>345</v>
      </c>
    </row>
    <row r="193" spans="1:12" x14ac:dyDescent="0.3">
      <c r="A193" t="s">
        <v>728</v>
      </c>
      <c r="B193" t="s">
        <v>665</v>
      </c>
      <c r="C193" t="s">
        <v>666</v>
      </c>
      <c r="D193" t="s">
        <v>667</v>
      </c>
      <c r="E193">
        <v>3</v>
      </c>
      <c r="F193">
        <v>63</v>
      </c>
      <c r="G193" t="s">
        <v>668</v>
      </c>
      <c r="H193" t="s">
        <v>17</v>
      </c>
      <c r="I193" t="s">
        <v>18</v>
      </c>
      <c r="J193" t="s">
        <v>65</v>
      </c>
      <c r="K193" t="s">
        <v>30</v>
      </c>
      <c r="L193" t="s">
        <v>345</v>
      </c>
    </row>
    <row r="194" spans="1:12" x14ac:dyDescent="0.3">
      <c r="A194" t="s">
        <v>730</v>
      </c>
      <c r="B194" t="s">
        <v>670</v>
      </c>
      <c r="C194" t="s">
        <v>88</v>
      </c>
      <c r="D194" t="s">
        <v>169</v>
      </c>
      <c r="E194">
        <v>20</v>
      </c>
      <c r="F194">
        <v>80</v>
      </c>
      <c r="G194" t="s">
        <v>671</v>
      </c>
      <c r="H194" t="s">
        <v>70</v>
      </c>
      <c r="I194" t="s">
        <v>183</v>
      </c>
      <c r="J194" t="s">
        <v>184</v>
      </c>
      <c r="K194" t="s">
        <v>66</v>
      </c>
      <c r="L194" t="s">
        <v>46</v>
      </c>
    </row>
    <row r="195" spans="1:12" x14ac:dyDescent="0.3">
      <c r="A195" t="s">
        <v>731</v>
      </c>
      <c r="B195" t="s">
        <v>176</v>
      </c>
      <c r="C195" t="s">
        <v>145</v>
      </c>
      <c r="D195" t="s">
        <v>94</v>
      </c>
      <c r="E195">
        <v>7</v>
      </c>
      <c r="F195">
        <v>68</v>
      </c>
      <c r="G195" t="s">
        <v>230</v>
      </c>
      <c r="H195" t="s">
        <v>70</v>
      </c>
      <c r="I195" t="s">
        <v>71</v>
      </c>
      <c r="J195" t="s">
        <v>72</v>
      </c>
      <c r="K195" t="s">
        <v>73</v>
      </c>
      <c r="L195" t="s">
        <v>31</v>
      </c>
    </row>
    <row r="196" spans="1:12" x14ac:dyDescent="0.3">
      <c r="A196" t="s">
        <v>733</v>
      </c>
      <c r="B196" t="s">
        <v>674</v>
      </c>
      <c r="C196" t="s">
        <v>675</v>
      </c>
      <c r="D196" t="s">
        <v>676</v>
      </c>
      <c r="E196">
        <v>1</v>
      </c>
      <c r="F196">
        <v>100</v>
      </c>
      <c r="G196" t="s">
        <v>266</v>
      </c>
      <c r="H196" t="s">
        <v>27</v>
      </c>
      <c r="I196" t="s">
        <v>28</v>
      </c>
      <c r="J196" t="s">
        <v>53</v>
      </c>
      <c r="K196" t="s">
        <v>54</v>
      </c>
      <c r="L196" t="s">
        <v>74</v>
      </c>
    </row>
    <row r="197" spans="1:12" x14ac:dyDescent="0.3">
      <c r="A197" t="s">
        <v>736</v>
      </c>
      <c r="B197" t="s">
        <v>678</v>
      </c>
      <c r="C197" t="s">
        <v>329</v>
      </c>
      <c r="D197" t="s">
        <v>94</v>
      </c>
      <c r="E197">
        <v>4</v>
      </c>
      <c r="F197">
        <v>68</v>
      </c>
      <c r="G197" t="s">
        <v>679</v>
      </c>
      <c r="H197" t="s">
        <v>37</v>
      </c>
      <c r="I197" t="s">
        <v>83</v>
      </c>
      <c r="J197" t="s">
        <v>84</v>
      </c>
      <c r="K197" t="s">
        <v>158</v>
      </c>
      <c r="L197" t="s">
        <v>46</v>
      </c>
    </row>
    <row r="198" spans="1:12" x14ac:dyDescent="0.3">
      <c r="A198" t="s">
        <v>740</v>
      </c>
      <c r="B198" t="s">
        <v>681</v>
      </c>
      <c r="C198" t="s">
        <v>638</v>
      </c>
      <c r="D198" t="s">
        <v>169</v>
      </c>
      <c r="E198">
        <v>13</v>
      </c>
      <c r="F198">
        <v>80</v>
      </c>
      <c r="G198" t="s">
        <v>388</v>
      </c>
      <c r="H198" t="s">
        <v>37</v>
      </c>
      <c r="I198" t="s">
        <v>225</v>
      </c>
      <c r="J198" t="s">
        <v>682</v>
      </c>
      <c r="K198" t="s">
        <v>66</v>
      </c>
      <c r="L198" t="s">
        <v>46</v>
      </c>
    </row>
    <row r="199" spans="1:12" x14ac:dyDescent="0.3">
      <c r="A199" t="s">
        <v>744</v>
      </c>
      <c r="B199" t="s">
        <v>684</v>
      </c>
      <c r="C199" t="s">
        <v>685</v>
      </c>
      <c r="D199" t="s">
        <v>125</v>
      </c>
      <c r="E199">
        <v>17</v>
      </c>
      <c r="F199">
        <v>53</v>
      </c>
      <c r="G199" t="s">
        <v>286</v>
      </c>
      <c r="H199" t="s">
        <v>17</v>
      </c>
      <c r="I199" t="s">
        <v>90</v>
      </c>
      <c r="J199" t="s">
        <v>138</v>
      </c>
      <c r="K199" t="s">
        <v>45</v>
      </c>
      <c r="L199" t="s">
        <v>46</v>
      </c>
    </row>
    <row r="200" spans="1:12" x14ac:dyDescent="0.3">
      <c r="A200" t="s">
        <v>746</v>
      </c>
      <c r="B200" t="s">
        <v>687</v>
      </c>
      <c r="C200" t="s">
        <v>190</v>
      </c>
      <c r="D200" t="s">
        <v>281</v>
      </c>
      <c r="E200">
        <v>17</v>
      </c>
      <c r="F200">
        <v>70</v>
      </c>
      <c r="G200" t="s">
        <v>688</v>
      </c>
      <c r="H200" t="s">
        <v>70</v>
      </c>
      <c r="I200" t="s">
        <v>689</v>
      </c>
      <c r="J200" t="s">
        <v>557</v>
      </c>
      <c r="K200" t="s">
        <v>73</v>
      </c>
      <c r="L200" t="s">
        <v>21</v>
      </c>
    </row>
    <row r="201" spans="1:12" x14ac:dyDescent="0.3">
      <c r="A201" t="s">
        <v>748</v>
      </c>
      <c r="B201" t="s">
        <v>691</v>
      </c>
      <c r="C201" t="s">
        <v>496</v>
      </c>
      <c r="D201" t="s">
        <v>169</v>
      </c>
      <c r="E201">
        <v>16</v>
      </c>
      <c r="F201">
        <v>75</v>
      </c>
      <c r="G201" t="s">
        <v>182</v>
      </c>
      <c r="H201" t="s">
        <v>17</v>
      </c>
      <c r="I201" t="s">
        <v>18</v>
      </c>
      <c r="J201" t="s">
        <v>65</v>
      </c>
      <c r="K201" t="s">
        <v>60</v>
      </c>
      <c r="L201" t="s">
        <v>46</v>
      </c>
    </row>
    <row r="202" spans="1:12" x14ac:dyDescent="0.3">
      <c r="A202" t="s">
        <v>750</v>
      </c>
      <c r="B202" t="s">
        <v>693</v>
      </c>
      <c r="C202" t="s">
        <v>694</v>
      </c>
      <c r="D202" t="s">
        <v>125</v>
      </c>
      <c r="E202">
        <v>18</v>
      </c>
      <c r="F202">
        <v>53</v>
      </c>
      <c r="G202" t="s">
        <v>695</v>
      </c>
      <c r="H202" t="s">
        <v>17</v>
      </c>
      <c r="I202" t="s">
        <v>90</v>
      </c>
      <c r="J202" t="s">
        <v>91</v>
      </c>
      <c r="K202" t="s">
        <v>2190</v>
      </c>
      <c r="L202" t="s">
        <v>46</v>
      </c>
    </row>
    <row r="203" spans="1:12" x14ac:dyDescent="0.3">
      <c r="A203" t="s">
        <v>752</v>
      </c>
      <c r="B203" t="s">
        <v>19</v>
      </c>
      <c r="C203" t="s">
        <v>697</v>
      </c>
      <c r="D203" t="s">
        <v>281</v>
      </c>
      <c r="E203">
        <v>18</v>
      </c>
      <c r="F203">
        <v>75</v>
      </c>
      <c r="G203" t="s">
        <v>698</v>
      </c>
      <c r="H203" t="s">
        <v>27</v>
      </c>
      <c r="I203" t="s">
        <v>28</v>
      </c>
      <c r="J203" t="s">
        <v>29</v>
      </c>
      <c r="K203" t="s">
        <v>20</v>
      </c>
      <c r="L203" t="s">
        <v>21</v>
      </c>
    </row>
    <row r="204" spans="1:12" x14ac:dyDescent="0.3">
      <c r="A204" t="s">
        <v>754</v>
      </c>
      <c r="B204" t="s">
        <v>699</v>
      </c>
      <c r="C204" t="s">
        <v>697</v>
      </c>
      <c r="D204" t="s">
        <v>281</v>
      </c>
      <c r="E204">
        <v>18</v>
      </c>
      <c r="F204">
        <v>75</v>
      </c>
      <c r="G204" t="s">
        <v>698</v>
      </c>
      <c r="H204" t="s">
        <v>27</v>
      </c>
      <c r="I204" t="s">
        <v>28</v>
      </c>
      <c r="J204" t="s">
        <v>29</v>
      </c>
      <c r="K204" t="s">
        <v>20</v>
      </c>
      <c r="L204" t="s">
        <v>21</v>
      </c>
    </row>
    <row r="205" spans="1:12" x14ac:dyDescent="0.3">
      <c r="A205" t="s">
        <v>757</v>
      </c>
      <c r="B205" t="s">
        <v>393</v>
      </c>
      <c r="C205" t="s">
        <v>701</v>
      </c>
      <c r="D205" t="s">
        <v>125</v>
      </c>
      <c r="E205">
        <v>3</v>
      </c>
      <c r="F205">
        <v>63</v>
      </c>
      <c r="G205" t="s">
        <v>668</v>
      </c>
      <c r="H205" t="s">
        <v>27</v>
      </c>
      <c r="I205" t="s">
        <v>28</v>
      </c>
      <c r="J205" t="s">
        <v>29</v>
      </c>
      <c r="K205" t="s">
        <v>45</v>
      </c>
      <c r="L205" t="s">
        <v>46</v>
      </c>
    </row>
    <row r="206" spans="1:12" x14ac:dyDescent="0.3">
      <c r="A206" t="s">
        <v>761</v>
      </c>
      <c r="B206" t="s">
        <v>703</v>
      </c>
      <c r="C206" t="s">
        <v>460</v>
      </c>
      <c r="D206" t="s">
        <v>50</v>
      </c>
      <c r="E206">
        <v>10</v>
      </c>
      <c r="F206">
        <v>65</v>
      </c>
      <c r="G206" t="s">
        <v>547</v>
      </c>
      <c r="H206" t="s">
        <v>231</v>
      </c>
      <c r="I206" t="s">
        <v>71</v>
      </c>
      <c r="J206" t="s">
        <v>72</v>
      </c>
      <c r="K206" t="s">
        <v>73</v>
      </c>
      <c r="L206" t="s">
        <v>31</v>
      </c>
    </row>
    <row r="207" spans="1:12" x14ac:dyDescent="0.3">
      <c r="A207" t="s">
        <v>764</v>
      </c>
      <c r="B207" t="s">
        <v>705</v>
      </c>
      <c r="C207" t="s">
        <v>432</v>
      </c>
      <c r="D207" t="s">
        <v>281</v>
      </c>
      <c r="E207">
        <v>2</v>
      </c>
      <c r="F207">
        <v>70</v>
      </c>
      <c r="G207" t="s">
        <v>706</v>
      </c>
      <c r="H207" t="s">
        <v>37</v>
      </c>
      <c r="I207" t="s">
        <v>19</v>
      </c>
      <c r="J207" t="s">
        <v>226</v>
      </c>
      <c r="K207" t="s">
        <v>60</v>
      </c>
      <c r="L207" t="s">
        <v>21</v>
      </c>
    </row>
    <row r="208" spans="1:12" x14ac:dyDescent="0.3">
      <c r="A208" t="s">
        <v>767</v>
      </c>
      <c r="B208" t="s">
        <v>708</v>
      </c>
      <c r="C208" t="s">
        <v>709</v>
      </c>
      <c r="D208" t="s">
        <v>25</v>
      </c>
      <c r="E208">
        <v>16</v>
      </c>
      <c r="F208">
        <v>55</v>
      </c>
      <c r="G208" t="s">
        <v>710</v>
      </c>
      <c r="H208" t="s">
        <v>37</v>
      </c>
      <c r="I208" t="s">
        <v>225</v>
      </c>
      <c r="J208" t="s">
        <v>226</v>
      </c>
      <c r="K208" t="s">
        <v>711</v>
      </c>
      <c r="L208" t="s">
        <v>21</v>
      </c>
    </row>
    <row r="209" spans="1:12" x14ac:dyDescent="0.3">
      <c r="A209" t="s">
        <v>769</v>
      </c>
      <c r="B209" t="s">
        <v>713</v>
      </c>
      <c r="C209" t="s">
        <v>658</v>
      </c>
      <c r="D209" t="s">
        <v>15</v>
      </c>
      <c r="E209">
        <v>9</v>
      </c>
      <c r="F209">
        <v>50</v>
      </c>
      <c r="G209" t="s">
        <v>137</v>
      </c>
      <c r="H209" t="s">
        <v>70</v>
      </c>
      <c r="I209" t="s">
        <v>183</v>
      </c>
      <c r="J209" t="s">
        <v>184</v>
      </c>
      <c r="K209" t="s">
        <v>60</v>
      </c>
      <c r="L209" t="s">
        <v>31</v>
      </c>
    </row>
    <row r="210" spans="1:12" x14ac:dyDescent="0.3">
      <c r="A210" t="s">
        <v>771</v>
      </c>
      <c r="B210" t="s">
        <v>715</v>
      </c>
      <c r="C210" t="s">
        <v>716</v>
      </c>
      <c r="D210" t="s">
        <v>25</v>
      </c>
      <c r="E210">
        <v>9</v>
      </c>
      <c r="F210">
        <v>60</v>
      </c>
      <c r="G210" t="s">
        <v>64</v>
      </c>
      <c r="H210" t="s">
        <v>27</v>
      </c>
      <c r="I210" t="s">
        <v>52</v>
      </c>
      <c r="J210" t="s">
        <v>29</v>
      </c>
      <c r="K210" t="s">
        <v>45</v>
      </c>
      <c r="L210" t="s">
        <v>46</v>
      </c>
    </row>
    <row r="211" spans="1:12" x14ac:dyDescent="0.3">
      <c r="A211" t="s">
        <v>773</v>
      </c>
      <c r="B211" t="s">
        <v>717</v>
      </c>
      <c r="C211" t="s">
        <v>718</v>
      </c>
      <c r="D211" t="s">
        <v>169</v>
      </c>
      <c r="E211">
        <v>15</v>
      </c>
      <c r="F211">
        <v>80</v>
      </c>
      <c r="G211" t="s">
        <v>182</v>
      </c>
      <c r="H211" t="s">
        <v>37</v>
      </c>
      <c r="I211" t="s">
        <v>225</v>
      </c>
      <c r="J211" t="s">
        <v>226</v>
      </c>
      <c r="K211" t="s">
        <v>60</v>
      </c>
      <c r="L211" t="s">
        <v>19</v>
      </c>
    </row>
    <row r="212" spans="1:12" x14ac:dyDescent="0.3">
      <c r="A212" t="s">
        <v>776</v>
      </c>
      <c r="B212" t="s">
        <v>717</v>
      </c>
      <c r="C212" t="s">
        <v>718</v>
      </c>
      <c r="D212" t="s">
        <v>169</v>
      </c>
      <c r="E212">
        <v>15</v>
      </c>
      <c r="F212">
        <v>80</v>
      </c>
      <c r="G212" t="s">
        <v>182</v>
      </c>
      <c r="H212" t="s">
        <v>37</v>
      </c>
      <c r="I212" t="s">
        <v>225</v>
      </c>
      <c r="J212" t="s">
        <v>226</v>
      </c>
      <c r="K212" t="s">
        <v>60</v>
      </c>
      <c r="L212" t="s">
        <v>46</v>
      </c>
    </row>
    <row r="213" spans="1:12" x14ac:dyDescent="0.3">
      <c r="A213" t="s">
        <v>778</v>
      </c>
      <c r="B213" t="s">
        <v>721</v>
      </c>
      <c r="C213" t="s">
        <v>722</v>
      </c>
      <c r="D213" t="s">
        <v>43</v>
      </c>
      <c r="E213">
        <v>10</v>
      </c>
      <c r="F213">
        <v>95</v>
      </c>
      <c r="G213" t="s">
        <v>336</v>
      </c>
      <c r="H213" t="s">
        <v>37</v>
      </c>
      <c r="I213" t="s">
        <v>83</v>
      </c>
      <c r="J213" t="s">
        <v>84</v>
      </c>
      <c r="K213" t="s">
        <v>158</v>
      </c>
      <c r="L213" t="s">
        <v>46</v>
      </c>
    </row>
    <row r="214" spans="1:12" x14ac:dyDescent="0.3">
      <c r="A214" t="s">
        <v>780</v>
      </c>
      <c r="B214" t="s">
        <v>724</v>
      </c>
      <c r="C214" t="s">
        <v>19</v>
      </c>
      <c r="D214" t="s">
        <v>15</v>
      </c>
      <c r="E214">
        <v>1</v>
      </c>
      <c r="F214">
        <v>50</v>
      </c>
      <c r="G214" t="s">
        <v>725</v>
      </c>
      <c r="H214" t="s">
        <v>37</v>
      </c>
      <c r="I214" t="s">
        <v>38</v>
      </c>
      <c r="J214" t="s">
        <v>39</v>
      </c>
      <c r="K214" t="s">
        <v>60</v>
      </c>
      <c r="L214" t="s">
        <v>421</v>
      </c>
    </row>
    <row r="215" spans="1:12" x14ac:dyDescent="0.3">
      <c r="A215" t="s">
        <v>784</v>
      </c>
      <c r="B215" t="s">
        <v>727</v>
      </c>
      <c r="C215" t="s">
        <v>42</v>
      </c>
      <c r="D215" t="s">
        <v>35</v>
      </c>
      <c r="E215">
        <v>17</v>
      </c>
      <c r="F215" t="s">
        <v>19</v>
      </c>
      <c r="G215" t="s">
        <v>662</v>
      </c>
      <c r="H215" t="s">
        <v>37</v>
      </c>
      <c r="I215" t="s">
        <v>663</v>
      </c>
      <c r="J215" t="s">
        <v>84</v>
      </c>
      <c r="K215" t="s">
        <v>158</v>
      </c>
      <c r="L215" t="s">
        <v>21</v>
      </c>
    </row>
    <row r="216" spans="1:12" x14ac:dyDescent="0.3">
      <c r="A216" t="s">
        <v>787</v>
      </c>
      <c r="B216" t="s">
        <v>729</v>
      </c>
      <c r="C216" t="s">
        <v>477</v>
      </c>
      <c r="D216" t="s">
        <v>169</v>
      </c>
      <c r="E216" t="s">
        <v>19</v>
      </c>
      <c r="F216">
        <v>75</v>
      </c>
      <c r="G216" t="s">
        <v>698</v>
      </c>
      <c r="H216" t="s">
        <v>17</v>
      </c>
      <c r="I216" t="s">
        <v>90</v>
      </c>
      <c r="J216" t="s">
        <v>138</v>
      </c>
      <c r="K216" t="s">
        <v>60</v>
      </c>
      <c r="L216" t="s">
        <v>21</v>
      </c>
    </row>
    <row r="217" spans="1:12" x14ac:dyDescent="0.3">
      <c r="A217" t="s">
        <v>2145</v>
      </c>
      <c r="B217" t="s">
        <v>551</v>
      </c>
      <c r="C217" t="s">
        <v>133</v>
      </c>
      <c r="D217" t="s">
        <v>213</v>
      </c>
      <c r="E217">
        <v>14</v>
      </c>
      <c r="F217">
        <v>45</v>
      </c>
      <c r="G217" t="s">
        <v>642</v>
      </c>
      <c r="H217" t="s">
        <v>17</v>
      </c>
      <c r="I217" t="s">
        <v>18</v>
      </c>
      <c r="J217" t="s">
        <v>65</v>
      </c>
      <c r="K217" t="s">
        <v>66</v>
      </c>
      <c r="L217" t="s">
        <v>421</v>
      </c>
    </row>
    <row r="218" spans="1:12" x14ac:dyDescent="0.3">
      <c r="A218" t="s">
        <v>789</v>
      </c>
      <c r="B218" t="s">
        <v>732</v>
      </c>
      <c r="C218" t="s">
        <v>675</v>
      </c>
      <c r="D218" t="s">
        <v>169</v>
      </c>
      <c r="E218">
        <v>13</v>
      </c>
      <c r="F218">
        <v>75</v>
      </c>
      <c r="G218" t="s">
        <v>157</v>
      </c>
      <c r="H218" t="s">
        <v>17</v>
      </c>
      <c r="I218" t="s">
        <v>90</v>
      </c>
      <c r="J218" t="s">
        <v>91</v>
      </c>
      <c r="K218" t="s">
        <v>45</v>
      </c>
      <c r="L218" t="s">
        <v>31</v>
      </c>
    </row>
    <row r="219" spans="1:12" x14ac:dyDescent="0.3">
      <c r="A219" t="s">
        <v>792</v>
      </c>
      <c r="B219" t="s">
        <v>734</v>
      </c>
      <c r="C219" t="s">
        <v>653</v>
      </c>
      <c r="D219" t="s">
        <v>429</v>
      </c>
      <c r="E219">
        <v>9</v>
      </c>
      <c r="F219">
        <v>58</v>
      </c>
      <c r="G219" t="s">
        <v>735</v>
      </c>
      <c r="H219" t="s">
        <v>37</v>
      </c>
      <c r="I219" t="s">
        <v>38</v>
      </c>
      <c r="J219" t="s">
        <v>39</v>
      </c>
      <c r="K219" t="s">
        <v>66</v>
      </c>
      <c r="L219" t="s">
        <v>140</v>
      </c>
    </row>
    <row r="220" spans="1:12" x14ac:dyDescent="0.3">
      <c r="A220" t="s">
        <v>796</v>
      </c>
      <c r="B220" t="s">
        <v>737</v>
      </c>
      <c r="C220" t="s">
        <v>738</v>
      </c>
      <c r="D220" t="s">
        <v>281</v>
      </c>
      <c r="E220">
        <v>12</v>
      </c>
      <c r="F220">
        <v>70</v>
      </c>
      <c r="G220" t="s">
        <v>739</v>
      </c>
      <c r="H220" t="s">
        <v>70</v>
      </c>
      <c r="I220" t="s">
        <v>151</v>
      </c>
      <c r="J220" t="s">
        <v>188</v>
      </c>
      <c r="K220" t="s">
        <v>60</v>
      </c>
      <c r="L220" t="s">
        <v>46</v>
      </c>
    </row>
    <row r="221" spans="1:12" x14ac:dyDescent="0.3">
      <c r="A221" t="s">
        <v>798</v>
      </c>
      <c r="B221" t="s">
        <v>741</v>
      </c>
      <c r="C221" t="s">
        <v>742</v>
      </c>
      <c r="D221" t="s">
        <v>94</v>
      </c>
      <c r="E221">
        <v>7</v>
      </c>
      <c r="F221">
        <v>73</v>
      </c>
      <c r="G221" t="s">
        <v>743</v>
      </c>
      <c r="H221" t="s">
        <v>27</v>
      </c>
      <c r="I221" t="s">
        <v>100</v>
      </c>
      <c r="J221" t="s">
        <v>101</v>
      </c>
      <c r="K221" t="s">
        <v>20</v>
      </c>
      <c r="L221" t="s">
        <v>31</v>
      </c>
    </row>
    <row r="222" spans="1:12" x14ac:dyDescent="0.3">
      <c r="A222" t="s">
        <v>800</v>
      </c>
      <c r="B222" t="s">
        <v>745</v>
      </c>
      <c r="C222" t="s">
        <v>580</v>
      </c>
      <c r="D222" t="s">
        <v>125</v>
      </c>
      <c r="E222">
        <v>20</v>
      </c>
      <c r="F222">
        <v>53</v>
      </c>
      <c r="G222" t="s">
        <v>19</v>
      </c>
      <c r="H222" t="s">
        <v>17</v>
      </c>
      <c r="I222" t="s">
        <v>18</v>
      </c>
      <c r="J222" t="s">
        <v>65</v>
      </c>
      <c r="K222" t="s">
        <v>60</v>
      </c>
      <c r="L222" t="s">
        <v>21</v>
      </c>
    </row>
    <row r="223" spans="1:12" x14ac:dyDescent="0.3">
      <c r="A223" t="s">
        <v>802</v>
      </c>
      <c r="B223" t="s">
        <v>747</v>
      </c>
      <c r="C223" t="s">
        <v>507</v>
      </c>
      <c r="D223" t="s">
        <v>454</v>
      </c>
      <c r="E223">
        <v>8</v>
      </c>
      <c r="F223">
        <v>55</v>
      </c>
      <c r="G223" t="s">
        <v>604</v>
      </c>
      <c r="H223" t="s">
        <v>37</v>
      </c>
      <c r="I223" t="s">
        <v>140</v>
      </c>
      <c r="J223" t="s">
        <v>84</v>
      </c>
      <c r="K223" t="s">
        <v>158</v>
      </c>
      <c r="L223" t="s">
        <v>21</v>
      </c>
    </row>
    <row r="224" spans="1:12" x14ac:dyDescent="0.3">
      <c r="A224" t="s">
        <v>806</v>
      </c>
      <c r="B224" t="s">
        <v>749</v>
      </c>
      <c r="C224" t="s">
        <v>339</v>
      </c>
      <c r="D224" t="s">
        <v>94</v>
      </c>
      <c r="E224">
        <v>18</v>
      </c>
      <c r="F224">
        <v>63</v>
      </c>
      <c r="G224" t="s">
        <v>126</v>
      </c>
      <c r="H224" t="s">
        <v>17</v>
      </c>
      <c r="I224" t="s">
        <v>19</v>
      </c>
      <c r="J224" t="s">
        <v>91</v>
      </c>
      <c r="K224" t="s">
        <v>66</v>
      </c>
      <c r="L224" t="s">
        <v>21</v>
      </c>
    </row>
    <row r="225" spans="1:12" x14ac:dyDescent="0.3">
      <c r="A225" t="s">
        <v>810</v>
      </c>
      <c r="B225" t="s">
        <v>751</v>
      </c>
      <c r="C225" t="s">
        <v>567</v>
      </c>
      <c r="D225" t="s">
        <v>94</v>
      </c>
      <c r="E225">
        <v>15</v>
      </c>
      <c r="F225">
        <v>68</v>
      </c>
      <c r="G225" t="s">
        <v>662</v>
      </c>
      <c r="H225" t="s">
        <v>70</v>
      </c>
      <c r="I225" t="s">
        <v>183</v>
      </c>
      <c r="J225" t="s">
        <v>184</v>
      </c>
      <c r="K225" t="s">
        <v>60</v>
      </c>
      <c r="L225" t="s">
        <v>21</v>
      </c>
    </row>
    <row r="226" spans="1:12" x14ac:dyDescent="0.3">
      <c r="A226" t="s">
        <v>812</v>
      </c>
      <c r="B226" t="s">
        <v>753</v>
      </c>
      <c r="C226" t="s">
        <v>615</v>
      </c>
      <c r="D226" t="s">
        <v>125</v>
      </c>
      <c r="E226">
        <v>17</v>
      </c>
      <c r="F226">
        <v>63</v>
      </c>
      <c r="G226" t="s">
        <v>601</v>
      </c>
      <c r="H226" t="s">
        <v>27</v>
      </c>
      <c r="I226" t="s">
        <v>28</v>
      </c>
      <c r="J226" t="s">
        <v>29</v>
      </c>
      <c r="K226" t="s">
        <v>30</v>
      </c>
      <c r="L226" t="s">
        <v>46</v>
      </c>
    </row>
    <row r="227" spans="1:12" x14ac:dyDescent="0.3">
      <c r="A227" t="s">
        <v>814</v>
      </c>
      <c r="B227" t="s">
        <v>755</v>
      </c>
      <c r="C227" t="s">
        <v>716</v>
      </c>
      <c r="D227" t="s">
        <v>35</v>
      </c>
      <c r="E227">
        <v>3</v>
      </c>
      <c r="F227">
        <v>55</v>
      </c>
      <c r="G227" t="s">
        <v>756</v>
      </c>
      <c r="H227" t="s">
        <v>17</v>
      </c>
      <c r="I227" t="s">
        <v>90</v>
      </c>
      <c r="J227" t="s">
        <v>91</v>
      </c>
      <c r="K227" t="s">
        <v>66</v>
      </c>
      <c r="L227" t="s">
        <v>21</v>
      </c>
    </row>
    <row r="228" spans="1:12" x14ac:dyDescent="0.3">
      <c r="A228" t="s">
        <v>816</v>
      </c>
      <c r="B228" t="s">
        <v>758</v>
      </c>
      <c r="C228" t="s">
        <v>759</v>
      </c>
      <c r="D228" t="s">
        <v>281</v>
      </c>
      <c r="E228">
        <v>18</v>
      </c>
      <c r="F228">
        <v>70</v>
      </c>
      <c r="G228" t="s">
        <v>760</v>
      </c>
      <c r="H228" t="s">
        <v>37</v>
      </c>
      <c r="I228" t="s">
        <v>38</v>
      </c>
      <c r="J228" t="s">
        <v>39</v>
      </c>
      <c r="K228" t="s">
        <v>45</v>
      </c>
      <c r="L228" t="s">
        <v>46</v>
      </c>
    </row>
    <row r="229" spans="1:12" x14ac:dyDescent="0.3">
      <c r="A229" t="s">
        <v>818</v>
      </c>
      <c r="B229" t="s">
        <v>758</v>
      </c>
      <c r="C229" t="s">
        <v>759</v>
      </c>
      <c r="D229" t="s">
        <v>281</v>
      </c>
      <c r="E229">
        <v>18</v>
      </c>
      <c r="F229">
        <v>70</v>
      </c>
      <c r="G229" t="s">
        <v>760</v>
      </c>
      <c r="H229" t="s">
        <v>37</v>
      </c>
      <c r="I229" t="s">
        <v>38</v>
      </c>
      <c r="J229" t="s">
        <v>39</v>
      </c>
      <c r="K229" t="s">
        <v>45</v>
      </c>
      <c r="L229" t="s">
        <v>46</v>
      </c>
    </row>
    <row r="230" spans="1:12" x14ac:dyDescent="0.3">
      <c r="A230" t="s">
        <v>820</v>
      </c>
      <c r="B230" t="s">
        <v>753</v>
      </c>
      <c r="C230" t="s">
        <v>234</v>
      </c>
      <c r="D230" t="s">
        <v>146</v>
      </c>
      <c r="E230">
        <v>11</v>
      </c>
      <c r="F230">
        <v>80</v>
      </c>
      <c r="G230" t="s">
        <v>710</v>
      </c>
      <c r="H230" t="s">
        <v>19</v>
      </c>
      <c r="I230" t="s">
        <v>90</v>
      </c>
      <c r="J230" t="s">
        <v>138</v>
      </c>
      <c r="K230" t="s">
        <v>45</v>
      </c>
      <c r="L230" t="s">
        <v>31</v>
      </c>
    </row>
    <row r="231" spans="1:12" x14ac:dyDescent="0.3">
      <c r="A231" t="s">
        <v>822</v>
      </c>
      <c r="B231" t="s">
        <v>762</v>
      </c>
      <c r="C231" t="s">
        <v>763</v>
      </c>
      <c r="D231" t="s">
        <v>43</v>
      </c>
      <c r="E231">
        <v>8</v>
      </c>
      <c r="F231">
        <v>100</v>
      </c>
      <c r="G231" t="s">
        <v>253</v>
      </c>
      <c r="H231" t="s">
        <v>27</v>
      </c>
      <c r="I231" t="s">
        <v>100</v>
      </c>
      <c r="J231" t="s">
        <v>101</v>
      </c>
      <c r="K231" t="s">
        <v>60</v>
      </c>
      <c r="L231" t="s">
        <v>31</v>
      </c>
    </row>
    <row r="232" spans="1:12" x14ac:dyDescent="0.3">
      <c r="A232" t="s">
        <v>825</v>
      </c>
      <c r="B232" t="s">
        <v>765</v>
      </c>
      <c r="C232" t="s">
        <v>766</v>
      </c>
      <c r="D232" t="s">
        <v>15</v>
      </c>
      <c r="E232">
        <v>14</v>
      </c>
      <c r="F232">
        <v>50</v>
      </c>
      <c r="G232" t="s">
        <v>58</v>
      </c>
      <c r="H232" t="s">
        <v>37</v>
      </c>
      <c r="I232" t="s">
        <v>38</v>
      </c>
      <c r="J232" t="s">
        <v>39</v>
      </c>
      <c r="K232" t="s">
        <v>30</v>
      </c>
      <c r="L232" t="s">
        <v>21</v>
      </c>
    </row>
    <row r="233" spans="1:12" x14ac:dyDescent="0.3">
      <c r="A233" t="s">
        <v>827</v>
      </c>
      <c r="B233" t="s">
        <v>768</v>
      </c>
      <c r="C233" t="s">
        <v>19</v>
      </c>
      <c r="D233" t="s">
        <v>50</v>
      </c>
      <c r="E233">
        <v>9</v>
      </c>
      <c r="F233">
        <v>65</v>
      </c>
      <c r="G233" t="s">
        <v>140</v>
      </c>
      <c r="H233" t="s">
        <v>585</v>
      </c>
      <c r="I233" t="s">
        <v>225</v>
      </c>
      <c r="J233" t="s">
        <v>226</v>
      </c>
      <c r="K233" t="s">
        <v>415</v>
      </c>
      <c r="L233" t="s">
        <v>46</v>
      </c>
    </row>
    <row r="234" spans="1:12" x14ac:dyDescent="0.3">
      <c r="A234" t="s">
        <v>829</v>
      </c>
      <c r="B234" t="s">
        <v>770</v>
      </c>
      <c r="C234" t="s">
        <v>738</v>
      </c>
      <c r="D234" t="s">
        <v>43</v>
      </c>
      <c r="E234">
        <v>3</v>
      </c>
      <c r="F234">
        <v>100</v>
      </c>
      <c r="G234" t="s">
        <v>446</v>
      </c>
      <c r="H234" t="s">
        <v>27</v>
      </c>
      <c r="I234" t="s">
        <v>100</v>
      </c>
      <c r="J234" t="s">
        <v>101</v>
      </c>
      <c r="K234" t="s">
        <v>20</v>
      </c>
      <c r="L234" t="s">
        <v>19</v>
      </c>
    </row>
    <row r="235" spans="1:12" x14ac:dyDescent="0.3">
      <c r="A235" t="s">
        <v>831</v>
      </c>
      <c r="B235" t="s">
        <v>770</v>
      </c>
      <c r="C235" t="s">
        <v>738</v>
      </c>
      <c r="D235" t="s">
        <v>43</v>
      </c>
      <c r="E235">
        <v>3</v>
      </c>
      <c r="F235">
        <v>100</v>
      </c>
      <c r="G235" t="s">
        <v>446</v>
      </c>
      <c r="H235" t="s">
        <v>27</v>
      </c>
      <c r="I235" t="s">
        <v>100</v>
      </c>
      <c r="J235" t="s">
        <v>101</v>
      </c>
      <c r="K235" t="s">
        <v>20</v>
      </c>
      <c r="L235" t="s">
        <v>21</v>
      </c>
    </row>
    <row r="236" spans="1:12" x14ac:dyDescent="0.3">
      <c r="A236" t="s">
        <v>833</v>
      </c>
      <c r="B236" t="s">
        <v>772</v>
      </c>
      <c r="C236" t="s">
        <v>107</v>
      </c>
      <c r="D236" t="s">
        <v>25</v>
      </c>
      <c r="E236">
        <v>14</v>
      </c>
      <c r="F236">
        <v>60</v>
      </c>
      <c r="G236" t="s">
        <v>739</v>
      </c>
      <c r="H236" t="s">
        <v>27</v>
      </c>
      <c r="I236" t="s">
        <v>100</v>
      </c>
      <c r="J236" t="s">
        <v>101</v>
      </c>
      <c r="K236" t="s">
        <v>66</v>
      </c>
      <c r="L236" t="s">
        <v>31</v>
      </c>
    </row>
    <row r="237" spans="1:12" x14ac:dyDescent="0.3">
      <c r="A237" t="s">
        <v>835</v>
      </c>
      <c r="B237" t="s">
        <v>774</v>
      </c>
      <c r="C237" t="s">
        <v>701</v>
      </c>
      <c r="D237" t="s">
        <v>169</v>
      </c>
      <c r="E237">
        <v>12</v>
      </c>
      <c r="F237" t="s">
        <v>19</v>
      </c>
      <c r="G237" t="s">
        <v>411</v>
      </c>
      <c r="H237" t="s">
        <v>70</v>
      </c>
      <c r="I237" t="s">
        <v>775</v>
      </c>
      <c r="J237" t="s">
        <v>184</v>
      </c>
      <c r="K237" t="s">
        <v>45</v>
      </c>
      <c r="L237" t="s">
        <v>46</v>
      </c>
    </row>
    <row r="238" spans="1:12" x14ac:dyDescent="0.3">
      <c r="A238" t="s">
        <v>837</v>
      </c>
      <c r="B238" t="s">
        <v>777</v>
      </c>
      <c r="C238" t="s">
        <v>204</v>
      </c>
      <c r="D238" t="s">
        <v>281</v>
      </c>
      <c r="E238">
        <v>5</v>
      </c>
      <c r="F238">
        <v>70</v>
      </c>
      <c r="G238" t="s">
        <v>205</v>
      </c>
      <c r="H238" t="s">
        <v>70</v>
      </c>
      <c r="I238" t="s">
        <v>183</v>
      </c>
      <c r="J238" t="s">
        <v>184</v>
      </c>
      <c r="K238" t="s">
        <v>60</v>
      </c>
      <c r="L238" t="s">
        <v>21</v>
      </c>
    </row>
    <row r="239" spans="1:12" x14ac:dyDescent="0.3">
      <c r="A239" t="s">
        <v>840</v>
      </c>
      <c r="B239" t="s">
        <v>779</v>
      </c>
      <c r="C239" t="s">
        <v>208</v>
      </c>
      <c r="D239" t="s">
        <v>169</v>
      </c>
      <c r="E239">
        <v>20</v>
      </c>
      <c r="F239">
        <v>80</v>
      </c>
      <c r="G239" t="s">
        <v>671</v>
      </c>
      <c r="H239" t="s">
        <v>37</v>
      </c>
      <c r="I239" t="s">
        <v>83</v>
      </c>
      <c r="J239" t="s">
        <v>84</v>
      </c>
      <c r="K239" t="s">
        <v>158</v>
      </c>
      <c r="L239" t="s">
        <v>46</v>
      </c>
    </row>
    <row r="240" spans="1:12" x14ac:dyDescent="0.3">
      <c r="A240" t="s">
        <v>843</v>
      </c>
      <c r="B240" t="s">
        <v>781</v>
      </c>
      <c r="C240" t="s">
        <v>782</v>
      </c>
      <c r="D240" t="s">
        <v>50</v>
      </c>
      <c r="E240">
        <v>20</v>
      </c>
      <c r="F240">
        <v>65</v>
      </c>
      <c r="G240" t="s">
        <v>783</v>
      </c>
      <c r="H240" t="s">
        <v>37</v>
      </c>
      <c r="I240" t="s">
        <v>83</v>
      </c>
      <c r="J240" t="s">
        <v>84</v>
      </c>
      <c r="K240" t="s">
        <v>158</v>
      </c>
      <c r="L240" t="s">
        <v>21</v>
      </c>
    </row>
    <row r="241" spans="1:12" x14ac:dyDescent="0.3">
      <c r="A241" t="s">
        <v>847</v>
      </c>
      <c r="B241" t="s">
        <v>785</v>
      </c>
      <c r="C241" t="s">
        <v>208</v>
      </c>
      <c r="D241" t="s">
        <v>94</v>
      </c>
      <c r="E241">
        <v>15</v>
      </c>
      <c r="F241">
        <v>73</v>
      </c>
      <c r="G241" t="s">
        <v>786</v>
      </c>
      <c r="H241" t="s">
        <v>27</v>
      </c>
      <c r="I241" t="s">
        <v>28</v>
      </c>
      <c r="J241" t="s">
        <v>79</v>
      </c>
      <c r="K241" t="s">
        <v>54</v>
      </c>
      <c r="L241" t="s">
        <v>21</v>
      </c>
    </row>
    <row r="242" spans="1:12" x14ac:dyDescent="0.3">
      <c r="A242" t="s">
        <v>848</v>
      </c>
      <c r="B242" t="s">
        <v>788</v>
      </c>
      <c r="C242" t="s">
        <v>694</v>
      </c>
      <c r="D242" t="s">
        <v>15</v>
      </c>
      <c r="E242">
        <v>2</v>
      </c>
      <c r="F242">
        <v>50</v>
      </c>
      <c r="G242" t="s">
        <v>266</v>
      </c>
      <c r="H242" t="s">
        <v>70</v>
      </c>
      <c r="I242" t="s">
        <v>71</v>
      </c>
      <c r="J242" t="s">
        <v>72</v>
      </c>
      <c r="K242" t="s">
        <v>73</v>
      </c>
      <c r="L242" t="s">
        <v>46</v>
      </c>
    </row>
    <row r="243" spans="1:12" x14ac:dyDescent="0.3">
      <c r="A243" t="s">
        <v>851</v>
      </c>
      <c r="B243" t="s">
        <v>788</v>
      </c>
      <c r="C243" t="s">
        <v>694</v>
      </c>
      <c r="D243" t="s">
        <v>15</v>
      </c>
      <c r="E243">
        <v>2</v>
      </c>
      <c r="F243">
        <v>50</v>
      </c>
      <c r="G243" t="s">
        <v>266</v>
      </c>
      <c r="H243" t="s">
        <v>70</v>
      </c>
      <c r="I243" t="s">
        <v>71</v>
      </c>
      <c r="J243" t="s">
        <v>72</v>
      </c>
      <c r="K243" t="s">
        <v>73</v>
      </c>
      <c r="L243" t="s">
        <v>46</v>
      </c>
    </row>
    <row r="244" spans="1:12" x14ac:dyDescent="0.3">
      <c r="A244" t="s">
        <v>855</v>
      </c>
      <c r="B244" t="s">
        <v>140</v>
      </c>
      <c r="C244" t="s">
        <v>223</v>
      </c>
      <c r="D244" t="s">
        <v>35</v>
      </c>
      <c r="E244">
        <v>18</v>
      </c>
      <c r="F244">
        <v>65</v>
      </c>
      <c r="G244" t="s">
        <v>610</v>
      </c>
      <c r="H244" t="s">
        <v>27</v>
      </c>
      <c r="I244" t="s">
        <v>100</v>
      </c>
      <c r="J244" t="s">
        <v>101</v>
      </c>
      <c r="K244" t="s">
        <v>66</v>
      </c>
      <c r="L244" t="s">
        <v>21</v>
      </c>
    </row>
    <row r="245" spans="1:12" x14ac:dyDescent="0.3">
      <c r="A245" t="s">
        <v>858</v>
      </c>
      <c r="B245" t="s">
        <v>790</v>
      </c>
      <c r="C245" t="s">
        <v>791</v>
      </c>
      <c r="D245" t="s">
        <v>281</v>
      </c>
      <c r="E245">
        <v>17</v>
      </c>
      <c r="F245">
        <v>70</v>
      </c>
      <c r="G245" t="s">
        <v>688</v>
      </c>
      <c r="H245" t="s">
        <v>70</v>
      </c>
      <c r="I245" t="s">
        <v>689</v>
      </c>
      <c r="J245" t="s">
        <v>72</v>
      </c>
      <c r="K245" t="s">
        <v>73</v>
      </c>
      <c r="L245" t="s">
        <v>21</v>
      </c>
    </row>
    <row r="246" spans="1:12" x14ac:dyDescent="0.3">
      <c r="A246" t="s">
        <v>860</v>
      </c>
      <c r="B246" t="s">
        <v>793</v>
      </c>
      <c r="C246" t="s">
        <v>794</v>
      </c>
      <c r="D246" t="s">
        <v>19</v>
      </c>
      <c r="E246">
        <v>2</v>
      </c>
      <c r="F246">
        <v>55</v>
      </c>
      <c r="G246" t="s">
        <v>795</v>
      </c>
      <c r="H246" t="s">
        <v>70</v>
      </c>
      <c r="I246" t="s">
        <v>183</v>
      </c>
      <c r="J246" t="s">
        <v>184</v>
      </c>
      <c r="K246" t="s">
        <v>60</v>
      </c>
      <c r="L246" t="s">
        <v>21</v>
      </c>
    </row>
    <row r="247" spans="1:12" x14ac:dyDescent="0.3">
      <c r="A247" t="s">
        <v>863</v>
      </c>
      <c r="B247" t="s">
        <v>797</v>
      </c>
      <c r="C247" t="s">
        <v>82</v>
      </c>
      <c r="D247" t="s">
        <v>19</v>
      </c>
      <c r="E247">
        <v>16</v>
      </c>
      <c r="F247">
        <v>55</v>
      </c>
      <c r="G247" t="s">
        <v>710</v>
      </c>
      <c r="H247" t="s">
        <v>17</v>
      </c>
      <c r="I247" t="s">
        <v>18</v>
      </c>
      <c r="J247" t="s">
        <v>65</v>
      </c>
      <c r="K247" t="s">
        <v>45</v>
      </c>
      <c r="L247" t="s">
        <v>46</v>
      </c>
    </row>
    <row r="248" spans="1:12" x14ac:dyDescent="0.3">
      <c r="A248" t="s">
        <v>865</v>
      </c>
      <c r="B248" t="s">
        <v>799</v>
      </c>
      <c r="C248" t="s">
        <v>502</v>
      </c>
      <c r="D248" t="s">
        <v>146</v>
      </c>
      <c r="E248">
        <v>5</v>
      </c>
      <c r="F248" t="s">
        <v>19</v>
      </c>
      <c r="G248" t="s">
        <v>493</v>
      </c>
      <c r="H248" t="s">
        <v>70</v>
      </c>
      <c r="I248" t="s">
        <v>71</v>
      </c>
      <c r="J248" t="s">
        <v>72</v>
      </c>
      <c r="K248" t="s">
        <v>73</v>
      </c>
      <c r="L248" t="s">
        <v>46</v>
      </c>
    </row>
    <row r="249" spans="1:12" x14ac:dyDescent="0.3">
      <c r="A249" t="s">
        <v>868</v>
      </c>
      <c r="B249" t="s">
        <v>801</v>
      </c>
      <c r="C249" t="s">
        <v>738</v>
      </c>
      <c r="D249" t="s">
        <v>50</v>
      </c>
      <c r="E249">
        <v>1</v>
      </c>
      <c r="F249">
        <v>65</v>
      </c>
      <c r="G249" t="s">
        <v>439</v>
      </c>
      <c r="H249" t="s">
        <v>37</v>
      </c>
      <c r="I249" t="s">
        <v>225</v>
      </c>
      <c r="J249" t="s">
        <v>226</v>
      </c>
      <c r="K249" t="s">
        <v>45</v>
      </c>
      <c r="L249" t="s">
        <v>31</v>
      </c>
    </row>
    <row r="250" spans="1:12" x14ac:dyDescent="0.3">
      <c r="A250" t="s">
        <v>870</v>
      </c>
      <c r="B250" t="s">
        <v>803</v>
      </c>
      <c r="C250" t="s">
        <v>804</v>
      </c>
      <c r="D250" t="s">
        <v>125</v>
      </c>
      <c r="E250">
        <v>19</v>
      </c>
      <c r="F250">
        <v>53</v>
      </c>
      <c r="G250" t="s">
        <v>805</v>
      </c>
      <c r="H250" t="s">
        <v>17</v>
      </c>
      <c r="I250" t="s">
        <v>90</v>
      </c>
      <c r="J250" t="s">
        <v>91</v>
      </c>
      <c r="K250" t="s">
        <v>60</v>
      </c>
      <c r="L250" t="s">
        <v>31</v>
      </c>
    </row>
    <row r="251" spans="1:12" x14ac:dyDescent="0.3">
      <c r="A251" t="s">
        <v>872</v>
      </c>
      <c r="B251" t="s">
        <v>807</v>
      </c>
      <c r="C251" t="s">
        <v>808</v>
      </c>
      <c r="D251" t="s">
        <v>43</v>
      </c>
      <c r="E251">
        <v>20</v>
      </c>
      <c r="F251">
        <v>90</v>
      </c>
      <c r="G251" t="s">
        <v>809</v>
      </c>
      <c r="H251" t="s">
        <v>17</v>
      </c>
      <c r="I251" t="s">
        <v>18</v>
      </c>
      <c r="J251" t="s">
        <v>65</v>
      </c>
      <c r="K251" t="s">
        <v>30</v>
      </c>
      <c r="L251" t="s">
        <v>46</v>
      </c>
    </row>
    <row r="252" spans="1:12" x14ac:dyDescent="0.3">
      <c r="A252" t="s">
        <v>874</v>
      </c>
      <c r="B252" t="s">
        <v>674</v>
      </c>
      <c r="C252" t="s">
        <v>722</v>
      </c>
      <c r="D252" t="s">
        <v>94</v>
      </c>
      <c r="E252">
        <v>11</v>
      </c>
      <c r="F252">
        <v>68</v>
      </c>
      <c r="G252" t="s">
        <v>811</v>
      </c>
      <c r="H252" t="s">
        <v>70</v>
      </c>
      <c r="I252" t="s">
        <v>183</v>
      </c>
      <c r="J252" t="s">
        <v>184</v>
      </c>
      <c r="K252" t="s">
        <v>60</v>
      </c>
      <c r="L252" t="s">
        <v>21</v>
      </c>
    </row>
    <row r="253" spans="1:12" x14ac:dyDescent="0.3">
      <c r="A253" t="s">
        <v>877</v>
      </c>
      <c r="B253" t="s">
        <v>813</v>
      </c>
      <c r="C253" t="s">
        <v>615</v>
      </c>
      <c r="D253" t="s">
        <v>15</v>
      </c>
      <c r="E253">
        <v>20</v>
      </c>
      <c r="F253">
        <v>45</v>
      </c>
      <c r="G253" t="s">
        <v>36</v>
      </c>
      <c r="H253" t="s">
        <v>17</v>
      </c>
      <c r="I253" t="s">
        <v>90</v>
      </c>
      <c r="J253" t="s">
        <v>91</v>
      </c>
      <c r="K253" t="s">
        <v>45</v>
      </c>
      <c r="L253" t="s">
        <v>46</v>
      </c>
    </row>
    <row r="254" spans="1:12" x14ac:dyDescent="0.3">
      <c r="A254" t="s">
        <v>879</v>
      </c>
      <c r="B254" t="s">
        <v>815</v>
      </c>
      <c r="C254" t="s">
        <v>491</v>
      </c>
      <c r="D254" t="s">
        <v>94</v>
      </c>
      <c r="E254">
        <v>12</v>
      </c>
      <c r="F254">
        <v>68</v>
      </c>
      <c r="G254" t="s">
        <v>425</v>
      </c>
      <c r="H254" t="s">
        <v>70</v>
      </c>
      <c r="I254" t="s">
        <v>140</v>
      </c>
      <c r="J254" t="s">
        <v>188</v>
      </c>
      <c r="K254" t="s">
        <v>60</v>
      </c>
      <c r="L254" t="s">
        <v>21</v>
      </c>
    </row>
    <row r="255" spans="1:12" x14ac:dyDescent="0.3">
      <c r="A255" t="s">
        <v>881</v>
      </c>
      <c r="B255" t="s">
        <v>817</v>
      </c>
      <c r="C255" t="s">
        <v>448</v>
      </c>
      <c r="D255" t="s">
        <v>125</v>
      </c>
      <c r="E255">
        <v>3</v>
      </c>
      <c r="F255">
        <v>63</v>
      </c>
      <c r="G255" t="s">
        <v>668</v>
      </c>
      <c r="H255" t="s">
        <v>27</v>
      </c>
      <c r="I255" t="s">
        <v>100</v>
      </c>
      <c r="J255" t="s">
        <v>101</v>
      </c>
      <c r="K255" t="s">
        <v>66</v>
      </c>
      <c r="L255" t="s">
        <v>21</v>
      </c>
    </row>
    <row r="256" spans="1:12" x14ac:dyDescent="0.3">
      <c r="A256" t="s">
        <v>885</v>
      </c>
      <c r="B256" t="s">
        <v>819</v>
      </c>
      <c r="C256" t="s">
        <v>310</v>
      </c>
      <c r="D256" t="s">
        <v>169</v>
      </c>
      <c r="E256">
        <v>7</v>
      </c>
      <c r="F256">
        <v>75</v>
      </c>
      <c r="G256" t="s">
        <v>361</v>
      </c>
      <c r="H256" t="s">
        <v>17</v>
      </c>
      <c r="I256" t="s">
        <v>18</v>
      </c>
      <c r="J256" t="s">
        <v>65</v>
      </c>
      <c r="K256" t="s">
        <v>30</v>
      </c>
      <c r="L256" t="s">
        <v>74</v>
      </c>
    </row>
    <row r="257" spans="1:12" x14ac:dyDescent="0.3">
      <c r="A257" t="s">
        <v>888</v>
      </c>
      <c r="B257" t="s">
        <v>821</v>
      </c>
      <c r="C257" t="s">
        <v>190</v>
      </c>
      <c r="D257" t="s">
        <v>146</v>
      </c>
      <c r="E257">
        <v>17</v>
      </c>
      <c r="F257">
        <v>80</v>
      </c>
      <c r="G257" t="s">
        <v>306</v>
      </c>
      <c r="H257" t="s">
        <v>17</v>
      </c>
      <c r="I257" t="s">
        <v>90</v>
      </c>
      <c r="J257" t="s">
        <v>91</v>
      </c>
      <c r="K257" t="s">
        <v>30</v>
      </c>
      <c r="L257" t="s">
        <v>31</v>
      </c>
    </row>
    <row r="258" spans="1:12" x14ac:dyDescent="0.3">
      <c r="A258" t="s">
        <v>891</v>
      </c>
      <c r="B258" t="s">
        <v>823</v>
      </c>
      <c r="C258" t="s">
        <v>824</v>
      </c>
      <c r="D258" t="s">
        <v>169</v>
      </c>
      <c r="E258">
        <v>11</v>
      </c>
      <c r="F258">
        <v>85</v>
      </c>
      <c r="G258" t="s">
        <v>399</v>
      </c>
      <c r="H258" t="s">
        <v>27</v>
      </c>
      <c r="I258" t="s">
        <v>100</v>
      </c>
      <c r="J258" t="s">
        <v>101</v>
      </c>
      <c r="K258" t="s">
        <v>45</v>
      </c>
      <c r="L258" t="s">
        <v>46</v>
      </c>
    </row>
    <row r="259" spans="1:12" x14ac:dyDescent="0.3">
      <c r="A259" t="s">
        <v>894</v>
      </c>
      <c r="B259" t="s">
        <v>826</v>
      </c>
      <c r="C259" t="s">
        <v>160</v>
      </c>
      <c r="D259" t="s">
        <v>43</v>
      </c>
      <c r="E259">
        <v>7</v>
      </c>
      <c r="F259">
        <v>90</v>
      </c>
      <c r="G259" t="s">
        <v>642</v>
      </c>
      <c r="H259" t="s">
        <v>17</v>
      </c>
      <c r="I259" t="s">
        <v>90</v>
      </c>
      <c r="J259" t="s">
        <v>91</v>
      </c>
      <c r="K259" t="s">
        <v>20</v>
      </c>
      <c r="L259" t="s">
        <v>74</v>
      </c>
    </row>
    <row r="260" spans="1:12" x14ac:dyDescent="0.3">
      <c r="A260" t="s">
        <v>897</v>
      </c>
      <c r="B260" t="s">
        <v>828</v>
      </c>
      <c r="C260" t="s">
        <v>164</v>
      </c>
      <c r="D260" t="s">
        <v>146</v>
      </c>
      <c r="E260">
        <v>12</v>
      </c>
      <c r="F260">
        <v>85</v>
      </c>
      <c r="G260" t="s">
        <v>662</v>
      </c>
      <c r="H260" t="s">
        <v>70</v>
      </c>
      <c r="I260" t="s">
        <v>151</v>
      </c>
      <c r="J260" t="s">
        <v>152</v>
      </c>
      <c r="K260" t="s">
        <v>153</v>
      </c>
      <c r="L260" t="s">
        <v>21</v>
      </c>
    </row>
    <row r="261" spans="1:12" x14ac:dyDescent="0.3">
      <c r="A261" t="s">
        <v>900</v>
      </c>
      <c r="B261" t="s">
        <v>828</v>
      </c>
      <c r="C261" t="s">
        <v>164</v>
      </c>
      <c r="D261" t="s">
        <v>146</v>
      </c>
      <c r="E261">
        <v>12</v>
      </c>
      <c r="F261">
        <v>85</v>
      </c>
      <c r="G261" t="s">
        <v>662</v>
      </c>
      <c r="H261" t="s">
        <v>70</v>
      </c>
      <c r="I261" t="s">
        <v>151</v>
      </c>
      <c r="J261" t="s">
        <v>152</v>
      </c>
      <c r="K261" t="s">
        <v>153</v>
      </c>
      <c r="L261" t="s">
        <v>21</v>
      </c>
    </row>
    <row r="262" spans="1:12" x14ac:dyDescent="0.3">
      <c r="A262" t="s">
        <v>903</v>
      </c>
      <c r="B262" t="s">
        <v>830</v>
      </c>
      <c r="C262" t="s">
        <v>588</v>
      </c>
      <c r="D262" t="s">
        <v>146</v>
      </c>
      <c r="E262">
        <v>6</v>
      </c>
      <c r="F262">
        <v>90</v>
      </c>
      <c r="G262" t="s">
        <v>64</v>
      </c>
      <c r="H262" t="s">
        <v>27</v>
      </c>
      <c r="I262" t="s">
        <v>298</v>
      </c>
      <c r="J262" t="s">
        <v>396</v>
      </c>
      <c r="K262" t="s">
        <v>66</v>
      </c>
      <c r="L262" t="s">
        <v>31</v>
      </c>
    </row>
    <row r="263" spans="1:12" x14ac:dyDescent="0.3">
      <c r="A263" t="s">
        <v>906</v>
      </c>
      <c r="B263" t="s">
        <v>832</v>
      </c>
      <c r="C263" t="s">
        <v>759</v>
      </c>
      <c r="D263" t="s">
        <v>50</v>
      </c>
      <c r="E263">
        <v>9</v>
      </c>
      <c r="F263">
        <v>65</v>
      </c>
      <c r="G263" t="s">
        <v>631</v>
      </c>
      <c r="H263" t="s">
        <v>70</v>
      </c>
      <c r="I263" t="s">
        <v>151</v>
      </c>
      <c r="J263" t="s">
        <v>188</v>
      </c>
      <c r="K263" t="s">
        <v>20</v>
      </c>
      <c r="L263" t="s">
        <v>46</v>
      </c>
    </row>
    <row r="264" spans="1:12" x14ac:dyDescent="0.3">
      <c r="A264" t="s">
        <v>909</v>
      </c>
      <c r="B264" t="s">
        <v>834</v>
      </c>
      <c r="C264" t="s">
        <v>658</v>
      </c>
      <c r="D264" t="s">
        <v>146</v>
      </c>
      <c r="E264">
        <v>10</v>
      </c>
      <c r="F264">
        <v>80</v>
      </c>
      <c r="G264" t="s">
        <v>253</v>
      </c>
      <c r="H264" t="s">
        <v>17</v>
      </c>
      <c r="I264" t="s">
        <v>90</v>
      </c>
      <c r="J264" t="s">
        <v>91</v>
      </c>
      <c r="K264" t="s">
        <v>60</v>
      </c>
      <c r="L264" t="s">
        <v>46</v>
      </c>
    </row>
    <row r="265" spans="1:12" x14ac:dyDescent="0.3">
      <c r="A265" t="s">
        <v>910</v>
      </c>
      <c r="B265" t="s">
        <v>279</v>
      </c>
      <c r="C265" t="s">
        <v>394</v>
      </c>
      <c r="D265" t="s">
        <v>15</v>
      </c>
      <c r="E265">
        <v>5</v>
      </c>
      <c r="F265">
        <v>50</v>
      </c>
      <c r="G265" t="s">
        <v>836</v>
      </c>
      <c r="H265" t="s">
        <v>37</v>
      </c>
      <c r="I265" t="s">
        <v>225</v>
      </c>
      <c r="J265" t="s">
        <v>226</v>
      </c>
      <c r="K265" t="s">
        <v>20</v>
      </c>
      <c r="L265" t="s">
        <v>31</v>
      </c>
    </row>
    <row r="266" spans="1:12" x14ac:dyDescent="0.3">
      <c r="A266" t="s">
        <v>912</v>
      </c>
      <c r="B266" t="s">
        <v>838</v>
      </c>
      <c r="C266" t="s">
        <v>839</v>
      </c>
      <c r="D266" t="s">
        <v>15</v>
      </c>
      <c r="E266" t="s">
        <v>19</v>
      </c>
      <c r="F266">
        <v>50</v>
      </c>
      <c r="G266" t="s">
        <v>36</v>
      </c>
      <c r="H266" t="s">
        <v>70</v>
      </c>
      <c r="I266" t="s">
        <v>183</v>
      </c>
      <c r="J266" t="s">
        <v>184</v>
      </c>
      <c r="K266" t="s">
        <v>45</v>
      </c>
      <c r="L266" t="s">
        <v>46</v>
      </c>
    </row>
    <row r="267" spans="1:12" x14ac:dyDescent="0.3">
      <c r="A267" t="s">
        <v>914</v>
      </c>
      <c r="B267" t="s">
        <v>781</v>
      </c>
      <c r="C267" t="s">
        <v>841</v>
      </c>
      <c r="D267" t="s">
        <v>94</v>
      </c>
      <c r="E267">
        <v>9</v>
      </c>
      <c r="F267">
        <v>63</v>
      </c>
      <c r="G267" t="s">
        <v>842</v>
      </c>
      <c r="H267" t="s">
        <v>17</v>
      </c>
      <c r="I267" t="s">
        <v>90</v>
      </c>
      <c r="J267" t="s">
        <v>138</v>
      </c>
      <c r="K267" t="s">
        <v>20</v>
      </c>
      <c r="L267" t="s">
        <v>21</v>
      </c>
    </row>
    <row r="268" spans="1:12" x14ac:dyDescent="0.3">
      <c r="A268" t="s">
        <v>916</v>
      </c>
      <c r="B268" t="s">
        <v>844</v>
      </c>
      <c r="C268" t="s">
        <v>845</v>
      </c>
      <c r="D268" t="s">
        <v>25</v>
      </c>
      <c r="E268">
        <v>14</v>
      </c>
      <c r="F268">
        <v>60</v>
      </c>
      <c r="G268" t="s">
        <v>739</v>
      </c>
      <c r="H268" t="s">
        <v>846</v>
      </c>
      <c r="I268" t="s">
        <v>100</v>
      </c>
      <c r="J268" t="s">
        <v>101</v>
      </c>
      <c r="K268" t="s">
        <v>2190</v>
      </c>
      <c r="L268" t="s">
        <v>31</v>
      </c>
    </row>
    <row r="269" spans="1:12" x14ac:dyDescent="0.3">
      <c r="A269" t="s">
        <v>920</v>
      </c>
      <c r="B269" t="s">
        <v>844</v>
      </c>
      <c r="C269" t="s">
        <v>845</v>
      </c>
      <c r="D269" t="s">
        <v>25</v>
      </c>
      <c r="E269">
        <v>14</v>
      </c>
      <c r="F269">
        <v>60</v>
      </c>
      <c r="G269" t="s">
        <v>739</v>
      </c>
      <c r="H269" t="s">
        <v>27</v>
      </c>
      <c r="I269" t="s">
        <v>100</v>
      </c>
      <c r="J269" t="s">
        <v>101</v>
      </c>
      <c r="K269" t="s">
        <v>30</v>
      </c>
      <c r="L269" t="s">
        <v>31</v>
      </c>
    </row>
    <row r="270" spans="1:12" x14ac:dyDescent="0.3">
      <c r="A270" t="s">
        <v>923</v>
      </c>
      <c r="B270" t="s">
        <v>476</v>
      </c>
      <c r="C270" t="s">
        <v>190</v>
      </c>
      <c r="D270" t="s">
        <v>19</v>
      </c>
      <c r="E270">
        <v>20</v>
      </c>
      <c r="F270">
        <v>65</v>
      </c>
      <c r="G270" t="s">
        <v>783</v>
      </c>
      <c r="H270" t="s">
        <v>37</v>
      </c>
      <c r="I270" t="s">
        <v>225</v>
      </c>
      <c r="J270" t="s">
        <v>226</v>
      </c>
      <c r="K270" t="s">
        <v>45</v>
      </c>
      <c r="L270" t="s">
        <v>21</v>
      </c>
    </row>
    <row r="271" spans="1:12" x14ac:dyDescent="0.3">
      <c r="A271" t="s">
        <v>925</v>
      </c>
      <c r="B271" t="s">
        <v>849</v>
      </c>
      <c r="C271" t="s">
        <v>850</v>
      </c>
      <c r="D271" t="s">
        <v>25</v>
      </c>
      <c r="E271">
        <v>9</v>
      </c>
      <c r="F271">
        <v>55</v>
      </c>
      <c r="G271" t="s">
        <v>114</v>
      </c>
      <c r="H271" t="s">
        <v>37</v>
      </c>
      <c r="I271" t="s">
        <v>38</v>
      </c>
      <c r="J271" t="s">
        <v>39</v>
      </c>
      <c r="K271" t="s">
        <v>66</v>
      </c>
      <c r="L271" t="s">
        <v>421</v>
      </c>
    </row>
    <row r="272" spans="1:12" x14ac:dyDescent="0.3">
      <c r="A272" t="s">
        <v>927</v>
      </c>
      <c r="B272" t="s">
        <v>852</v>
      </c>
      <c r="C272" t="s">
        <v>853</v>
      </c>
      <c r="D272" t="s">
        <v>19</v>
      </c>
      <c r="E272">
        <v>5</v>
      </c>
      <c r="F272">
        <v>100</v>
      </c>
      <c r="G272" t="s">
        <v>854</v>
      </c>
      <c r="H272" t="s">
        <v>27</v>
      </c>
      <c r="I272" t="s">
        <v>28</v>
      </c>
      <c r="J272" t="s">
        <v>29</v>
      </c>
      <c r="K272" t="s">
        <v>66</v>
      </c>
      <c r="L272" t="s">
        <v>31</v>
      </c>
    </row>
    <row r="273" spans="1:12" x14ac:dyDescent="0.3">
      <c r="A273" t="s">
        <v>928</v>
      </c>
      <c r="B273" t="s">
        <v>856</v>
      </c>
      <c r="C273" t="s">
        <v>269</v>
      </c>
      <c r="D273" t="s">
        <v>15</v>
      </c>
      <c r="E273">
        <v>1</v>
      </c>
      <c r="F273">
        <v>55</v>
      </c>
      <c r="G273" t="s">
        <v>857</v>
      </c>
      <c r="H273" t="s">
        <v>27</v>
      </c>
      <c r="I273" t="s">
        <v>28</v>
      </c>
      <c r="J273" t="s">
        <v>79</v>
      </c>
      <c r="K273" t="s">
        <v>54</v>
      </c>
      <c r="L273" t="s">
        <v>46</v>
      </c>
    </row>
    <row r="274" spans="1:12" x14ac:dyDescent="0.3">
      <c r="A274" t="s">
        <v>930</v>
      </c>
      <c r="B274" t="s">
        <v>859</v>
      </c>
      <c r="C274" t="s">
        <v>791</v>
      </c>
      <c r="D274" t="s">
        <v>429</v>
      </c>
      <c r="E274">
        <v>13</v>
      </c>
      <c r="F274">
        <v>58</v>
      </c>
      <c r="G274" t="s">
        <v>351</v>
      </c>
      <c r="H274" t="s">
        <v>70</v>
      </c>
      <c r="I274" t="s">
        <v>151</v>
      </c>
      <c r="J274" t="s">
        <v>152</v>
      </c>
      <c r="K274" t="s">
        <v>153</v>
      </c>
      <c r="L274" t="s">
        <v>46</v>
      </c>
    </row>
    <row r="275" spans="1:12" x14ac:dyDescent="0.3">
      <c r="A275" t="s">
        <v>931</v>
      </c>
      <c r="B275" t="s">
        <v>861</v>
      </c>
      <c r="C275" t="s">
        <v>862</v>
      </c>
      <c r="D275" t="s">
        <v>281</v>
      </c>
      <c r="E275">
        <v>19</v>
      </c>
      <c r="F275">
        <v>75</v>
      </c>
      <c r="G275" t="s">
        <v>170</v>
      </c>
      <c r="H275" t="s">
        <v>27</v>
      </c>
      <c r="I275" t="s">
        <v>100</v>
      </c>
      <c r="J275" t="s">
        <v>101</v>
      </c>
      <c r="K275" t="s">
        <v>66</v>
      </c>
      <c r="L275" t="s">
        <v>46</v>
      </c>
    </row>
    <row r="276" spans="1:12" x14ac:dyDescent="0.3">
      <c r="A276" t="s">
        <v>933</v>
      </c>
      <c r="B276" t="s">
        <v>864</v>
      </c>
      <c r="C276" t="s">
        <v>824</v>
      </c>
      <c r="D276" t="s">
        <v>43</v>
      </c>
      <c r="E276">
        <v>15</v>
      </c>
      <c r="F276">
        <v>90</v>
      </c>
      <c r="G276" t="s">
        <v>698</v>
      </c>
      <c r="H276" t="s">
        <v>17</v>
      </c>
      <c r="I276" t="s">
        <v>19</v>
      </c>
      <c r="J276" t="s">
        <v>65</v>
      </c>
      <c r="K276" t="s">
        <v>2190</v>
      </c>
      <c r="L276" t="s">
        <v>46</v>
      </c>
    </row>
    <row r="277" spans="1:12" x14ac:dyDescent="0.3">
      <c r="A277" t="s">
        <v>938</v>
      </c>
      <c r="B277" t="s">
        <v>866</v>
      </c>
      <c r="C277" t="s">
        <v>867</v>
      </c>
      <c r="D277" t="s">
        <v>43</v>
      </c>
      <c r="E277">
        <v>12</v>
      </c>
      <c r="F277">
        <v>95</v>
      </c>
      <c r="G277" t="s">
        <v>340</v>
      </c>
      <c r="H277" t="s">
        <v>37</v>
      </c>
      <c r="I277" t="s">
        <v>225</v>
      </c>
      <c r="J277" t="s">
        <v>140</v>
      </c>
      <c r="K277" t="s">
        <v>66</v>
      </c>
      <c r="L277" t="s">
        <v>46</v>
      </c>
    </row>
    <row r="278" spans="1:12" x14ac:dyDescent="0.3">
      <c r="A278" t="s">
        <v>939</v>
      </c>
      <c r="B278" t="s">
        <v>869</v>
      </c>
      <c r="C278" t="s">
        <v>24</v>
      </c>
      <c r="D278" t="s">
        <v>94</v>
      </c>
      <c r="E278">
        <v>20</v>
      </c>
      <c r="F278">
        <v>68</v>
      </c>
      <c r="G278" t="s">
        <v>306</v>
      </c>
      <c r="H278" t="s">
        <v>70</v>
      </c>
      <c r="I278" t="s">
        <v>151</v>
      </c>
      <c r="J278" t="s">
        <v>188</v>
      </c>
      <c r="K278" t="s">
        <v>20</v>
      </c>
      <c r="L278" t="s">
        <v>31</v>
      </c>
    </row>
    <row r="279" spans="1:12" x14ac:dyDescent="0.3">
      <c r="A279" t="s">
        <v>941</v>
      </c>
      <c r="B279" t="s">
        <v>871</v>
      </c>
      <c r="C279" t="s">
        <v>168</v>
      </c>
      <c r="D279" t="s">
        <v>125</v>
      </c>
      <c r="E279">
        <v>8</v>
      </c>
      <c r="F279">
        <v>58</v>
      </c>
      <c r="G279" t="s">
        <v>165</v>
      </c>
      <c r="H279" t="s">
        <v>70</v>
      </c>
      <c r="I279" t="s">
        <v>71</v>
      </c>
      <c r="J279" t="s">
        <v>72</v>
      </c>
      <c r="K279" t="s">
        <v>73</v>
      </c>
      <c r="L279" t="s">
        <v>46</v>
      </c>
    </row>
    <row r="280" spans="1:12" x14ac:dyDescent="0.3">
      <c r="A280" t="s">
        <v>945</v>
      </c>
      <c r="B280" t="s">
        <v>56</v>
      </c>
      <c r="C280" t="s">
        <v>488</v>
      </c>
      <c r="D280" t="s">
        <v>169</v>
      </c>
      <c r="E280">
        <v>10</v>
      </c>
      <c r="F280">
        <v>80</v>
      </c>
      <c r="G280" t="s">
        <v>253</v>
      </c>
      <c r="H280" t="s">
        <v>19</v>
      </c>
      <c r="I280" t="s">
        <v>83</v>
      </c>
      <c r="J280" t="s">
        <v>873</v>
      </c>
      <c r="K280" t="s">
        <v>158</v>
      </c>
      <c r="L280" t="s">
        <v>31</v>
      </c>
    </row>
    <row r="281" spans="1:12" x14ac:dyDescent="0.3">
      <c r="A281" t="s">
        <v>947</v>
      </c>
      <c r="B281" t="s">
        <v>875</v>
      </c>
      <c r="C281" t="s">
        <v>850</v>
      </c>
      <c r="D281" t="s">
        <v>94</v>
      </c>
      <c r="E281">
        <v>8</v>
      </c>
      <c r="F281">
        <v>63</v>
      </c>
      <c r="G281" t="s">
        <v>876</v>
      </c>
      <c r="H281" t="s">
        <v>17</v>
      </c>
      <c r="I281" t="s">
        <v>90</v>
      </c>
      <c r="J281" t="s">
        <v>91</v>
      </c>
      <c r="K281" t="s">
        <v>60</v>
      </c>
      <c r="L281" t="s">
        <v>46</v>
      </c>
    </row>
    <row r="282" spans="1:12" x14ac:dyDescent="0.3">
      <c r="A282" t="s">
        <v>949</v>
      </c>
      <c r="B282" t="s">
        <v>878</v>
      </c>
      <c r="C282" t="s">
        <v>570</v>
      </c>
      <c r="D282" t="s">
        <v>169</v>
      </c>
      <c r="E282">
        <v>4</v>
      </c>
      <c r="F282">
        <v>80</v>
      </c>
      <c r="G282" t="s">
        <v>443</v>
      </c>
      <c r="H282" t="s">
        <v>37</v>
      </c>
      <c r="I282" t="s">
        <v>83</v>
      </c>
      <c r="J282" t="s">
        <v>84</v>
      </c>
      <c r="K282" t="s">
        <v>140</v>
      </c>
      <c r="L282" t="s">
        <v>31</v>
      </c>
    </row>
    <row r="283" spans="1:12" x14ac:dyDescent="0.3">
      <c r="A283" t="s">
        <v>951</v>
      </c>
      <c r="B283" t="s">
        <v>228</v>
      </c>
      <c r="C283" t="s">
        <v>880</v>
      </c>
      <c r="D283" t="s">
        <v>169</v>
      </c>
      <c r="E283">
        <v>11</v>
      </c>
      <c r="F283">
        <v>80</v>
      </c>
      <c r="G283" t="s">
        <v>710</v>
      </c>
      <c r="H283" t="s">
        <v>70</v>
      </c>
      <c r="I283" t="s">
        <v>183</v>
      </c>
      <c r="J283" t="s">
        <v>184</v>
      </c>
      <c r="K283" t="s">
        <v>30</v>
      </c>
      <c r="L283" t="s">
        <v>31</v>
      </c>
    </row>
    <row r="284" spans="1:12" x14ac:dyDescent="0.3">
      <c r="A284" t="s">
        <v>956</v>
      </c>
      <c r="B284" t="s">
        <v>882</v>
      </c>
      <c r="C284" t="s">
        <v>49</v>
      </c>
      <c r="D284" t="s">
        <v>125</v>
      </c>
      <c r="E284">
        <v>16</v>
      </c>
      <c r="F284">
        <v>53</v>
      </c>
      <c r="G284" t="s">
        <v>883</v>
      </c>
      <c r="H284" t="s">
        <v>17</v>
      </c>
      <c r="I284" t="s">
        <v>90</v>
      </c>
      <c r="J284" t="s">
        <v>91</v>
      </c>
      <c r="K284" t="s">
        <v>711</v>
      </c>
      <c r="L284" t="s">
        <v>21</v>
      </c>
    </row>
    <row r="285" spans="1:12" x14ac:dyDescent="0.3">
      <c r="A285" t="s">
        <v>957</v>
      </c>
      <c r="B285" t="s">
        <v>882</v>
      </c>
      <c r="C285" t="s">
        <v>49</v>
      </c>
      <c r="D285" t="s">
        <v>125</v>
      </c>
      <c r="E285">
        <v>16</v>
      </c>
      <c r="F285">
        <v>53</v>
      </c>
      <c r="G285" t="s">
        <v>884</v>
      </c>
      <c r="H285" t="s">
        <v>17</v>
      </c>
      <c r="I285" t="s">
        <v>90</v>
      </c>
      <c r="J285" t="s">
        <v>91</v>
      </c>
      <c r="K285" t="s">
        <v>66</v>
      </c>
      <c r="L285" t="s">
        <v>21</v>
      </c>
    </row>
    <row r="286" spans="1:12" x14ac:dyDescent="0.3">
      <c r="A286" t="s">
        <v>959</v>
      </c>
      <c r="B286" t="s">
        <v>886</v>
      </c>
      <c r="C286" t="s">
        <v>887</v>
      </c>
      <c r="D286" t="s">
        <v>94</v>
      </c>
      <c r="E286">
        <v>11</v>
      </c>
      <c r="F286">
        <v>68</v>
      </c>
      <c r="G286" t="s">
        <v>811</v>
      </c>
      <c r="H286" t="s">
        <v>70</v>
      </c>
      <c r="I286" t="s">
        <v>151</v>
      </c>
      <c r="J286" t="s">
        <v>188</v>
      </c>
      <c r="K286" t="s">
        <v>30</v>
      </c>
      <c r="L286" t="s">
        <v>46</v>
      </c>
    </row>
    <row r="287" spans="1:12" x14ac:dyDescent="0.3">
      <c r="A287" t="s">
        <v>961</v>
      </c>
      <c r="B287" t="s">
        <v>889</v>
      </c>
      <c r="C287" t="s">
        <v>19</v>
      </c>
      <c r="D287" t="s">
        <v>281</v>
      </c>
      <c r="E287">
        <v>14</v>
      </c>
      <c r="F287">
        <v>70</v>
      </c>
      <c r="G287" t="s">
        <v>890</v>
      </c>
      <c r="H287" t="s">
        <v>585</v>
      </c>
      <c r="I287" t="s">
        <v>83</v>
      </c>
      <c r="J287" t="s">
        <v>84</v>
      </c>
      <c r="K287" t="s">
        <v>158</v>
      </c>
      <c r="L287" t="s">
        <v>21</v>
      </c>
    </row>
    <row r="288" spans="1:12" x14ac:dyDescent="0.3">
      <c r="A288" t="s">
        <v>964</v>
      </c>
      <c r="B288" t="s">
        <v>892</v>
      </c>
      <c r="C288" t="s">
        <v>491</v>
      </c>
      <c r="D288" t="s">
        <v>94</v>
      </c>
      <c r="E288">
        <v>17</v>
      </c>
      <c r="F288">
        <v>68</v>
      </c>
      <c r="G288" t="s">
        <v>893</v>
      </c>
      <c r="H288" t="s">
        <v>70</v>
      </c>
      <c r="I288" t="s">
        <v>151</v>
      </c>
      <c r="J288" t="s">
        <v>152</v>
      </c>
      <c r="K288" t="s">
        <v>153</v>
      </c>
      <c r="L288" t="s">
        <v>46</v>
      </c>
    </row>
    <row r="289" spans="1:12" x14ac:dyDescent="0.3">
      <c r="A289" t="s">
        <v>967</v>
      </c>
      <c r="B289" t="s">
        <v>895</v>
      </c>
      <c r="C289" t="s">
        <v>463</v>
      </c>
      <c r="D289" t="s">
        <v>50</v>
      </c>
      <c r="E289">
        <v>6</v>
      </c>
      <c r="F289">
        <v>60</v>
      </c>
      <c r="G289" t="s">
        <v>247</v>
      </c>
      <c r="H289" t="s">
        <v>17</v>
      </c>
      <c r="I289" t="s">
        <v>18</v>
      </c>
      <c r="J289" t="s">
        <v>65</v>
      </c>
      <c r="K289" t="s">
        <v>60</v>
      </c>
      <c r="L289" t="s">
        <v>21</v>
      </c>
    </row>
    <row r="290" spans="1:12" x14ac:dyDescent="0.3">
      <c r="A290" t="s">
        <v>970</v>
      </c>
      <c r="B290" t="s">
        <v>896</v>
      </c>
      <c r="C290" t="s">
        <v>129</v>
      </c>
      <c r="D290" t="s">
        <v>169</v>
      </c>
      <c r="E290">
        <v>19</v>
      </c>
      <c r="F290">
        <v>80</v>
      </c>
      <c r="G290" t="s">
        <v>220</v>
      </c>
      <c r="H290" t="s">
        <v>70</v>
      </c>
      <c r="I290" t="s">
        <v>775</v>
      </c>
      <c r="J290" t="s">
        <v>184</v>
      </c>
      <c r="K290" t="s">
        <v>45</v>
      </c>
      <c r="L290" t="s">
        <v>46</v>
      </c>
    </row>
    <row r="291" spans="1:12" x14ac:dyDescent="0.3">
      <c r="A291" t="s">
        <v>972</v>
      </c>
      <c r="B291" t="s">
        <v>898</v>
      </c>
      <c r="C291" t="s">
        <v>763</v>
      </c>
      <c r="D291" t="s">
        <v>94</v>
      </c>
      <c r="E291">
        <v>11</v>
      </c>
      <c r="F291">
        <v>68</v>
      </c>
      <c r="G291" t="s">
        <v>899</v>
      </c>
      <c r="H291" t="s">
        <v>70</v>
      </c>
      <c r="I291" t="s">
        <v>151</v>
      </c>
      <c r="J291" t="s">
        <v>152</v>
      </c>
      <c r="K291" t="s">
        <v>153</v>
      </c>
      <c r="L291" t="s">
        <v>31</v>
      </c>
    </row>
    <row r="292" spans="1:12" x14ac:dyDescent="0.3">
      <c r="A292" t="s">
        <v>974</v>
      </c>
      <c r="B292" t="s">
        <v>901</v>
      </c>
      <c r="C292" t="s">
        <v>902</v>
      </c>
      <c r="D292" t="s">
        <v>35</v>
      </c>
      <c r="E292">
        <v>15</v>
      </c>
      <c r="F292">
        <v>55</v>
      </c>
      <c r="G292" t="s">
        <v>174</v>
      </c>
      <c r="H292" t="s">
        <v>17</v>
      </c>
      <c r="I292" t="s">
        <v>90</v>
      </c>
      <c r="J292" t="s">
        <v>91</v>
      </c>
      <c r="K292" t="s">
        <v>20</v>
      </c>
      <c r="L292" t="s">
        <v>46</v>
      </c>
    </row>
    <row r="293" spans="1:12" x14ac:dyDescent="0.3">
      <c r="A293" t="s">
        <v>976</v>
      </c>
      <c r="B293" t="s">
        <v>904</v>
      </c>
      <c r="C293" t="s">
        <v>592</v>
      </c>
      <c r="D293" t="s">
        <v>125</v>
      </c>
      <c r="E293">
        <v>17</v>
      </c>
      <c r="F293">
        <v>58</v>
      </c>
      <c r="G293" t="s">
        <v>905</v>
      </c>
      <c r="H293" t="s">
        <v>37</v>
      </c>
      <c r="I293" t="s">
        <v>225</v>
      </c>
      <c r="J293" t="s">
        <v>682</v>
      </c>
      <c r="K293" t="s">
        <v>45</v>
      </c>
      <c r="L293" t="s">
        <v>21</v>
      </c>
    </row>
    <row r="294" spans="1:12" x14ac:dyDescent="0.3">
      <c r="A294" t="s">
        <v>977</v>
      </c>
      <c r="B294" t="s">
        <v>907</v>
      </c>
      <c r="C294" t="s">
        <v>908</v>
      </c>
      <c r="D294" t="s">
        <v>35</v>
      </c>
      <c r="E294">
        <v>19</v>
      </c>
      <c r="F294">
        <v>60</v>
      </c>
      <c r="G294" t="s">
        <v>340</v>
      </c>
      <c r="H294" t="s">
        <v>70</v>
      </c>
      <c r="I294" t="s">
        <v>71</v>
      </c>
      <c r="J294" t="s">
        <v>72</v>
      </c>
      <c r="K294" t="s">
        <v>73</v>
      </c>
      <c r="L294" t="s">
        <v>31</v>
      </c>
    </row>
    <row r="295" spans="1:12" x14ac:dyDescent="0.3">
      <c r="A295" t="s">
        <v>979</v>
      </c>
      <c r="B295" t="s">
        <v>770</v>
      </c>
      <c r="C295" t="s">
        <v>841</v>
      </c>
      <c r="D295" t="s">
        <v>146</v>
      </c>
      <c r="E295">
        <v>19</v>
      </c>
      <c r="F295">
        <v>90</v>
      </c>
      <c r="G295" t="s">
        <v>191</v>
      </c>
      <c r="H295" t="s">
        <v>27</v>
      </c>
      <c r="I295" t="s">
        <v>100</v>
      </c>
      <c r="J295" t="s">
        <v>101</v>
      </c>
      <c r="K295" t="s">
        <v>60</v>
      </c>
      <c r="L295" t="s">
        <v>31</v>
      </c>
    </row>
    <row r="296" spans="1:12" x14ac:dyDescent="0.3">
      <c r="A296" t="s">
        <v>982</v>
      </c>
      <c r="B296" t="s">
        <v>911</v>
      </c>
      <c r="C296" t="s">
        <v>208</v>
      </c>
      <c r="D296" t="s">
        <v>169</v>
      </c>
      <c r="E296">
        <v>7</v>
      </c>
      <c r="F296">
        <v>75</v>
      </c>
      <c r="G296" t="s">
        <v>361</v>
      </c>
      <c r="H296" t="s">
        <v>17</v>
      </c>
      <c r="I296" t="s">
        <v>90</v>
      </c>
      <c r="J296" t="s">
        <v>91</v>
      </c>
      <c r="K296" t="s">
        <v>30</v>
      </c>
      <c r="L296" t="s">
        <v>21</v>
      </c>
    </row>
    <row r="297" spans="1:12" x14ac:dyDescent="0.3">
      <c r="A297" t="s">
        <v>984</v>
      </c>
      <c r="B297" t="s">
        <v>911</v>
      </c>
      <c r="C297" t="s">
        <v>208</v>
      </c>
      <c r="D297" t="s">
        <v>169</v>
      </c>
      <c r="E297">
        <v>7</v>
      </c>
      <c r="F297">
        <v>75</v>
      </c>
      <c r="G297" t="s">
        <v>361</v>
      </c>
      <c r="H297" t="s">
        <v>17</v>
      </c>
      <c r="I297" t="s">
        <v>90</v>
      </c>
      <c r="J297" t="s">
        <v>91</v>
      </c>
      <c r="K297" t="s">
        <v>30</v>
      </c>
      <c r="L297" t="s">
        <v>21</v>
      </c>
    </row>
    <row r="298" spans="1:12" x14ac:dyDescent="0.3">
      <c r="A298" t="s">
        <v>987</v>
      </c>
      <c r="B298" t="s">
        <v>913</v>
      </c>
      <c r="C298" t="s">
        <v>57</v>
      </c>
      <c r="D298" t="s">
        <v>169</v>
      </c>
      <c r="E298">
        <v>15</v>
      </c>
      <c r="F298">
        <v>80</v>
      </c>
      <c r="G298" t="s">
        <v>182</v>
      </c>
      <c r="H298" t="s">
        <v>37</v>
      </c>
      <c r="I298" t="s">
        <v>83</v>
      </c>
      <c r="J298" t="s">
        <v>19</v>
      </c>
      <c r="K298" t="s">
        <v>158</v>
      </c>
      <c r="L298" t="s">
        <v>46</v>
      </c>
    </row>
    <row r="299" spans="1:12" x14ac:dyDescent="0.3">
      <c r="A299" t="s">
        <v>989</v>
      </c>
      <c r="B299" t="s">
        <v>915</v>
      </c>
      <c r="C299" t="s">
        <v>675</v>
      </c>
      <c r="D299" t="s">
        <v>25</v>
      </c>
      <c r="E299">
        <v>11</v>
      </c>
      <c r="F299">
        <v>55</v>
      </c>
      <c r="G299" t="s">
        <v>433</v>
      </c>
      <c r="H299" t="s">
        <v>37</v>
      </c>
      <c r="I299" t="s">
        <v>225</v>
      </c>
      <c r="J299" t="s">
        <v>226</v>
      </c>
      <c r="K299" t="s">
        <v>66</v>
      </c>
      <c r="L299" t="s">
        <v>46</v>
      </c>
    </row>
    <row r="300" spans="1:12" x14ac:dyDescent="0.3">
      <c r="A300" t="s">
        <v>991</v>
      </c>
      <c r="B300" t="s">
        <v>917</v>
      </c>
      <c r="C300" t="s">
        <v>918</v>
      </c>
      <c r="D300" t="s">
        <v>169</v>
      </c>
      <c r="E300">
        <v>3</v>
      </c>
      <c r="F300" t="s">
        <v>19</v>
      </c>
      <c r="G300" t="s">
        <v>919</v>
      </c>
      <c r="H300" t="s">
        <v>17</v>
      </c>
      <c r="I300" t="s">
        <v>18</v>
      </c>
      <c r="J300" t="s">
        <v>65</v>
      </c>
      <c r="K300" t="s">
        <v>30</v>
      </c>
      <c r="L300" t="s">
        <v>31</v>
      </c>
    </row>
    <row r="301" spans="1:12" x14ac:dyDescent="0.3">
      <c r="A301" t="s">
        <v>994</v>
      </c>
      <c r="B301" t="s">
        <v>921</v>
      </c>
      <c r="C301" t="s">
        <v>357</v>
      </c>
      <c r="D301" t="s">
        <v>922</v>
      </c>
      <c r="E301">
        <v>13</v>
      </c>
      <c r="F301">
        <v>80</v>
      </c>
      <c r="G301" t="s">
        <v>388</v>
      </c>
      <c r="H301" t="s">
        <v>17</v>
      </c>
      <c r="I301" t="s">
        <v>90</v>
      </c>
      <c r="J301" t="s">
        <v>91</v>
      </c>
      <c r="K301" t="s">
        <v>140</v>
      </c>
      <c r="L301" t="s">
        <v>31</v>
      </c>
    </row>
    <row r="302" spans="1:12" x14ac:dyDescent="0.3">
      <c r="A302" t="s">
        <v>996</v>
      </c>
      <c r="B302" t="s">
        <v>924</v>
      </c>
      <c r="C302" t="s">
        <v>850</v>
      </c>
      <c r="D302" t="s">
        <v>281</v>
      </c>
      <c r="E302">
        <v>20</v>
      </c>
      <c r="F302">
        <v>65</v>
      </c>
      <c r="G302" t="s">
        <v>140</v>
      </c>
      <c r="H302" t="s">
        <v>17</v>
      </c>
      <c r="I302" t="s">
        <v>18</v>
      </c>
      <c r="J302" t="s">
        <v>65</v>
      </c>
      <c r="K302" t="s">
        <v>20</v>
      </c>
      <c r="L302" t="s">
        <v>31</v>
      </c>
    </row>
    <row r="303" spans="1:12" x14ac:dyDescent="0.3">
      <c r="A303" t="s">
        <v>998</v>
      </c>
      <c r="B303" t="s">
        <v>924</v>
      </c>
      <c r="C303" t="s">
        <v>850</v>
      </c>
      <c r="D303" t="s">
        <v>281</v>
      </c>
      <c r="E303">
        <v>20</v>
      </c>
      <c r="F303">
        <v>65</v>
      </c>
      <c r="G303" t="s">
        <v>783</v>
      </c>
      <c r="H303" t="s">
        <v>17</v>
      </c>
      <c r="I303" t="s">
        <v>18</v>
      </c>
      <c r="J303" t="s">
        <v>65</v>
      </c>
      <c r="K303" t="s">
        <v>20</v>
      </c>
      <c r="L303" t="s">
        <v>31</v>
      </c>
    </row>
    <row r="304" spans="1:12" x14ac:dyDescent="0.3">
      <c r="A304" t="s">
        <v>1000</v>
      </c>
      <c r="B304" t="s">
        <v>926</v>
      </c>
      <c r="C304" t="s">
        <v>853</v>
      </c>
      <c r="D304" t="s">
        <v>146</v>
      </c>
      <c r="E304">
        <v>8</v>
      </c>
      <c r="F304">
        <v>85</v>
      </c>
      <c r="G304" t="s">
        <v>354</v>
      </c>
      <c r="H304" t="s">
        <v>37</v>
      </c>
      <c r="I304" t="s">
        <v>225</v>
      </c>
      <c r="J304" t="s">
        <v>226</v>
      </c>
      <c r="K304" t="s">
        <v>30</v>
      </c>
      <c r="L304" t="s">
        <v>46</v>
      </c>
    </row>
    <row r="305" spans="1:12" x14ac:dyDescent="0.3">
      <c r="A305" t="s">
        <v>1003</v>
      </c>
      <c r="B305" t="s">
        <v>495</v>
      </c>
      <c r="C305" t="s">
        <v>509</v>
      </c>
      <c r="D305" t="s">
        <v>922</v>
      </c>
      <c r="E305">
        <v>16</v>
      </c>
      <c r="F305">
        <v>85</v>
      </c>
      <c r="G305" t="s">
        <v>306</v>
      </c>
      <c r="H305" t="s">
        <v>19</v>
      </c>
      <c r="I305" t="s">
        <v>183</v>
      </c>
      <c r="J305" t="s">
        <v>294</v>
      </c>
      <c r="K305" t="s">
        <v>66</v>
      </c>
      <c r="L305" t="s">
        <v>31</v>
      </c>
    </row>
    <row r="306" spans="1:12" x14ac:dyDescent="0.3">
      <c r="A306" t="s">
        <v>1005</v>
      </c>
      <c r="B306" t="s">
        <v>135</v>
      </c>
      <c r="C306" t="s">
        <v>782</v>
      </c>
      <c r="D306" t="s">
        <v>125</v>
      </c>
      <c r="E306">
        <v>16</v>
      </c>
      <c r="F306">
        <v>63</v>
      </c>
      <c r="G306" t="s">
        <v>929</v>
      </c>
      <c r="H306" t="s">
        <v>27</v>
      </c>
      <c r="I306" t="s">
        <v>28</v>
      </c>
      <c r="J306" t="s">
        <v>79</v>
      </c>
      <c r="K306" t="s">
        <v>54</v>
      </c>
      <c r="L306" t="s">
        <v>46</v>
      </c>
    </row>
    <row r="307" spans="1:12" x14ac:dyDescent="0.3">
      <c r="A307" t="s">
        <v>1007</v>
      </c>
      <c r="B307" t="s">
        <v>614</v>
      </c>
      <c r="C307" t="s">
        <v>42</v>
      </c>
      <c r="D307" t="s">
        <v>25</v>
      </c>
      <c r="E307">
        <v>1</v>
      </c>
      <c r="F307">
        <v>60</v>
      </c>
      <c r="G307" t="s">
        <v>531</v>
      </c>
      <c r="H307" t="s">
        <v>27</v>
      </c>
      <c r="I307" t="s">
        <v>28</v>
      </c>
      <c r="J307" t="s">
        <v>79</v>
      </c>
      <c r="K307" t="s">
        <v>54</v>
      </c>
      <c r="L307" t="s">
        <v>31</v>
      </c>
    </row>
    <row r="308" spans="1:12" x14ac:dyDescent="0.3">
      <c r="A308" t="s">
        <v>1009</v>
      </c>
      <c r="B308" t="s">
        <v>932</v>
      </c>
      <c r="C308" t="s">
        <v>504</v>
      </c>
      <c r="D308" t="s">
        <v>50</v>
      </c>
      <c r="E308">
        <v>4</v>
      </c>
      <c r="F308">
        <v>65</v>
      </c>
      <c r="G308" t="s">
        <v>534</v>
      </c>
      <c r="H308" t="s">
        <v>37</v>
      </c>
      <c r="I308" t="s">
        <v>225</v>
      </c>
      <c r="J308" t="s">
        <v>226</v>
      </c>
      <c r="K308" t="s">
        <v>66</v>
      </c>
      <c r="L308" t="s">
        <v>21</v>
      </c>
    </row>
    <row r="309" spans="1:12" x14ac:dyDescent="0.3">
      <c r="A309" t="s">
        <v>1012</v>
      </c>
      <c r="B309" t="s">
        <v>934</v>
      </c>
      <c r="C309" t="s">
        <v>935</v>
      </c>
      <c r="D309" t="s">
        <v>35</v>
      </c>
      <c r="E309">
        <v>17</v>
      </c>
      <c r="F309">
        <v>65</v>
      </c>
      <c r="G309" t="s">
        <v>202</v>
      </c>
      <c r="H309" t="s">
        <v>27</v>
      </c>
      <c r="I309" t="s">
        <v>100</v>
      </c>
      <c r="J309" t="s">
        <v>101</v>
      </c>
      <c r="K309" t="s">
        <v>2190</v>
      </c>
      <c r="L309" t="s">
        <v>46</v>
      </c>
    </row>
    <row r="310" spans="1:12" x14ac:dyDescent="0.3">
      <c r="A310" t="s">
        <v>1014</v>
      </c>
      <c r="B310" t="s">
        <v>936</v>
      </c>
      <c r="C310" t="s">
        <v>201</v>
      </c>
      <c r="D310" t="s">
        <v>94</v>
      </c>
      <c r="E310">
        <v>1</v>
      </c>
      <c r="F310">
        <v>73</v>
      </c>
      <c r="G310" t="s">
        <v>937</v>
      </c>
      <c r="H310" t="s">
        <v>27</v>
      </c>
      <c r="I310" t="s">
        <v>100</v>
      </c>
      <c r="J310" t="s">
        <v>101</v>
      </c>
      <c r="K310" t="s">
        <v>45</v>
      </c>
      <c r="L310" t="s">
        <v>31</v>
      </c>
    </row>
    <row r="311" spans="1:12" x14ac:dyDescent="0.3">
      <c r="A311" t="s">
        <v>1017</v>
      </c>
      <c r="B311" t="s">
        <v>936</v>
      </c>
      <c r="C311" t="s">
        <v>201</v>
      </c>
      <c r="D311" t="s">
        <v>94</v>
      </c>
      <c r="E311">
        <v>1</v>
      </c>
      <c r="F311">
        <v>73</v>
      </c>
      <c r="G311" t="s">
        <v>937</v>
      </c>
      <c r="H311" t="s">
        <v>27</v>
      </c>
      <c r="I311" t="s">
        <v>100</v>
      </c>
      <c r="J311" t="s">
        <v>101</v>
      </c>
      <c r="K311" t="s">
        <v>45</v>
      </c>
      <c r="L311" t="s">
        <v>31</v>
      </c>
    </row>
    <row r="312" spans="1:12" x14ac:dyDescent="0.3">
      <c r="A312" t="s">
        <v>1020</v>
      </c>
      <c r="B312" t="s">
        <v>940</v>
      </c>
      <c r="C312" t="s">
        <v>794</v>
      </c>
      <c r="D312" t="s">
        <v>35</v>
      </c>
      <c r="E312">
        <v>8</v>
      </c>
      <c r="F312">
        <v>60</v>
      </c>
      <c r="G312" t="s">
        <v>143</v>
      </c>
      <c r="H312" t="s">
        <v>70</v>
      </c>
      <c r="I312" t="s">
        <v>71</v>
      </c>
      <c r="J312" t="s">
        <v>72</v>
      </c>
      <c r="K312" t="s">
        <v>73</v>
      </c>
      <c r="L312" t="s">
        <v>31</v>
      </c>
    </row>
    <row r="313" spans="1:12" x14ac:dyDescent="0.3">
      <c r="A313" t="s">
        <v>1022</v>
      </c>
      <c r="B313" t="s">
        <v>942</v>
      </c>
      <c r="C313" t="s">
        <v>943</v>
      </c>
      <c r="D313" t="s">
        <v>15</v>
      </c>
      <c r="E313">
        <v>15</v>
      </c>
      <c r="F313">
        <v>50</v>
      </c>
      <c r="G313" t="s">
        <v>944</v>
      </c>
      <c r="H313" t="s">
        <v>70</v>
      </c>
      <c r="I313" t="s">
        <v>183</v>
      </c>
      <c r="J313" t="s">
        <v>184</v>
      </c>
      <c r="K313" t="s">
        <v>45</v>
      </c>
      <c r="L313" t="s">
        <v>74</v>
      </c>
    </row>
    <row r="314" spans="1:12" x14ac:dyDescent="0.3">
      <c r="A314" t="s">
        <v>1023</v>
      </c>
      <c r="B314" t="s">
        <v>942</v>
      </c>
      <c r="C314" t="s">
        <v>943</v>
      </c>
      <c r="D314" t="s">
        <v>15</v>
      </c>
      <c r="E314">
        <v>15</v>
      </c>
      <c r="F314">
        <v>50</v>
      </c>
      <c r="G314" t="s">
        <v>944</v>
      </c>
      <c r="H314" t="s">
        <v>70</v>
      </c>
      <c r="I314" t="s">
        <v>183</v>
      </c>
      <c r="J314" t="s">
        <v>184</v>
      </c>
      <c r="K314" t="s">
        <v>45</v>
      </c>
      <c r="L314" t="s">
        <v>31</v>
      </c>
    </row>
    <row r="315" spans="1:12" x14ac:dyDescent="0.3">
      <c r="A315" t="s">
        <v>1025</v>
      </c>
      <c r="B315" t="s">
        <v>946</v>
      </c>
      <c r="C315" t="s">
        <v>136</v>
      </c>
      <c r="D315" t="s">
        <v>43</v>
      </c>
      <c r="E315">
        <v>16</v>
      </c>
      <c r="F315">
        <v>90</v>
      </c>
      <c r="G315" t="s">
        <v>523</v>
      </c>
      <c r="H315" t="s">
        <v>17</v>
      </c>
      <c r="I315" t="s">
        <v>90</v>
      </c>
      <c r="J315" t="s">
        <v>91</v>
      </c>
      <c r="K315" t="s">
        <v>60</v>
      </c>
      <c r="L315" t="s">
        <v>31</v>
      </c>
    </row>
    <row r="316" spans="1:12" x14ac:dyDescent="0.3">
      <c r="A316" t="s">
        <v>1028</v>
      </c>
      <c r="B316" t="s">
        <v>19</v>
      </c>
      <c r="C316" t="s">
        <v>918</v>
      </c>
      <c r="D316" t="s">
        <v>15</v>
      </c>
      <c r="E316">
        <v>20</v>
      </c>
      <c r="F316">
        <v>50</v>
      </c>
      <c r="G316" t="s">
        <v>948</v>
      </c>
      <c r="H316" t="s">
        <v>37</v>
      </c>
      <c r="I316" t="s">
        <v>225</v>
      </c>
      <c r="J316" t="s">
        <v>226</v>
      </c>
      <c r="K316" t="s">
        <v>45</v>
      </c>
      <c r="L316" t="s">
        <v>31</v>
      </c>
    </row>
    <row r="317" spans="1:12" x14ac:dyDescent="0.3">
      <c r="A317" t="s">
        <v>1031</v>
      </c>
      <c r="B317" t="s">
        <v>304</v>
      </c>
      <c r="C317" t="s">
        <v>718</v>
      </c>
      <c r="D317" t="s">
        <v>35</v>
      </c>
      <c r="E317">
        <v>13</v>
      </c>
      <c r="F317">
        <v>65</v>
      </c>
      <c r="G317" t="s">
        <v>950</v>
      </c>
      <c r="H317" t="s">
        <v>19</v>
      </c>
      <c r="I317" t="s">
        <v>28</v>
      </c>
      <c r="J317" t="s">
        <v>79</v>
      </c>
      <c r="K317" t="s">
        <v>54</v>
      </c>
      <c r="L317" t="s">
        <v>21</v>
      </c>
    </row>
    <row r="318" spans="1:12" x14ac:dyDescent="0.3">
      <c r="A318" t="s">
        <v>1033</v>
      </c>
      <c r="B318" t="s">
        <v>952</v>
      </c>
      <c r="C318" t="s">
        <v>223</v>
      </c>
      <c r="D318" t="s">
        <v>19</v>
      </c>
      <c r="E318">
        <v>17</v>
      </c>
      <c r="F318">
        <v>55</v>
      </c>
      <c r="G318" t="s">
        <v>399</v>
      </c>
      <c r="H318" t="s">
        <v>17</v>
      </c>
      <c r="I318" t="s">
        <v>90</v>
      </c>
      <c r="J318" t="s">
        <v>91</v>
      </c>
      <c r="K318" t="s">
        <v>30</v>
      </c>
      <c r="L318" t="s">
        <v>21</v>
      </c>
    </row>
    <row r="319" spans="1:12" x14ac:dyDescent="0.3">
      <c r="A319" t="s">
        <v>2146</v>
      </c>
      <c r="B319" t="s">
        <v>953</v>
      </c>
      <c r="C319" t="s">
        <v>954</v>
      </c>
      <c r="D319" t="s">
        <v>125</v>
      </c>
      <c r="E319">
        <v>18</v>
      </c>
      <c r="F319">
        <v>58</v>
      </c>
      <c r="G319" t="s">
        <v>955</v>
      </c>
      <c r="H319" t="s">
        <v>70</v>
      </c>
      <c r="I319" t="s">
        <v>183</v>
      </c>
      <c r="J319" t="s">
        <v>184</v>
      </c>
      <c r="K319" t="s">
        <v>60</v>
      </c>
      <c r="L319" t="s">
        <v>31</v>
      </c>
    </row>
    <row r="320" spans="1:12" x14ac:dyDescent="0.3">
      <c r="A320" t="s">
        <v>1037</v>
      </c>
      <c r="B320" t="s">
        <v>953</v>
      </c>
      <c r="C320" t="s">
        <v>954</v>
      </c>
      <c r="D320" t="s">
        <v>125</v>
      </c>
      <c r="E320">
        <v>18</v>
      </c>
      <c r="F320">
        <v>58</v>
      </c>
      <c r="G320" t="s">
        <v>955</v>
      </c>
      <c r="H320" t="s">
        <v>70</v>
      </c>
      <c r="I320" t="s">
        <v>183</v>
      </c>
      <c r="J320" t="s">
        <v>184</v>
      </c>
      <c r="K320" t="s">
        <v>60</v>
      </c>
      <c r="L320" t="s">
        <v>31</v>
      </c>
    </row>
    <row r="321" spans="1:12" x14ac:dyDescent="0.3">
      <c r="A321" t="s">
        <v>1039</v>
      </c>
      <c r="B321" t="s">
        <v>958</v>
      </c>
      <c r="C321" t="s">
        <v>563</v>
      </c>
      <c r="D321" t="s">
        <v>19</v>
      </c>
      <c r="E321">
        <v>13</v>
      </c>
      <c r="F321">
        <v>80</v>
      </c>
      <c r="G321" t="s">
        <v>388</v>
      </c>
      <c r="H321" t="s">
        <v>37</v>
      </c>
      <c r="I321" t="s">
        <v>38</v>
      </c>
      <c r="J321" t="s">
        <v>39</v>
      </c>
      <c r="K321" t="s">
        <v>30</v>
      </c>
      <c r="L321" t="s">
        <v>21</v>
      </c>
    </row>
    <row r="322" spans="1:12" x14ac:dyDescent="0.3">
      <c r="A322" t="s">
        <v>2147</v>
      </c>
      <c r="B322" t="s">
        <v>960</v>
      </c>
      <c r="C322" t="s">
        <v>791</v>
      </c>
      <c r="D322" t="s">
        <v>169</v>
      </c>
      <c r="E322">
        <v>19</v>
      </c>
      <c r="F322">
        <v>80</v>
      </c>
      <c r="G322" t="s">
        <v>220</v>
      </c>
      <c r="H322" t="s">
        <v>37</v>
      </c>
      <c r="I322" t="s">
        <v>83</v>
      </c>
      <c r="J322" t="s">
        <v>84</v>
      </c>
      <c r="K322" t="s">
        <v>158</v>
      </c>
      <c r="L322" t="s">
        <v>46</v>
      </c>
    </row>
    <row r="323" spans="1:12" x14ac:dyDescent="0.3">
      <c r="A323" t="s">
        <v>1042</v>
      </c>
      <c r="B323" t="s">
        <v>674</v>
      </c>
      <c r="C323" t="s">
        <v>962</v>
      </c>
      <c r="D323" t="s">
        <v>125</v>
      </c>
      <c r="E323">
        <v>9</v>
      </c>
      <c r="F323">
        <v>53</v>
      </c>
      <c r="G323" t="s">
        <v>963</v>
      </c>
      <c r="H323" t="s">
        <v>17</v>
      </c>
      <c r="I323" t="s">
        <v>90</v>
      </c>
      <c r="J323" t="s">
        <v>91</v>
      </c>
      <c r="K323" t="s">
        <v>30</v>
      </c>
      <c r="L323" t="s">
        <v>21</v>
      </c>
    </row>
    <row r="324" spans="1:12" x14ac:dyDescent="0.3">
      <c r="A324" t="s">
        <v>1044</v>
      </c>
      <c r="B324" t="s">
        <v>965</v>
      </c>
      <c r="C324" t="s">
        <v>966</v>
      </c>
      <c r="D324" t="s">
        <v>25</v>
      </c>
      <c r="E324">
        <v>10</v>
      </c>
      <c r="F324">
        <v>50</v>
      </c>
      <c r="G324" t="s">
        <v>854</v>
      </c>
      <c r="H324" t="s">
        <v>17</v>
      </c>
      <c r="I324" t="s">
        <v>90</v>
      </c>
      <c r="J324" t="s">
        <v>138</v>
      </c>
      <c r="K324" t="s">
        <v>60</v>
      </c>
      <c r="L324" t="s">
        <v>21</v>
      </c>
    </row>
    <row r="325" spans="1:12" x14ac:dyDescent="0.3">
      <c r="A325" t="s">
        <v>1046</v>
      </c>
      <c r="B325" t="s">
        <v>968</v>
      </c>
      <c r="C325" t="s">
        <v>969</v>
      </c>
      <c r="D325" t="s">
        <v>146</v>
      </c>
      <c r="E325">
        <v>16</v>
      </c>
      <c r="F325">
        <v>85</v>
      </c>
      <c r="G325" t="s">
        <v>306</v>
      </c>
      <c r="H325" t="s">
        <v>19</v>
      </c>
      <c r="I325" t="s">
        <v>83</v>
      </c>
      <c r="J325" t="s">
        <v>84</v>
      </c>
      <c r="K325" t="s">
        <v>158</v>
      </c>
      <c r="L325" t="s">
        <v>31</v>
      </c>
    </row>
    <row r="326" spans="1:12" x14ac:dyDescent="0.3">
      <c r="A326" t="s">
        <v>1047</v>
      </c>
      <c r="B326" t="s">
        <v>971</v>
      </c>
      <c r="C326" t="s">
        <v>850</v>
      </c>
      <c r="D326" t="s">
        <v>15</v>
      </c>
      <c r="E326">
        <v>8</v>
      </c>
      <c r="F326">
        <v>45</v>
      </c>
      <c r="G326" t="s">
        <v>247</v>
      </c>
      <c r="H326" t="s">
        <v>17</v>
      </c>
      <c r="I326" t="s">
        <v>18</v>
      </c>
      <c r="J326" t="s">
        <v>65</v>
      </c>
      <c r="K326" t="s">
        <v>45</v>
      </c>
      <c r="L326" t="s">
        <v>31</v>
      </c>
    </row>
    <row r="327" spans="1:12" x14ac:dyDescent="0.3">
      <c r="A327" t="s">
        <v>1049</v>
      </c>
      <c r="B327" t="s">
        <v>973</v>
      </c>
      <c r="C327" t="s">
        <v>104</v>
      </c>
      <c r="D327" t="s">
        <v>35</v>
      </c>
      <c r="E327">
        <v>8</v>
      </c>
      <c r="F327">
        <v>55</v>
      </c>
      <c r="G327" t="s">
        <v>604</v>
      </c>
      <c r="H327" t="s">
        <v>17</v>
      </c>
      <c r="I327" t="s">
        <v>18</v>
      </c>
      <c r="J327" t="s">
        <v>65</v>
      </c>
      <c r="K327" t="s">
        <v>30</v>
      </c>
      <c r="L327" t="s">
        <v>19</v>
      </c>
    </row>
    <row r="328" spans="1:12" x14ac:dyDescent="0.3">
      <c r="A328" t="s">
        <v>1051</v>
      </c>
      <c r="B328" t="s">
        <v>973</v>
      </c>
      <c r="C328" t="s">
        <v>104</v>
      </c>
      <c r="D328" t="s">
        <v>35</v>
      </c>
      <c r="E328">
        <v>8</v>
      </c>
      <c r="F328">
        <v>55</v>
      </c>
      <c r="G328" t="s">
        <v>604</v>
      </c>
      <c r="H328" t="s">
        <v>17</v>
      </c>
      <c r="I328" t="s">
        <v>18</v>
      </c>
      <c r="J328" t="s">
        <v>65</v>
      </c>
      <c r="K328" t="s">
        <v>30</v>
      </c>
      <c r="L328" t="s">
        <v>21</v>
      </c>
    </row>
    <row r="329" spans="1:12" x14ac:dyDescent="0.3">
      <c r="A329" t="s">
        <v>1053</v>
      </c>
      <c r="B329" t="s">
        <v>140</v>
      </c>
      <c r="C329" t="s">
        <v>975</v>
      </c>
      <c r="D329" t="s">
        <v>94</v>
      </c>
      <c r="E329">
        <v>14</v>
      </c>
      <c r="F329">
        <v>73</v>
      </c>
      <c r="G329" t="s">
        <v>121</v>
      </c>
      <c r="H329" t="s">
        <v>27</v>
      </c>
      <c r="I329" t="s">
        <v>100</v>
      </c>
      <c r="J329" t="s">
        <v>101</v>
      </c>
      <c r="K329" t="s">
        <v>30</v>
      </c>
      <c r="L329" t="s">
        <v>21</v>
      </c>
    </row>
    <row r="330" spans="1:12" x14ac:dyDescent="0.3">
      <c r="A330" t="s">
        <v>1055</v>
      </c>
      <c r="B330" t="s">
        <v>19</v>
      </c>
      <c r="C330" t="s">
        <v>160</v>
      </c>
      <c r="D330" t="s">
        <v>169</v>
      </c>
      <c r="E330">
        <v>13</v>
      </c>
      <c r="F330">
        <v>80</v>
      </c>
      <c r="G330" t="s">
        <v>388</v>
      </c>
      <c r="H330" t="s">
        <v>37</v>
      </c>
      <c r="I330" t="s">
        <v>83</v>
      </c>
      <c r="J330" t="s">
        <v>84</v>
      </c>
      <c r="K330" t="s">
        <v>85</v>
      </c>
      <c r="L330" t="s">
        <v>19</v>
      </c>
    </row>
    <row r="331" spans="1:12" x14ac:dyDescent="0.3">
      <c r="A331" t="s">
        <v>2148</v>
      </c>
      <c r="B331" t="s">
        <v>913</v>
      </c>
      <c r="C331" t="s">
        <v>880</v>
      </c>
      <c r="D331" t="s">
        <v>125</v>
      </c>
      <c r="E331">
        <v>12</v>
      </c>
      <c r="F331">
        <v>58</v>
      </c>
      <c r="G331" t="s">
        <v>978</v>
      </c>
      <c r="H331" t="s">
        <v>37</v>
      </c>
      <c r="I331" t="s">
        <v>225</v>
      </c>
      <c r="J331" t="s">
        <v>226</v>
      </c>
      <c r="K331" t="s">
        <v>30</v>
      </c>
      <c r="L331" t="s">
        <v>21</v>
      </c>
    </row>
    <row r="332" spans="1:12" x14ac:dyDescent="0.3">
      <c r="A332" t="s">
        <v>1058</v>
      </c>
      <c r="B332" t="s">
        <v>980</v>
      </c>
      <c r="C332" t="s">
        <v>981</v>
      </c>
      <c r="D332" t="s">
        <v>35</v>
      </c>
      <c r="E332">
        <v>20</v>
      </c>
      <c r="F332">
        <v>65</v>
      </c>
      <c r="G332" t="s">
        <v>783</v>
      </c>
      <c r="H332" t="s">
        <v>27</v>
      </c>
      <c r="I332" t="s">
        <v>28</v>
      </c>
      <c r="J332" t="s">
        <v>79</v>
      </c>
      <c r="K332" t="s">
        <v>54</v>
      </c>
      <c r="L332" t="s">
        <v>21</v>
      </c>
    </row>
    <row r="333" spans="1:12" x14ac:dyDescent="0.3">
      <c r="A333" t="s">
        <v>1061</v>
      </c>
      <c r="B333" t="s">
        <v>983</v>
      </c>
      <c r="C333" t="s">
        <v>394</v>
      </c>
      <c r="D333" t="s">
        <v>169</v>
      </c>
      <c r="E333">
        <v>4</v>
      </c>
      <c r="F333">
        <v>80</v>
      </c>
      <c r="G333" t="s">
        <v>443</v>
      </c>
      <c r="H333" t="s">
        <v>70</v>
      </c>
      <c r="I333" t="s">
        <v>151</v>
      </c>
      <c r="J333" t="s">
        <v>152</v>
      </c>
      <c r="K333" t="s">
        <v>153</v>
      </c>
      <c r="L333" t="s">
        <v>21</v>
      </c>
    </row>
    <row r="334" spans="1:12" x14ac:dyDescent="0.3">
      <c r="A334" t="s">
        <v>1063</v>
      </c>
      <c r="B334" t="s">
        <v>985</v>
      </c>
      <c r="C334" t="s">
        <v>240</v>
      </c>
      <c r="D334" t="s">
        <v>50</v>
      </c>
      <c r="E334">
        <v>20</v>
      </c>
      <c r="F334">
        <v>70</v>
      </c>
      <c r="G334" t="s">
        <v>986</v>
      </c>
      <c r="H334" t="s">
        <v>27</v>
      </c>
      <c r="I334" t="s">
        <v>28</v>
      </c>
      <c r="J334" t="s">
        <v>79</v>
      </c>
      <c r="K334" t="s">
        <v>54</v>
      </c>
      <c r="L334" t="s">
        <v>46</v>
      </c>
    </row>
    <row r="335" spans="1:12" x14ac:dyDescent="0.3">
      <c r="A335" t="s">
        <v>1065</v>
      </c>
      <c r="B335" t="s">
        <v>988</v>
      </c>
      <c r="C335" t="s">
        <v>603</v>
      </c>
      <c r="D335" t="s">
        <v>169</v>
      </c>
      <c r="E335">
        <v>6</v>
      </c>
      <c r="F335">
        <v>80</v>
      </c>
      <c r="G335" t="s">
        <v>143</v>
      </c>
      <c r="H335" t="s">
        <v>37</v>
      </c>
      <c r="I335" t="s">
        <v>83</v>
      </c>
      <c r="J335" t="s">
        <v>84</v>
      </c>
      <c r="K335" t="s">
        <v>158</v>
      </c>
      <c r="L335" t="s">
        <v>21</v>
      </c>
    </row>
    <row r="336" spans="1:12" x14ac:dyDescent="0.3">
      <c r="A336" t="s">
        <v>2149</v>
      </c>
      <c r="B336" t="s">
        <v>990</v>
      </c>
      <c r="C336" t="s">
        <v>414</v>
      </c>
      <c r="D336" t="s">
        <v>25</v>
      </c>
      <c r="E336">
        <v>6</v>
      </c>
      <c r="F336">
        <v>50</v>
      </c>
      <c r="G336" t="s">
        <v>446</v>
      </c>
      <c r="H336" t="s">
        <v>17</v>
      </c>
      <c r="I336" t="s">
        <v>18</v>
      </c>
      <c r="J336" t="s">
        <v>65</v>
      </c>
      <c r="K336" t="s">
        <v>60</v>
      </c>
      <c r="L336" t="s">
        <v>46</v>
      </c>
    </row>
    <row r="337" spans="1:12" x14ac:dyDescent="0.3">
      <c r="A337" t="s">
        <v>1069</v>
      </c>
      <c r="B337" t="s">
        <v>992</v>
      </c>
      <c r="C337" t="s">
        <v>954</v>
      </c>
      <c r="D337" t="s">
        <v>993</v>
      </c>
      <c r="E337">
        <v>6</v>
      </c>
      <c r="F337">
        <v>65</v>
      </c>
      <c r="G337" t="s">
        <v>503</v>
      </c>
      <c r="H337" t="s">
        <v>27</v>
      </c>
      <c r="I337" t="s">
        <v>100</v>
      </c>
      <c r="J337" t="s">
        <v>101</v>
      </c>
      <c r="K337" t="s">
        <v>45</v>
      </c>
      <c r="L337" t="s">
        <v>31</v>
      </c>
    </row>
    <row r="338" spans="1:12" x14ac:dyDescent="0.3">
      <c r="A338" t="s">
        <v>1071</v>
      </c>
      <c r="B338" t="s">
        <v>19</v>
      </c>
      <c r="C338" t="s">
        <v>995</v>
      </c>
      <c r="D338" t="s">
        <v>50</v>
      </c>
      <c r="E338">
        <v>5</v>
      </c>
      <c r="F338">
        <v>65</v>
      </c>
      <c r="G338" t="s">
        <v>553</v>
      </c>
      <c r="H338" t="s">
        <v>37</v>
      </c>
      <c r="I338" t="s">
        <v>38</v>
      </c>
      <c r="J338" t="s">
        <v>39</v>
      </c>
      <c r="K338" t="s">
        <v>20</v>
      </c>
      <c r="L338" t="s">
        <v>31</v>
      </c>
    </row>
    <row r="339" spans="1:12" x14ac:dyDescent="0.3">
      <c r="A339" t="s">
        <v>1074</v>
      </c>
      <c r="B339" t="s">
        <v>997</v>
      </c>
      <c r="C339" t="s">
        <v>543</v>
      </c>
      <c r="D339" t="s">
        <v>50</v>
      </c>
      <c r="E339">
        <v>5</v>
      </c>
      <c r="F339">
        <v>65</v>
      </c>
      <c r="G339" t="s">
        <v>553</v>
      </c>
      <c r="H339" t="s">
        <v>37</v>
      </c>
      <c r="I339" t="s">
        <v>83</v>
      </c>
      <c r="J339" t="s">
        <v>84</v>
      </c>
      <c r="K339" t="s">
        <v>158</v>
      </c>
      <c r="L339" t="s">
        <v>46</v>
      </c>
    </row>
    <row r="340" spans="1:12" x14ac:dyDescent="0.3">
      <c r="A340" t="s">
        <v>2150</v>
      </c>
      <c r="B340" t="s">
        <v>999</v>
      </c>
      <c r="C340" t="s">
        <v>156</v>
      </c>
      <c r="D340" t="s">
        <v>94</v>
      </c>
      <c r="E340">
        <v>20</v>
      </c>
      <c r="F340">
        <v>68</v>
      </c>
      <c r="G340" t="s">
        <v>306</v>
      </c>
      <c r="H340" t="s">
        <v>37</v>
      </c>
      <c r="I340" t="s">
        <v>83</v>
      </c>
      <c r="J340" t="s">
        <v>84</v>
      </c>
      <c r="K340" t="s">
        <v>158</v>
      </c>
      <c r="L340" t="s">
        <v>31</v>
      </c>
    </row>
    <row r="341" spans="1:12" x14ac:dyDescent="0.3">
      <c r="A341" t="s">
        <v>1078</v>
      </c>
      <c r="B341" t="s">
        <v>1001</v>
      </c>
      <c r="C341" t="s">
        <v>1002</v>
      </c>
      <c r="D341" t="s">
        <v>50</v>
      </c>
      <c r="E341">
        <v>7</v>
      </c>
      <c r="F341">
        <v>70</v>
      </c>
      <c r="G341" t="s">
        <v>51</v>
      </c>
      <c r="H341" t="s">
        <v>27</v>
      </c>
      <c r="I341" t="s">
        <v>28</v>
      </c>
      <c r="J341" t="s">
        <v>79</v>
      </c>
      <c r="K341" t="s">
        <v>54</v>
      </c>
      <c r="L341" t="s">
        <v>46</v>
      </c>
    </row>
    <row r="342" spans="1:12" x14ac:dyDescent="0.3">
      <c r="A342" t="s">
        <v>1080</v>
      </c>
      <c r="B342" t="s">
        <v>1004</v>
      </c>
      <c r="C342" t="s">
        <v>98</v>
      </c>
      <c r="D342" t="s">
        <v>15</v>
      </c>
      <c r="E342">
        <v>16</v>
      </c>
      <c r="F342">
        <v>50</v>
      </c>
      <c r="G342" t="s">
        <v>253</v>
      </c>
      <c r="H342" t="s">
        <v>37</v>
      </c>
      <c r="I342" t="s">
        <v>83</v>
      </c>
      <c r="J342" t="s">
        <v>84</v>
      </c>
      <c r="K342" t="s">
        <v>158</v>
      </c>
      <c r="L342" t="s">
        <v>31</v>
      </c>
    </row>
    <row r="343" spans="1:12" x14ac:dyDescent="0.3">
      <c r="A343" t="s">
        <v>1084</v>
      </c>
      <c r="B343" t="s">
        <v>1006</v>
      </c>
      <c r="C343" t="s">
        <v>445</v>
      </c>
      <c r="D343" t="s">
        <v>25</v>
      </c>
      <c r="E343">
        <v>19</v>
      </c>
      <c r="F343">
        <v>55</v>
      </c>
      <c r="G343" t="s">
        <v>195</v>
      </c>
      <c r="H343" t="s">
        <v>70</v>
      </c>
      <c r="I343" t="s">
        <v>183</v>
      </c>
      <c r="J343" t="s">
        <v>184</v>
      </c>
      <c r="K343" t="s">
        <v>711</v>
      </c>
      <c r="L343" t="s">
        <v>31</v>
      </c>
    </row>
    <row r="344" spans="1:12" x14ac:dyDescent="0.3">
      <c r="A344" t="s">
        <v>1086</v>
      </c>
      <c r="B344" t="s">
        <v>1008</v>
      </c>
      <c r="C344" t="s">
        <v>880</v>
      </c>
      <c r="D344" t="s">
        <v>35</v>
      </c>
      <c r="E344">
        <v>2</v>
      </c>
      <c r="F344">
        <v>60</v>
      </c>
      <c r="G344" t="s">
        <v>78</v>
      </c>
      <c r="H344" t="s">
        <v>37</v>
      </c>
      <c r="I344" t="s">
        <v>38</v>
      </c>
      <c r="J344" t="s">
        <v>39</v>
      </c>
      <c r="K344" t="s">
        <v>45</v>
      </c>
      <c r="L344" t="s">
        <v>46</v>
      </c>
    </row>
    <row r="345" spans="1:12" x14ac:dyDescent="0.3">
      <c r="A345" t="s">
        <v>1087</v>
      </c>
      <c r="B345" t="s">
        <v>1010</v>
      </c>
      <c r="C345" t="s">
        <v>1011</v>
      </c>
      <c r="D345" t="s">
        <v>15</v>
      </c>
      <c r="E345">
        <v>7</v>
      </c>
      <c r="F345">
        <v>50</v>
      </c>
      <c r="G345" t="s">
        <v>205</v>
      </c>
      <c r="H345" t="s">
        <v>70</v>
      </c>
      <c r="I345" t="s">
        <v>71</v>
      </c>
      <c r="J345" t="s">
        <v>19</v>
      </c>
      <c r="K345" t="s">
        <v>263</v>
      </c>
      <c r="L345" t="s">
        <v>31</v>
      </c>
    </row>
    <row r="346" spans="1:12" x14ac:dyDescent="0.3">
      <c r="A346" t="s">
        <v>2151</v>
      </c>
      <c r="B346" t="s">
        <v>1013</v>
      </c>
      <c r="C346" t="s">
        <v>615</v>
      </c>
      <c r="D346" t="s">
        <v>50</v>
      </c>
      <c r="E346">
        <v>17</v>
      </c>
      <c r="F346">
        <v>70</v>
      </c>
      <c r="G346" t="s">
        <v>688</v>
      </c>
      <c r="H346" t="s">
        <v>27</v>
      </c>
      <c r="I346" t="s">
        <v>28</v>
      </c>
      <c r="J346" t="s">
        <v>29</v>
      </c>
      <c r="K346" t="s">
        <v>2190</v>
      </c>
      <c r="L346" t="s">
        <v>21</v>
      </c>
    </row>
    <row r="347" spans="1:12" x14ac:dyDescent="0.3">
      <c r="A347" t="s">
        <v>1090</v>
      </c>
      <c r="B347" t="s">
        <v>1015</v>
      </c>
      <c r="C347" t="s">
        <v>1002</v>
      </c>
      <c r="D347" t="s">
        <v>94</v>
      </c>
      <c r="E347">
        <v>19</v>
      </c>
      <c r="F347">
        <v>73</v>
      </c>
      <c r="G347" t="s">
        <v>1016</v>
      </c>
      <c r="H347" t="s">
        <v>27</v>
      </c>
      <c r="I347" t="s">
        <v>100</v>
      </c>
      <c r="J347" t="s">
        <v>101</v>
      </c>
      <c r="K347" t="s">
        <v>20</v>
      </c>
      <c r="L347" t="s">
        <v>46</v>
      </c>
    </row>
    <row r="348" spans="1:12" x14ac:dyDescent="0.3">
      <c r="A348" t="s">
        <v>1093</v>
      </c>
      <c r="B348" t="s">
        <v>1018</v>
      </c>
      <c r="C348" t="s">
        <v>627</v>
      </c>
      <c r="D348" t="s">
        <v>35</v>
      </c>
      <c r="E348">
        <v>4</v>
      </c>
      <c r="F348">
        <v>60</v>
      </c>
      <c r="G348" t="s">
        <v>1019</v>
      </c>
      <c r="H348" t="s">
        <v>231</v>
      </c>
      <c r="I348" t="s">
        <v>183</v>
      </c>
      <c r="J348" t="s">
        <v>184</v>
      </c>
      <c r="K348" t="s">
        <v>415</v>
      </c>
      <c r="L348" t="s">
        <v>21</v>
      </c>
    </row>
    <row r="349" spans="1:12" x14ac:dyDescent="0.3">
      <c r="A349" t="s">
        <v>1095</v>
      </c>
      <c r="B349" t="s">
        <v>427</v>
      </c>
      <c r="C349" t="s">
        <v>887</v>
      </c>
      <c r="D349" t="s">
        <v>35</v>
      </c>
      <c r="E349">
        <v>10</v>
      </c>
      <c r="F349">
        <v>65</v>
      </c>
      <c r="G349" t="s">
        <v>1021</v>
      </c>
      <c r="H349" t="s">
        <v>27</v>
      </c>
      <c r="I349" t="s">
        <v>28</v>
      </c>
      <c r="J349" t="s">
        <v>29</v>
      </c>
      <c r="K349" t="s">
        <v>60</v>
      </c>
      <c r="L349" t="s">
        <v>46</v>
      </c>
    </row>
    <row r="350" spans="1:12" x14ac:dyDescent="0.3">
      <c r="A350" t="s">
        <v>1098</v>
      </c>
      <c r="B350" t="s">
        <v>844</v>
      </c>
      <c r="C350" t="s">
        <v>19</v>
      </c>
      <c r="D350" t="s">
        <v>25</v>
      </c>
      <c r="E350">
        <v>19</v>
      </c>
      <c r="F350">
        <v>60</v>
      </c>
      <c r="G350" t="s">
        <v>340</v>
      </c>
      <c r="H350" t="s">
        <v>27</v>
      </c>
      <c r="I350" t="s">
        <v>100</v>
      </c>
      <c r="J350" t="s">
        <v>101</v>
      </c>
      <c r="K350" t="s">
        <v>66</v>
      </c>
      <c r="L350" t="s">
        <v>46</v>
      </c>
    </row>
    <row r="351" spans="1:12" x14ac:dyDescent="0.3">
      <c r="A351" t="s">
        <v>1099</v>
      </c>
      <c r="B351" t="s">
        <v>1024</v>
      </c>
      <c r="C351" t="s">
        <v>839</v>
      </c>
      <c r="D351" t="s">
        <v>15</v>
      </c>
      <c r="E351">
        <v>13</v>
      </c>
      <c r="F351">
        <v>50</v>
      </c>
      <c r="G351" t="s">
        <v>547</v>
      </c>
      <c r="H351" t="s">
        <v>70</v>
      </c>
      <c r="I351" t="s">
        <v>71</v>
      </c>
      <c r="J351" t="s">
        <v>72</v>
      </c>
      <c r="K351" t="s">
        <v>73</v>
      </c>
      <c r="L351" t="s">
        <v>46</v>
      </c>
    </row>
    <row r="352" spans="1:12" x14ac:dyDescent="0.3">
      <c r="A352" t="s">
        <v>1102</v>
      </c>
      <c r="B352" t="s">
        <v>1026</v>
      </c>
      <c r="C352" t="s">
        <v>1027</v>
      </c>
      <c r="D352" t="s">
        <v>50</v>
      </c>
      <c r="E352">
        <v>6</v>
      </c>
      <c r="F352">
        <v>65</v>
      </c>
      <c r="G352" t="s">
        <v>503</v>
      </c>
      <c r="H352" t="s">
        <v>37</v>
      </c>
      <c r="I352" t="s">
        <v>19</v>
      </c>
      <c r="J352" t="s">
        <v>39</v>
      </c>
      <c r="K352" t="s">
        <v>30</v>
      </c>
      <c r="L352" t="s">
        <v>21</v>
      </c>
    </row>
    <row r="353" spans="1:12" x14ac:dyDescent="0.3">
      <c r="A353" t="s">
        <v>1106</v>
      </c>
      <c r="B353" t="s">
        <v>1029</v>
      </c>
      <c r="C353" t="s">
        <v>377</v>
      </c>
      <c r="D353" t="s">
        <v>94</v>
      </c>
      <c r="E353">
        <v>14</v>
      </c>
      <c r="F353">
        <v>63</v>
      </c>
      <c r="G353" t="s">
        <v>1030</v>
      </c>
      <c r="H353" t="s">
        <v>17</v>
      </c>
      <c r="I353" t="s">
        <v>90</v>
      </c>
      <c r="J353" t="s">
        <v>91</v>
      </c>
      <c r="K353" t="s">
        <v>66</v>
      </c>
      <c r="L353" t="s">
        <v>31</v>
      </c>
    </row>
    <row r="354" spans="1:12" x14ac:dyDescent="0.3">
      <c r="A354" t="s">
        <v>1108</v>
      </c>
      <c r="B354" t="s">
        <v>1032</v>
      </c>
      <c r="C354" t="s">
        <v>592</v>
      </c>
      <c r="D354" t="s">
        <v>35</v>
      </c>
      <c r="E354">
        <v>8</v>
      </c>
      <c r="F354">
        <v>65</v>
      </c>
      <c r="G354" t="s">
        <v>99</v>
      </c>
      <c r="H354" t="s">
        <v>27</v>
      </c>
      <c r="I354" t="s">
        <v>298</v>
      </c>
      <c r="J354" t="s">
        <v>101</v>
      </c>
      <c r="K354" t="s">
        <v>45</v>
      </c>
      <c r="L354" t="s">
        <v>46</v>
      </c>
    </row>
    <row r="355" spans="1:12" x14ac:dyDescent="0.3">
      <c r="A355" t="s">
        <v>1111</v>
      </c>
      <c r="B355" t="s">
        <v>1034</v>
      </c>
      <c r="C355" t="s">
        <v>1035</v>
      </c>
      <c r="D355" t="s">
        <v>125</v>
      </c>
      <c r="E355">
        <v>12</v>
      </c>
      <c r="F355">
        <v>53</v>
      </c>
      <c r="G355" t="s">
        <v>1036</v>
      </c>
      <c r="H355" t="s">
        <v>17</v>
      </c>
      <c r="I355" t="s">
        <v>90</v>
      </c>
      <c r="J355" t="s">
        <v>91</v>
      </c>
      <c r="K355" t="s">
        <v>45</v>
      </c>
      <c r="L355" t="s">
        <v>46</v>
      </c>
    </row>
    <row r="356" spans="1:12" x14ac:dyDescent="0.3">
      <c r="A356" t="s">
        <v>2152</v>
      </c>
      <c r="B356" t="s">
        <v>821</v>
      </c>
      <c r="C356" t="s">
        <v>738</v>
      </c>
      <c r="D356" t="s">
        <v>50</v>
      </c>
      <c r="E356">
        <v>16</v>
      </c>
      <c r="F356">
        <v>65</v>
      </c>
      <c r="G356" t="s">
        <v>388</v>
      </c>
      <c r="H356" t="s">
        <v>70</v>
      </c>
      <c r="I356" t="s">
        <v>183</v>
      </c>
      <c r="J356" t="s">
        <v>184</v>
      </c>
      <c r="K356" t="s">
        <v>20</v>
      </c>
      <c r="L356" t="s">
        <v>46</v>
      </c>
    </row>
    <row r="357" spans="1:12" x14ac:dyDescent="0.3">
      <c r="A357" t="s">
        <v>1115</v>
      </c>
      <c r="B357" t="s">
        <v>1038</v>
      </c>
      <c r="C357" t="s">
        <v>403</v>
      </c>
      <c r="D357" t="s">
        <v>19</v>
      </c>
      <c r="E357">
        <v>1</v>
      </c>
      <c r="F357">
        <v>85</v>
      </c>
      <c r="G357" t="s">
        <v>451</v>
      </c>
      <c r="H357" t="s">
        <v>70</v>
      </c>
      <c r="I357" t="s">
        <v>71</v>
      </c>
      <c r="J357" t="s">
        <v>72</v>
      </c>
      <c r="K357" t="s">
        <v>140</v>
      </c>
      <c r="L357" t="s">
        <v>421</v>
      </c>
    </row>
    <row r="358" spans="1:12" x14ac:dyDescent="0.3">
      <c r="A358" t="s">
        <v>1117</v>
      </c>
      <c r="B358" t="s">
        <v>1040</v>
      </c>
      <c r="C358" t="s">
        <v>808</v>
      </c>
      <c r="D358" t="s">
        <v>146</v>
      </c>
      <c r="E358">
        <v>20</v>
      </c>
      <c r="F358">
        <v>85</v>
      </c>
      <c r="G358" t="s">
        <v>470</v>
      </c>
      <c r="H358" t="s">
        <v>231</v>
      </c>
      <c r="I358" t="s">
        <v>151</v>
      </c>
      <c r="J358" t="s">
        <v>152</v>
      </c>
      <c r="K358" t="s">
        <v>365</v>
      </c>
      <c r="L358" t="s">
        <v>46</v>
      </c>
    </row>
    <row r="359" spans="1:12" x14ac:dyDescent="0.3">
      <c r="A359" t="s">
        <v>1118</v>
      </c>
      <c r="B359" t="s">
        <v>1041</v>
      </c>
      <c r="C359" t="s">
        <v>19</v>
      </c>
      <c r="D359" t="s">
        <v>19</v>
      </c>
      <c r="E359">
        <v>1</v>
      </c>
      <c r="F359">
        <v>60</v>
      </c>
      <c r="G359" t="s">
        <v>531</v>
      </c>
      <c r="H359" t="s">
        <v>27</v>
      </c>
      <c r="I359" t="s">
        <v>28</v>
      </c>
      <c r="J359" t="s">
        <v>29</v>
      </c>
      <c r="K359" t="s">
        <v>20</v>
      </c>
      <c r="L359" t="s">
        <v>46</v>
      </c>
    </row>
    <row r="360" spans="1:12" x14ac:dyDescent="0.3">
      <c r="A360" t="s">
        <v>1120</v>
      </c>
      <c r="B360" t="s">
        <v>1043</v>
      </c>
      <c r="C360" t="s">
        <v>136</v>
      </c>
      <c r="D360" t="s">
        <v>43</v>
      </c>
      <c r="E360">
        <v>12</v>
      </c>
      <c r="F360">
        <v>95</v>
      </c>
      <c r="G360" t="s">
        <v>340</v>
      </c>
      <c r="H360" t="s">
        <v>37</v>
      </c>
      <c r="I360" t="s">
        <v>83</v>
      </c>
      <c r="J360" t="s">
        <v>84</v>
      </c>
      <c r="K360" t="s">
        <v>158</v>
      </c>
      <c r="L360" t="s">
        <v>421</v>
      </c>
    </row>
    <row r="361" spans="1:12" x14ac:dyDescent="0.3">
      <c r="A361" t="s">
        <v>1123</v>
      </c>
      <c r="B361" t="s">
        <v>1045</v>
      </c>
      <c r="C361" t="s">
        <v>244</v>
      </c>
      <c r="D361" t="s">
        <v>281</v>
      </c>
      <c r="E361">
        <v>16</v>
      </c>
      <c r="F361">
        <v>70</v>
      </c>
      <c r="G361" t="s">
        <v>178</v>
      </c>
      <c r="H361" t="s">
        <v>37</v>
      </c>
      <c r="I361" t="s">
        <v>225</v>
      </c>
      <c r="J361" t="s">
        <v>226</v>
      </c>
      <c r="K361" t="s">
        <v>2190</v>
      </c>
      <c r="L361" t="s">
        <v>21</v>
      </c>
    </row>
    <row r="362" spans="1:12" x14ac:dyDescent="0.3">
      <c r="A362" t="s">
        <v>1125</v>
      </c>
      <c r="B362" t="s">
        <v>958</v>
      </c>
      <c r="C362" t="s">
        <v>473</v>
      </c>
      <c r="D362" t="s">
        <v>169</v>
      </c>
      <c r="E362">
        <v>4</v>
      </c>
      <c r="F362">
        <v>75</v>
      </c>
      <c r="G362" t="s">
        <v>446</v>
      </c>
      <c r="H362" t="s">
        <v>17</v>
      </c>
      <c r="I362" t="s">
        <v>90</v>
      </c>
      <c r="J362" t="s">
        <v>91</v>
      </c>
      <c r="K362" t="s">
        <v>66</v>
      </c>
      <c r="L362" t="s">
        <v>46</v>
      </c>
    </row>
    <row r="363" spans="1:12" x14ac:dyDescent="0.3">
      <c r="A363" t="s">
        <v>1129</v>
      </c>
      <c r="B363" t="s">
        <v>1048</v>
      </c>
      <c r="C363" t="s">
        <v>190</v>
      </c>
      <c r="D363" t="s">
        <v>25</v>
      </c>
      <c r="E363">
        <v>2</v>
      </c>
      <c r="F363">
        <v>60</v>
      </c>
      <c r="G363" t="s">
        <v>78</v>
      </c>
      <c r="H363" t="s">
        <v>27</v>
      </c>
      <c r="I363" t="s">
        <v>28</v>
      </c>
      <c r="J363" t="s">
        <v>29</v>
      </c>
      <c r="K363" t="s">
        <v>30</v>
      </c>
      <c r="L363" t="s">
        <v>21</v>
      </c>
    </row>
    <row r="364" spans="1:12" x14ac:dyDescent="0.3">
      <c r="A364" t="s">
        <v>1131</v>
      </c>
      <c r="B364" t="s">
        <v>1050</v>
      </c>
      <c r="C364" t="s">
        <v>645</v>
      </c>
      <c r="D364" t="s">
        <v>94</v>
      </c>
      <c r="E364">
        <v>14</v>
      </c>
      <c r="F364">
        <v>68</v>
      </c>
      <c r="G364" t="s">
        <v>313</v>
      </c>
      <c r="H364" t="s">
        <v>70</v>
      </c>
      <c r="I364" t="s">
        <v>183</v>
      </c>
      <c r="J364" t="s">
        <v>184</v>
      </c>
      <c r="K364" t="s">
        <v>60</v>
      </c>
      <c r="L364" t="s">
        <v>46</v>
      </c>
    </row>
    <row r="365" spans="1:12" x14ac:dyDescent="0.3">
      <c r="A365" t="s">
        <v>1133</v>
      </c>
      <c r="B365" t="s">
        <v>1052</v>
      </c>
      <c r="C365" t="s">
        <v>645</v>
      </c>
      <c r="D365" t="s">
        <v>922</v>
      </c>
      <c r="E365">
        <v>18</v>
      </c>
      <c r="F365">
        <v>80</v>
      </c>
      <c r="G365" t="s">
        <v>523</v>
      </c>
      <c r="H365" t="s">
        <v>17</v>
      </c>
      <c r="I365" t="s">
        <v>90</v>
      </c>
      <c r="J365" t="s">
        <v>91</v>
      </c>
      <c r="K365" t="s">
        <v>30</v>
      </c>
      <c r="L365" t="s">
        <v>31</v>
      </c>
    </row>
    <row r="366" spans="1:12" x14ac:dyDescent="0.3">
      <c r="A366" t="s">
        <v>1135</v>
      </c>
      <c r="B366" t="s">
        <v>1054</v>
      </c>
      <c r="C366" t="s">
        <v>316</v>
      </c>
      <c r="D366" t="s">
        <v>15</v>
      </c>
      <c r="E366">
        <v>7</v>
      </c>
      <c r="F366">
        <v>50</v>
      </c>
      <c r="G366" t="s">
        <v>205</v>
      </c>
      <c r="H366" t="s">
        <v>37</v>
      </c>
      <c r="I366" t="s">
        <v>38</v>
      </c>
      <c r="J366" t="s">
        <v>39</v>
      </c>
      <c r="K366" t="s">
        <v>66</v>
      </c>
      <c r="L366" t="s">
        <v>31</v>
      </c>
    </row>
    <row r="367" spans="1:12" x14ac:dyDescent="0.3">
      <c r="A367" t="s">
        <v>1137</v>
      </c>
      <c r="B367" t="s">
        <v>1056</v>
      </c>
      <c r="C367" t="s">
        <v>716</v>
      </c>
      <c r="D367" t="s">
        <v>43</v>
      </c>
      <c r="E367">
        <v>5</v>
      </c>
      <c r="F367">
        <v>90</v>
      </c>
      <c r="G367" t="s">
        <v>137</v>
      </c>
      <c r="H367" t="s">
        <v>17</v>
      </c>
      <c r="I367" t="s">
        <v>18</v>
      </c>
      <c r="J367" t="s">
        <v>65</v>
      </c>
      <c r="K367" t="s">
        <v>20</v>
      </c>
      <c r="L367" t="s">
        <v>31</v>
      </c>
    </row>
    <row r="368" spans="1:12" x14ac:dyDescent="0.3">
      <c r="A368" t="s">
        <v>1139</v>
      </c>
      <c r="B368" t="s">
        <v>342</v>
      </c>
      <c r="C368" t="s">
        <v>1057</v>
      </c>
      <c r="D368" t="s">
        <v>169</v>
      </c>
      <c r="E368">
        <v>4</v>
      </c>
      <c r="F368" t="s">
        <v>19</v>
      </c>
      <c r="G368" t="s">
        <v>446</v>
      </c>
      <c r="H368" t="s">
        <v>17</v>
      </c>
      <c r="I368" t="s">
        <v>90</v>
      </c>
      <c r="J368" t="s">
        <v>91</v>
      </c>
      <c r="K368" t="s">
        <v>436</v>
      </c>
      <c r="L368" t="s">
        <v>21</v>
      </c>
    </row>
    <row r="369" spans="1:12" x14ac:dyDescent="0.3">
      <c r="A369" t="s">
        <v>1142</v>
      </c>
      <c r="B369" t="s">
        <v>1059</v>
      </c>
      <c r="C369" t="s">
        <v>496</v>
      </c>
      <c r="D369" t="s">
        <v>25</v>
      </c>
      <c r="E369">
        <v>4</v>
      </c>
      <c r="F369">
        <v>50</v>
      </c>
      <c r="G369" t="s">
        <v>1060</v>
      </c>
      <c r="H369" t="s">
        <v>17</v>
      </c>
      <c r="I369" t="s">
        <v>18</v>
      </c>
      <c r="J369" t="s">
        <v>65</v>
      </c>
      <c r="K369" t="s">
        <v>436</v>
      </c>
      <c r="L369" t="s">
        <v>19</v>
      </c>
    </row>
    <row r="370" spans="1:12" x14ac:dyDescent="0.3">
      <c r="A370" t="s">
        <v>1144</v>
      </c>
      <c r="B370" t="s">
        <v>1062</v>
      </c>
      <c r="C370" t="s">
        <v>120</v>
      </c>
      <c r="D370" t="s">
        <v>43</v>
      </c>
      <c r="E370">
        <v>2</v>
      </c>
      <c r="F370">
        <v>90</v>
      </c>
      <c r="G370" t="s">
        <v>26</v>
      </c>
      <c r="H370" t="s">
        <v>17</v>
      </c>
      <c r="I370" t="s">
        <v>18</v>
      </c>
      <c r="J370" t="s">
        <v>65</v>
      </c>
      <c r="K370" t="s">
        <v>20</v>
      </c>
      <c r="L370" t="s">
        <v>46</v>
      </c>
    </row>
    <row r="371" spans="1:12" x14ac:dyDescent="0.3">
      <c r="A371" t="s">
        <v>1146</v>
      </c>
      <c r="B371" t="s">
        <v>1064</v>
      </c>
      <c r="C371" t="s">
        <v>244</v>
      </c>
      <c r="D371" t="s">
        <v>169</v>
      </c>
      <c r="E371">
        <v>9</v>
      </c>
      <c r="F371">
        <v>80</v>
      </c>
      <c r="G371" t="s">
        <v>418</v>
      </c>
      <c r="H371" t="s">
        <v>37</v>
      </c>
      <c r="I371" t="s">
        <v>83</v>
      </c>
      <c r="J371" t="s">
        <v>84</v>
      </c>
      <c r="K371" t="s">
        <v>158</v>
      </c>
      <c r="L371" t="s">
        <v>46</v>
      </c>
    </row>
    <row r="372" spans="1:12" x14ac:dyDescent="0.3">
      <c r="A372" t="s">
        <v>1148</v>
      </c>
      <c r="B372" t="s">
        <v>1064</v>
      </c>
      <c r="C372" t="s">
        <v>244</v>
      </c>
      <c r="D372" t="s">
        <v>169</v>
      </c>
      <c r="E372">
        <v>9</v>
      </c>
      <c r="F372">
        <v>80</v>
      </c>
      <c r="G372" t="s">
        <v>418</v>
      </c>
      <c r="H372" t="s">
        <v>37</v>
      </c>
      <c r="I372" t="s">
        <v>83</v>
      </c>
      <c r="J372" t="s">
        <v>84</v>
      </c>
      <c r="K372" t="s">
        <v>158</v>
      </c>
      <c r="L372" t="s">
        <v>46</v>
      </c>
    </row>
    <row r="373" spans="1:12" x14ac:dyDescent="0.3">
      <c r="A373" t="s">
        <v>1151</v>
      </c>
      <c r="B373" t="s">
        <v>1066</v>
      </c>
      <c r="C373" t="s">
        <v>1067</v>
      </c>
      <c r="D373" t="s">
        <v>169</v>
      </c>
      <c r="E373">
        <v>5</v>
      </c>
      <c r="F373">
        <v>80</v>
      </c>
      <c r="G373" t="s">
        <v>293</v>
      </c>
      <c r="H373" t="s">
        <v>37</v>
      </c>
      <c r="I373" t="s">
        <v>368</v>
      </c>
      <c r="J373" t="s">
        <v>226</v>
      </c>
      <c r="K373" t="s">
        <v>20</v>
      </c>
      <c r="L373" t="s">
        <v>46</v>
      </c>
    </row>
    <row r="374" spans="1:12" x14ac:dyDescent="0.3">
      <c r="A374" t="s">
        <v>1152</v>
      </c>
      <c r="B374" t="s">
        <v>1068</v>
      </c>
      <c r="C374" t="s">
        <v>1011</v>
      </c>
      <c r="D374" t="s">
        <v>281</v>
      </c>
      <c r="E374">
        <v>12</v>
      </c>
      <c r="F374">
        <v>65</v>
      </c>
      <c r="G374" t="s">
        <v>574</v>
      </c>
      <c r="H374" t="s">
        <v>17</v>
      </c>
      <c r="I374" t="s">
        <v>90</v>
      </c>
      <c r="J374" t="s">
        <v>91</v>
      </c>
      <c r="K374" t="s">
        <v>30</v>
      </c>
      <c r="L374" t="s">
        <v>21</v>
      </c>
    </row>
    <row r="375" spans="1:12" x14ac:dyDescent="0.3">
      <c r="A375" t="s">
        <v>1154</v>
      </c>
      <c r="B375" t="s">
        <v>1070</v>
      </c>
      <c r="C375" t="s">
        <v>845</v>
      </c>
      <c r="D375" t="s">
        <v>19</v>
      </c>
      <c r="E375">
        <v>18</v>
      </c>
      <c r="F375">
        <v>95</v>
      </c>
      <c r="G375" t="s">
        <v>191</v>
      </c>
      <c r="H375" t="s">
        <v>70</v>
      </c>
      <c r="I375" t="s">
        <v>71</v>
      </c>
      <c r="J375" t="s">
        <v>72</v>
      </c>
      <c r="K375" t="s">
        <v>73</v>
      </c>
      <c r="L375" t="s">
        <v>31</v>
      </c>
    </row>
    <row r="376" spans="1:12" x14ac:dyDescent="0.3">
      <c r="A376" t="s">
        <v>1156</v>
      </c>
      <c r="B376" t="s">
        <v>1072</v>
      </c>
      <c r="C376" t="s">
        <v>520</v>
      </c>
      <c r="D376" t="s">
        <v>35</v>
      </c>
      <c r="E376">
        <v>14</v>
      </c>
      <c r="F376">
        <v>60</v>
      </c>
      <c r="G376" t="s">
        <v>1073</v>
      </c>
      <c r="H376" t="s">
        <v>37</v>
      </c>
      <c r="I376" t="s">
        <v>83</v>
      </c>
      <c r="J376" t="s">
        <v>140</v>
      </c>
      <c r="K376" t="s">
        <v>158</v>
      </c>
      <c r="L376" t="s">
        <v>345</v>
      </c>
    </row>
    <row r="377" spans="1:12" x14ac:dyDescent="0.3">
      <c r="A377" t="s">
        <v>2153</v>
      </c>
      <c r="B377" t="s">
        <v>1075</v>
      </c>
      <c r="C377" t="s">
        <v>515</v>
      </c>
      <c r="D377" t="s">
        <v>43</v>
      </c>
      <c r="E377">
        <v>19</v>
      </c>
      <c r="F377">
        <v>100</v>
      </c>
      <c r="G377" t="s">
        <v>302</v>
      </c>
      <c r="H377" t="s">
        <v>27</v>
      </c>
      <c r="I377" t="s">
        <v>28</v>
      </c>
      <c r="J377" t="s">
        <v>29</v>
      </c>
      <c r="K377" t="s">
        <v>20</v>
      </c>
      <c r="L377" t="s">
        <v>46</v>
      </c>
    </row>
    <row r="378" spans="1:12" x14ac:dyDescent="0.3">
      <c r="A378" t="s">
        <v>1160</v>
      </c>
      <c r="B378" t="s">
        <v>1075</v>
      </c>
      <c r="C378" t="s">
        <v>515</v>
      </c>
      <c r="D378" t="s">
        <v>43</v>
      </c>
      <c r="E378">
        <v>19</v>
      </c>
      <c r="F378">
        <v>100</v>
      </c>
      <c r="G378" t="s">
        <v>302</v>
      </c>
      <c r="H378" t="s">
        <v>27</v>
      </c>
      <c r="I378" t="s">
        <v>28</v>
      </c>
      <c r="J378" t="s">
        <v>29</v>
      </c>
      <c r="K378" t="s">
        <v>20</v>
      </c>
      <c r="L378" t="s">
        <v>46</v>
      </c>
    </row>
    <row r="379" spans="1:12" x14ac:dyDescent="0.3">
      <c r="A379" t="s">
        <v>1162</v>
      </c>
      <c r="B379" t="s">
        <v>1076</v>
      </c>
      <c r="C379" t="s">
        <v>722</v>
      </c>
      <c r="D379" t="s">
        <v>125</v>
      </c>
      <c r="E379">
        <v>20</v>
      </c>
      <c r="F379">
        <v>53</v>
      </c>
      <c r="G379" t="s">
        <v>1077</v>
      </c>
      <c r="H379" t="s">
        <v>17</v>
      </c>
      <c r="I379" t="s">
        <v>90</v>
      </c>
      <c r="J379" t="s">
        <v>19</v>
      </c>
      <c r="K379" t="s">
        <v>60</v>
      </c>
      <c r="L379" t="s">
        <v>31</v>
      </c>
    </row>
    <row r="380" spans="1:12" x14ac:dyDescent="0.3">
      <c r="A380" t="s">
        <v>1163</v>
      </c>
      <c r="B380" t="s">
        <v>1079</v>
      </c>
      <c r="C380" t="s">
        <v>808</v>
      </c>
      <c r="D380" t="s">
        <v>281</v>
      </c>
      <c r="E380">
        <v>18</v>
      </c>
      <c r="F380">
        <v>70</v>
      </c>
      <c r="G380" t="s">
        <v>760</v>
      </c>
      <c r="H380" t="s">
        <v>70</v>
      </c>
      <c r="I380" t="s">
        <v>71</v>
      </c>
      <c r="J380" t="s">
        <v>72</v>
      </c>
      <c r="K380" t="s">
        <v>73</v>
      </c>
      <c r="L380" t="s">
        <v>46</v>
      </c>
    </row>
    <row r="381" spans="1:12" x14ac:dyDescent="0.3">
      <c r="A381" t="s">
        <v>1166</v>
      </c>
      <c r="B381" t="s">
        <v>1081</v>
      </c>
      <c r="C381" t="s">
        <v>177</v>
      </c>
      <c r="D381" t="s">
        <v>25</v>
      </c>
      <c r="E381">
        <v>8</v>
      </c>
      <c r="F381">
        <v>50</v>
      </c>
      <c r="G381" t="s">
        <v>1082</v>
      </c>
      <c r="H381" t="s">
        <v>17</v>
      </c>
      <c r="I381" t="s">
        <v>1083</v>
      </c>
      <c r="J381" t="s">
        <v>65</v>
      </c>
      <c r="K381" t="s">
        <v>66</v>
      </c>
      <c r="L381" t="s">
        <v>46</v>
      </c>
    </row>
    <row r="382" spans="1:12" x14ac:dyDescent="0.3">
      <c r="A382" t="s">
        <v>1167</v>
      </c>
      <c r="B382" t="s">
        <v>1085</v>
      </c>
      <c r="C382" t="s">
        <v>722</v>
      </c>
      <c r="D382" t="s">
        <v>281</v>
      </c>
      <c r="E382">
        <v>17</v>
      </c>
      <c r="F382">
        <v>70</v>
      </c>
      <c r="G382" t="s">
        <v>688</v>
      </c>
      <c r="H382" t="s">
        <v>70</v>
      </c>
      <c r="I382" t="s">
        <v>151</v>
      </c>
      <c r="J382" t="s">
        <v>152</v>
      </c>
      <c r="K382" t="s">
        <v>153</v>
      </c>
      <c r="L382" t="s">
        <v>31</v>
      </c>
    </row>
    <row r="383" spans="1:12" x14ac:dyDescent="0.3">
      <c r="A383" t="s">
        <v>1168</v>
      </c>
      <c r="B383" t="s">
        <v>140</v>
      </c>
      <c r="C383" t="s">
        <v>403</v>
      </c>
      <c r="D383" t="s">
        <v>140</v>
      </c>
      <c r="E383">
        <v>6</v>
      </c>
      <c r="F383">
        <v>80</v>
      </c>
      <c r="G383" t="s">
        <v>143</v>
      </c>
      <c r="H383" t="s">
        <v>37</v>
      </c>
      <c r="I383" t="s">
        <v>38</v>
      </c>
      <c r="J383" t="s">
        <v>19</v>
      </c>
      <c r="K383" t="s">
        <v>711</v>
      </c>
      <c r="L383" t="s">
        <v>31</v>
      </c>
    </row>
    <row r="384" spans="1:12" x14ac:dyDescent="0.3">
      <c r="A384" t="s">
        <v>1170</v>
      </c>
      <c r="B384" t="s">
        <v>1088</v>
      </c>
      <c r="C384" t="s">
        <v>841</v>
      </c>
      <c r="D384" t="s">
        <v>43</v>
      </c>
      <c r="E384">
        <v>5</v>
      </c>
      <c r="F384" t="s">
        <v>19</v>
      </c>
      <c r="G384" t="s">
        <v>137</v>
      </c>
      <c r="H384" t="s">
        <v>17</v>
      </c>
      <c r="I384" t="s">
        <v>18</v>
      </c>
      <c r="J384" t="s">
        <v>65</v>
      </c>
      <c r="K384" t="s">
        <v>45</v>
      </c>
      <c r="L384" t="s">
        <v>46</v>
      </c>
    </row>
    <row r="385" spans="1:12" x14ac:dyDescent="0.3">
      <c r="A385" t="s">
        <v>1172</v>
      </c>
      <c r="B385" t="s">
        <v>1089</v>
      </c>
      <c r="C385" t="s">
        <v>234</v>
      </c>
      <c r="D385" t="s">
        <v>35</v>
      </c>
      <c r="E385">
        <v>2</v>
      </c>
      <c r="F385">
        <v>60</v>
      </c>
      <c r="G385" t="s">
        <v>78</v>
      </c>
      <c r="H385" t="s">
        <v>37</v>
      </c>
      <c r="I385" t="s">
        <v>38</v>
      </c>
      <c r="J385" t="s">
        <v>39</v>
      </c>
      <c r="K385" t="s">
        <v>45</v>
      </c>
      <c r="L385" t="s">
        <v>21</v>
      </c>
    </row>
    <row r="386" spans="1:12" x14ac:dyDescent="0.3">
      <c r="A386" t="s">
        <v>1174</v>
      </c>
      <c r="B386" t="s">
        <v>1091</v>
      </c>
      <c r="C386" t="s">
        <v>1092</v>
      </c>
      <c r="D386" t="s">
        <v>281</v>
      </c>
      <c r="E386">
        <v>10</v>
      </c>
      <c r="F386">
        <v>75</v>
      </c>
      <c r="G386" t="s">
        <v>944</v>
      </c>
      <c r="H386" t="s">
        <v>27</v>
      </c>
      <c r="I386" t="s">
        <v>28</v>
      </c>
      <c r="J386" t="s">
        <v>79</v>
      </c>
      <c r="K386" t="s">
        <v>54</v>
      </c>
      <c r="L386" t="s">
        <v>421</v>
      </c>
    </row>
    <row r="387" spans="1:12" x14ac:dyDescent="0.3">
      <c r="A387" t="s">
        <v>1177</v>
      </c>
      <c r="B387" t="s">
        <v>413</v>
      </c>
      <c r="C387" t="s">
        <v>1094</v>
      </c>
      <c r="D387" t="s">
        <v>43</v>
      </c>
      <c r="E387">
        <v>20</v>
      </c>
      <c r="F387">
        <v>95</v>
      </c>
      <c r="G387" t="s">
        <v>302</v>
      </c>
      <c r="H387" t="s">
        <v>70</v>
      </c>
      <c r="I387" t="s">
        <v>19</v>
      </c>
      <c r="J387" t="s">
        <v>152</v>
      </c>
      <c r="K387" t="s">
        <v>153</v>
      </c>
      <c r="L387" t="s">
        <v>21</v>
      </c>
    </row>
    <row r="388" spans="1:12" x14ac:dyDescent="0.3">
      <c r="A388" t="s">
        <v>1179</v>
      </c>
      <c r="B388" t="s">
        <v>413</v>
      </c>
      <c r="C388" t="s">
        <v>1094</v>
      </c>
      <c r="D388" t="s">
        <v>43</v>
      </c>
      <c r="E388">
        <v>20</v>
      </c>
      <c r="F388">
        <v>95</v>
      </c>
      <c r="G388" t="s">
        <v>302</v>
      </c>
      <c r="H388" t="s">
        <v>70</v>
      </c>
      <c r="I388" t="s">
        <v>151</v>
      </c>
      <c r="J388" t="s">
        <v>152</v>
      </c>
      <c r="K388" t="s">
        <v>153</v>
      </c>
      <c r="L388" t="s">
        <v>21</v>
      </c>
    </row>
    <row r="389" spans="1:12" x14ac:dyDescent="0.3">
      <c r="A389" t="s">
        <v>1181</v>
      </c>
      <c r="B389" t="s">
        <v>1096</v>
      </c>
      <c r="C389" t="s">
        <v>621</v>
      </c>
      <c r="D389" t="s">
        <v>94</v>
      </c>
      <c r="E389">
        <v>17</v>
      </c>
      <c r="F389">
        <v>73</v>
      </c>
      <c r="G389" t="s">
        <v>1097</v>
      </c>
      <c r="H389" t="s">
        <v>27</v>
      </c>
      <c r="I389" t="s">
        <v>28</v>
      </c>
      <c r="J389" t="s">
        <v>79</v>
      </c>
      <c r="K389" t="s">
        <v>54</v>
      </c>
      <c r="L389" t="s">
        <v>46</v>
      </c>
    </row>
    <row r="390" spans="1:12" x14ac:dyDescent="0.3">
      <c r="A390" t="s">
        <v>1183</v>
      </c>
      <c r="B390" t="s">
        <v>1096</v>
      </c>
      <c r="C390" t="s">
        <v>621</v>
      </c>
      <c r="D390" t="s">
        <v>94</v>
      </c>
      <c r="E390">
        <v>17</v>
      </c>
      <c r="F390">
        <v>73</v>
      </c>
      <c r="G390" t="s">
        <v>1097</v>
      </c>
      <c r="H390" t="s">
        <v>27</v>
      </c>
      <c r="I390" t="s">
        <v>28</v>
      </c>
      <c r="J390" t="s">
        <v>79</v>
      </c>
      <c r="K390" t="s">
        <v>54</v>
      </c>
      <c r="L390" t="s">
        <v>46</v>
      </c>
    </row>
    <row r="391" spans="1:12" x14ac:dyDescent="0.3">
      <c r="A391" t="s">
        <v>1185</v>
      </c>
      <c r="B391" t="s">
        <v>1052</v>
      </c>
      <c r="C391" t="s">
        <v>133</v>
      </c>
      <c r="D391" t="s">
        <v>35</v>
      </c>
      <c r="E391" t="s">
        <v>19</v>
      </c>
      <c r="F391">
        <v>60</v>
      </c>
      <c r="G391" t="s">
        <v>662</v>
      </c>
      <c r="H391" t="s">
        <v>70</v>
      </c>
      <c r="I391" t="s">
        <v>183</v>
      </c>
      <c r="J391" t="s">
        <v>184</v>
      </c>
      <c r="K391" t="s">
        <v>30</v>
      </c>
      <c r="L391" t="s">
        <v>21</v>
      </c>
    </row>
    <row r="392" spans="1:12" x14ac:dyDescent="0.3">
      <c r="A392" t="s">
        <v>1187</v>
      </c>
      <c r="B392" t="s">
        <v>1100</v>
      </c>
      <c r="C392" t="s">
        <v>187</v>
      </c>
      <c r="D392" t="s">
        <v>94</v>
      </c>
      <c r="E392">
        <v>14</v>
      </c>
      <c r="F392">
        <v>68</v>
      </c>
      <c r="G392" t="s">
        <v>1101</v>
      </c>
      <c r="H392" t="s">
        <v>37</v>
      </c>
      <c r="I392" t="s">
        <v>225</v>
      </c>
      <c r="J392" t="s">
        <v>226</v>
      </c>
      <c r="K392" t="s">
        <v>60</v>
      </c>
      <c r="L392" t="s">
        <v>46</v>
      </c>
    </row>
    <row r="393" spans="1:12" x14ac:dyDescent="0.3">
      <c r="A393" t="s">
        <v>1189</v>
      </c>
      <c r="B393" t="s">
        <v>1103</v>
      </c>
      <c r="C393" t="s">
        <v>1104</v>
      </c>
      <c r="D393" t="s">
        <v>146</v>
      </c>
      <c r="E393">
        <v>17</v>
      </c>
      <c r="F393">
        <v>85</v>
      </c>
      <c r="G393" t="s">
        <v>1105</v>
      </c>
      <c r="H393" t="s">
        <v>70</v>
      </c>
      <c r="I393" t="s">
        <v>183</v>
      </c>
      <c r="J393" t="s">
        <v>184</v>
      </c>
      <c r="K393" t="s">
        <v>66</v>
      </c>
      <c r="L393" t="s">
        <v>31</v>
      </c>
    </row>
    <row r="394" spans="1:12" x14ac:dyDescent="0.3">
      <c r="A394" t="s">
        <v>1192</v>
      </c>
      <c r="B394" t="s">
        <v>140</v>
      </c>
      <c r="C394" t="s">
        <v>1107</v>
      </c>
      <c r="D394" t="s">
        <v>50</v>
      </c>
      <c r="E394">
        <v>17</v>
      </c>
      <c r="F394">
        <v>60</v>
      </c>
      <c r="G394" t="s">
        <v>662</v>
      </c>
      <c r="H394" t="s">
        <v>17</v>
      </c>
      <c r="I394" t="s">
        <v>18</v>
      </c>
      <c r="J394" t="s">
        <v>65</v>
      </c>
      <c r="K394" t="s">
        <v>30</v>
      </c>
      <c r="L394" t="s">
        <v>21</v>
      </c>
    </row>
    <row r="395" spans="1:12" x14ac:dyDescent="0.3">
      <c r="A395" t="s">
        <v>2154</v>
      </c>
      <c r="B395" t="s">
        <v>1109</v>
      </c>
      <c r="C395" t="s">
        <v>403</v>
      </c>
      <c r="D395" t="s">
        <v>15</v>
      </c>
      <c r="E395">
        <v>2</v>
      </c>
      <c r="F395">
        <v>55</v>
      </c>
      <c r="G395" t="s">
        <v>1110</v>
      </c>
      <c r="H395" t="s">
        <v>27</v>
      </c>
      <c r="I395" t="s">
        <v>100</v>
      </c>
      <c r="J395" t="s">
        <v>101</v>
      </c>
      <c r="K395" t="s">
        <v>66</v>
      </c>
      <c r="L395" t="s">
        <v>31</v>
      </c>
    </row>
    <row r="396" spans="1:12" x14ac:dyDescent="0.3">
      <c r="A396" t="s">
        <v>1195</v>
      </c>
      <c r="B396" t="s">
        <v>1112</v>
      </c>
      <c r="C396" t="s">
        <v>902</v>
      </c>
      <c r="D396" t="s">
        <v>50</v>
      </c>
      <c r="E396">
        <v>20</v>
      </c>
      <c r="F396">
        <v>65</v>
      </c>
      <c r="G396" t="s">
        <v>1113</v>
      </c>
      <c r="H396" t="s">
        <v>70</v>
      </c>
      <c r="I396" t="s">
        <v>151</v>
      </c>
      <c r="J396" t="s">
        <v>188</v>
      </c>
      <c r="K396" t="s">
        <v>30</v>
      </c>
      <c r="L396" t="s">
        <v>21</v>
      </c>
    </row>
    <row r="397" spans="1:12" x14ac:dyDescent="0.3">
      <c r="A397" t="s">
        <v>1199</v>
      </c>
      <c r="B397" t="s">
        <v>1114</v>
      </c>
      <c r="C397" t="s">
        <v>310</v>
      </c>
      <c r="D397" t="s">
        <v>146</v>
      </c>
      <c r="E397">
        <v>1</v>
      </c>
      <c r="F397" t="s">
        <v>19</v>
      </c>
      <c r="G397" t="s">
        <v>277</v>
      </c>
      <c r="H397" t="s">
        <v>17</v>
      </c>
      <c r="I397" t="s">
        <v>90</v>
      </c>
      <c r="J397" t="s">
        <v>91</v>
      </c>
      <c r="K397" t="s">
        <v>60</v>
      </c>
      <c r="L397" t="s">
        <v>46</v>
      </c>
    </row>
    <row r="398" spans="1:12" x14ac:dyDescent="0.3">
      <c r="A398" t="s">
        <v>1202</v>
      </c>
      <c r="B398" t="s">
        <v>768</v>
      </c>
      <c r="C398" t="s">
        <v>229</v>
      </c>
      <c r="D398" t="s">
        <v>281</v>
      </c>
      <c r="E398">
        <v>9</v>
      </c>
      <c r="F398">
        <v>75</v>
      </c>
      <c r="G398" t="s">
        <v>1116</v>
      </c>
      <c r="H398" t="s">
        <v>27</v>
      </c>
      <c r="I398" t="s">
        <v>28</v>
      </c>
      <c r="J398" t="s">
        <v>29</v>
      </c>
      <c r="K398" t="s">
        <v>66</v>
      </c>
      <c r="L398" t="s">
        <v>31</v>
      </c>
    </row>
    <row r="399" spans="1:12" x14ac:dyDescent="0.3">
      <c r="A399" t="s">
        <v>2155</v>
      </c>
      <c r="B399" t="s">
        <v>19</v>
      </c>
      <c r="C399" t="s">
        <v>133</v>
      </c>
      <c r="D399" t="s">
        <v>35</v>
      </c>
      <c r="E399">
        <v>17</v>
      </c>
      <c r="F399">
        <v>55</v>
      </c>
      <c r="G399" t="s">
        <v>399</v>
      </c>
      <c r="H399" t="s">
        <v>17</v>
      </c>
      <c r="I399" t="s">
        <v>90</v>
      </c>
      <c r="J399" t="s">
        <v>91</v>
      </c>
      <c r="K399" t="s">
        <v>60</v>
      </c>
      <c r="L399" t="s">
        <v>21</v>
      </c>
    </row>
    <row r="400" spans="1:12" x14ac:dyDescent="0.3">
      <c r="A400" t="s">
        <v>1206</v>
      </c>
      <c r="B400" t="s">
        <v>1119</v>
      </c>
      <c r="C400" t="s">
        <v>1002</v>
      </c>
      <c r="D400" t="s">
        <v>25</v>
      </c>
      <c r="E400">
        <v>8</v>
      </c>
      <c r="F400" t="s">
        <v>19</v>
      </c>
      <c r="G400" t="s">
        <v>293</v>
      </c>
      <c r="H400" t="s">
        <v>17</v>
      </c>
      <c r="I400" t="s">
        <v>18</v>
      </c>
      <c r="J400" t="s">
        <v>65</v>
      </c>
      <c r="K400" t="s">
        <v>30</v>
      </c>
      <c r="L400" t="s">
        <v>46</v>
      </c>
    </row>
    <row r="401" spans="1:12" x14ac:dyDescent="0.3">
      <c r="A401" t="s">
        <v>1209</v>
      </c>
      <c r="B401" t="s">
        <v>1121</v>
      </c>
      <c r="C401" t="s">
        <v>645</v>
      </c>
      <c r="D401" t="s">
        <v>146</v>
      </c>
      <c r="E401">
        <v>10</v>
      </c>
      <c r="F401">
        <v>80</v>
      </c>
      <c r="G401" t="s">
        <v>1122</v>
      </c>
      <c r="H401" t="s">
        <v>17</v>
      </c>
      <c r="I401" t="s">
        <v>90</v>
      </c>
      <c r="J401" t="s">
        <v>91</v>
      </c>
      <c r="K401" t="s">
        <v>66</v>
      </c>
      <c r="L401" t="s">
        <v>21</v>
      </c>
    </row>
    <row r="402" spans="1:12" x14ac:dyDescent="0.3">
      <c r="A402" t="s">
        <v>1211</v>
      </c>
      <c r="B402" t="s">
        <v>1124</v>
      </c>
      <c r="C402" t="s">
        <v>1092</v>
      </c>
      <c r="D402" t="s">
        <v>146</v>
      </c>
      <c r="E402">
        <v>13</v>
      </c>
      <c r="F402">
        <v>80</v>
      </c>
      <c r="G402" t="s">
        <v>388</v>
      </c>
      <c r="H402" t="s">
        <v>17</v>
      </c>
      <c r="I402" t="s">
        <v>18</v>
      </c>
      <c r="J402" t="s">
        <v>65</v>
      </c>
      <c r="K402" t="s">
        <v>20</v>
      </c>
      <c r="L402" t="s">
        <v>31</v>
      </c>
    </row>
    <row r="403" spans="1:12" x14ac:dyDescent="0.3">
      <c r="A403" t="s">
        <v>1213</v>
      </c>
      <c r="B403" t="s">
        <v>1126</v>
      </c>
      <c r="C403" t="s">
        <v>1127</v>
      </c>
      <c r="D403" t="s">
        <v>43</v>
      </c>
      <c r="E403">
        <v>15</v>
      </c>
      <c r="F403">
        <v>95</v>
      </c>
      <c r="G403" t="s">
        <v>1128</v>
      </c>
      <c r="H403" t="s">
        <v>19</v>
      </c>
      <c r="I403" t="s">
        <v>225</v>
      </c>
      <c r="J403" t="s">
        <v>226</v>
      </c>
      <c r="K403" t="s">
        <v>20</v>
      </c>
      <c r="L403" t="s">
        <v>46</v>
      </c>
    </row>
    <row r="404" spans="1:12" x14ac:dyDescent="0.3">
      <c r="A404" t="s">
        <v>1215</v>
      </c>
      <c r="B404" t="s">
        <v>1130</v>
      </c>
      <c r="C404" t="s">
        <v>600</v>
      </c>
      <c r="D404" t="s">
        <v>35</v>
      </c>
      <c r="E404">
        <v>9</v>
      </c>
      <c r="F404">
        <v>55</v>
      </c>
      <c r="G404" t="s">
        <v>114</v>
      </c>
      <c r="H404" t="s">
        <v>17</v>
      </c>
      <c r="I404" t="s">
        <v>90</v>
      </c>
      <c r="J404" t="s">
        <v>91</v>
      </c>
      <c r="K404" t="s">
        <v>140</v>
      </c>
      <c r="L404" t="s">
        <v>31</v>
      </c>
    </row>
    <row r="405" spans="1:12" x14ac:dyDescent="0.3">
      <c r="A405" t="s">
        <v>1218</v>
      </c>
      <c r="B405" t="s">
        <v>1132</v>
      </c>
      <c r="C405" t="s">
        <v>289</v>
      </c>
      <c r="D405" t="s">
        <v>15</v>
      </c>
      <c r="E405">
        <v>18</v>
      </c>
      <c r="F405">
        <v>50</v>
      </c>
      <c r="G405" t="s">
        <v>36</v>
      </c>
      <c r="H405" t="s">
        <v>70</v>
      </c>
      <c r="I405" t="s">
        <v>71</v>
      </c>
      <c r="J405" t="s">
        <v>72</v>
      </c>
      <c r="K405" t="s">
        <v>73</v>
      </c>
      <c r="L405" t="s">
        <v>46</v>
      </c>
    </row>
    <row r="406" spans="1:12" x14ac:dyDescent="0.3">
      <c r="A406" t="s">
        <v>1219</v>
      </c>
      <c r="B406" t="s">
        <v>913</v>
      </c>
      <c r="C406" t="s">
        <v>507</v>
      </c>
      <c r="D406" t="s">
        <v>146</v>
      </c>
      <c r="E406">
        <v>6</v>
      </c>
      <c r="F406">
        <v>90</v>
      </c>
      <c r="G406" t="s">
        <v>1134</v>
      </c>
      <c r="H406" t="s">
        <v>27</v>
      </c>
      <c r="I406" t="s">
        <v>28</v>
      </c>
      <c r="J406" t="s">
        <v>29</v>
      </c>
      <c r="K406" t="s">
        <v>30</v>
      </c>
      <c r="L406" t="s">
        <v>421</v>
      </c>
    </row>
    <row r="407" spans="1:12" x14ac:dyDescent="0.3">
      <c r="A407" t="s">
        <v>1221</v>
      </c>
      <c r="B407" t="s">
        <v>801</v>
      </c>
      <c r="C407" t="s">
        <v>164</v>
      </c>
      <c r="D407" t="s">
        <v>35</v>
      </c>
      <c r="E407">
        <v>4</v>
      </c>
      <c r="F407">
        <v>60</v>
      </c>
      <c r="G407" t="s">
        <v>1136</v>
      </c>
      <c r="H407" t="s">
        <v>19</v>
      </c>
      <c r="I407" t="s">
        <v>151</v>
      </c>
      <c r="J407" t="s">
        <v>152</v>
      </c>
      <c r="K407" t="s">
        <v>153</v>
      </c>
      <c r="L407" t="s">
        <v>31</v>
      </c>
    </row>
    <row r="408" spans="1:12" x14ac:dyDescent="0.3">
      <c r="A408" t="s">
        <v>1224</v>
      </c>
      <c r="B408" t="s">
        <v>1138</v>
      </c>
      <c r="C408" t="s">
        <v>240</v>
      </c>
      <c r="D408" t="s">
        <v>43</v>
      </c>
      <c r="E408">
        <v>2</v>
      </c>
      <c r="F408">
        <v>90</v>
      </c>
      <c r="G408" t="s">
        <v>26</v>
      </c>
      <c r="H408" t="s">
        <v>405</v>
      </c>
      <c r="I408" t="s">
        <v>18</v>
      </c>
      <c r="J408" t="s">
        <v>65</v>
      </c>
      <c r="K408" t="s">
        <v>60</v>
      </c>
      <c r="L408" t="s">
        <v>46</v>
      </c>
    </row>
    <row r="409" spans="1:12" x14ac:dyDescent="0.3">
      <c r="A409" t="s">
        <v>1227</v>
      </c>
      <c r="B409" t="s">
        <v>1140</v>
      </c>
      <c r="C409" t="s">
        <v>600</v>
      </c>
      <c r="D409" t="s">
        <v>667</v>
      </c>
      <c r="E409">
        <v>4</v>
      </c>
      <c r="F409">
        <v>63</v>
      </c>
      <c r="G409" t="s">
        <v>1141</v>
      </c>
      <c r="H409" t="s">
        <v>19</v>
      </c>
      <c r="I409" t="s">
        <v>90</v>
      </c>
      <c r="J409" t="s">
        <v>91</v>
      </c>
      <c r="K409" t="s">
        <v>30</v>
      </c>
      <c r="L409" t="s">
        <v>345</v>
      </c>
    </row>
    <row r="410" spans="1:12" x14ac:dyDescent="0.3">
      <c r="A410" t="s">
        <v>1230</v>
      </c>
      <c r="B410" t="s">
        <v>1143</v>
      </c>
      <c r="C410" t="s">
        <v>312</v>
      </c>
      <c r="D410" t="s">
        <v>454</v>
      </c>
      <c r="E410">
        <v>15</v>
      </c>
      <c r="F410">
        <v>60</v>
      </c>
      <c r="G410" t="s">
        <v>36</v>
      </c>
      <c r="H410" t="s">
        <v>27</v>
      </c>
      <c r="I410" t="s">
        <v>28</v>
      </c>
      <c r="J410" t="s">
        <v>79</v>
      </c>
      <c r="K410" t="s">
        <v>54</v>
      </c>
      <c r="L410" t="s">
        <v>31</v>
      </c>
    </row>
    <row r="411" spans="1:12" x14ac:dyDescent="0.3">
      <c r="A411" t="s">
        <v>2156</v>
      </c>
      <c r="B411" t="s">
        <v>1145</v>
      </c>
      <c r="C411" t="s">
        <v>763</v>
      </c>
      <c r="D411" t="s">
        <v>50</v>
      </c>
      <c r="E411">
        <v>20</v>
      </c>
      <c r="F411">
        <v>70</v>
      </c>
      <c r="G411" t="s">
        <v>986</v>
      </c>
      <c r="H411" t="s">
        <v>27</v>
      </c>
      <c r="I411" t="s">
        <v>100</v>
      </c>
      <c r="J411" t="s">
        <v>101</v>
      </c>
      <c r="K411" t="s">
        <v>140</v>
      </c>
      <c r="L411" t="s">
        <v>46</v>
      </c>
    </row>
    <row r="412" spans="1:12" x14ac:dyDescent="0.3">
      <c r="A412" t="s">
        <v>1235</v>
      </c>
      <c r="B412" t="s">
        <v>1145</v>
      </c>
      <c r="C412" t="s">
        <v>763</v>
      </c>
      <c r="D412" t="s">
        <v>50</v>
      </c>
      <c r="E412">
        <v>20</v>
      </c>
      <c r="F412">
        <v>70</v>
      </c>
      <c r="G412" t="s">
        <v>986</v>
      </c>
      <c r="H412" t="s">
        <v>27</v>
      </c>
      <c r="I412" t="s">
        <v>100</v>
      </c>
      <c r="J412" t="s">
        <v>101</v>
      </c>
      <c r="K412" t="s">
        <v>20</v>
      </c>
      <c r="L412" t="s">
        <v>46</v>
      </c>
    </row>
    <row r="413" spans="1:12" x14ac:dyDescent="0.3">
      <c r="A413" t="s">
        <v>1238</v>
      </c>
      <c r="B413" t="s">
        <v>1147</v>
      </c>
      <c r="C413" t="s">
        <v>491</v>
      </c>
      <c r="D413" t="s">
        <v>281</v>
      </c>
      <c r="E413">
        <v>2</v>
      </c>
      <c r="F413">
        <v>75</v>
      </c>
      <c r="G413" t="s">
        <v>150</v>
      </c>
      <c r="H413" t="s">
        <v>27</v>
      </c>
      <c r="I413" t="s">
        <v>28</v>
      </c>
      <c r="J413" t="s">
        <v>29</v>
      </c>
      <c r="K413" t="s">
        <v>66</v>
      </c>
      <c r="L413" t="s">
        <v>46</v>
      </c>
    </row>
    <row r="414" spans="1:12" x14ac:dyDescent="0.3">
      <c r="A414" t="s">
        <v>1241</v>
      </c>
      <c r="B414" t="s">
        <v>1149</v>
      </c>
      <c r="C414" t="s">
        <v>570</v>
      </c>
      <c r="D414" t="s">
        <v>94</v>
      </c>
      <c r="E414">
        <v>19</v>
      </c>
      <c r="F414">
        <v>73</v>
      </c>
      <c r="G414" t="s">
        <v>1150</v>
      </c>
      <c r="H414" t="s">
        <v>27</v>
      </c>
      <c r="I414" t="s">
        <v>28</v>
      </c>
      <c r="J414" t="s">
        <v>79</v>
      </c>
      <c r="K414" t="s">
        <v>54</v>
      </c>
      <c r="L414" t="s">
        <v>21</v>
      </c>
    </row>
    <row r="415" spans="1:12" x14ac:dyDescent="0.3">
      <c r="A415" t="s">
        <v>1242</v>
      </c>
      <c r="B415" t="s">
        <v>19</v>
      </c>
      <c r="C415" t="s">
        <v>229</v>
      </c>
      <c r="D415" t="s">
        <v>25</v>
      </c>
      <c r="E415">
        <v>4</v>
      </c>
      <c r="F415">
        <v>55</v>
      </c>
      <c r="G415" t="s">
        <v>270</v>
      </c>
      <c r="H415" t="s">
        <v>37</v>
      </c>
      <c r="I415" t="s">
        <v>83</v>
      </c>
      <c r="J415" t="s">
        <v>84</v>
      </c>
      <c r="K415" t="s">
        <v>158</v>
      </c>
      <c r="L415" t="s">
        <v>21</v>
      </c>
    </row>
    <row r="416" spans="1:12" x14ac:dyDescent="0.3">
      <c r="A416" t="s">
        <v>1243</v>
      </c>
      <c r="B416" t="s">
        <v>19</v>
      </c>
      <c r="C416" t="s">
        <v>219</v>
      </c>
      <c r="D416" t="s">
        <v>35</v>
      </c>
      <c r="E416">
        <v>2</v>
      </c>
      <c r="F416">
        <v>65</v>
      </c>
      <c r="G416" t="s">
        <v>1153</v>
      </c>
      <c r="H416" t="s">
        <v>27</v>
      </c>
      <c r="I416" t="s">
        <v>28</v>
      </c>
      <c r="J416" t="s">
        <v>29</v>
      </c>
      <c r="K416" t="s">
        <v>140</v>
      </c>
      <c r="L416" t="s">
        <v>46</v>
      </c>
    </row>
    <row r="417" spans="1:12" x14ac:dyDescent="0.3">
      <c r="A417" t="s">
        <v>1245</v>
      </c>
      <c r="B417" t="s">
        <v>1155</v>
      </c>
      <c r="C417" t="s">
        <v>824</v>
      </c>
      <c r="D417" t="s">
        <v>146</v>
      </c>
      <c r="E417">
        <v>15</v>
      </c>
      <c r="F417">
        <v>85</v>
      </c>
      <c r="G417" t="s">
        <v>595</v>
      </c>
      <c r="H417" t="s">
        <v>70</v>
      </c>
      <c r="I417" t="s">
        <v>151</v>
      </c>
      <c r="J417" t="s">
        <v>188</v>
      </c>
      <c r="K417" t="s">
        <v>66</v>
      </c>
      <c r="L417" t="s">
        <v>31</v>
      </c>
    </row>
    <row r="418" spans="1:12" x14ac:dyDescent="0.3">
      <c r="A418" t="s">
        <v>1246</v>
      </c>
      <c r="B418" t="s">
        <v>1157</v>
      </c>
      <c r="C418" t="s">
        <v>1107</v>
      </c>
      <c r="D418" t="s">
        <v>43</v>
      </c>
      <c r="E418">
        <v>11</v>
      </c>
      <c r="F418">
        <v>95</v>
      </c>
      <c r="G418" t="s">
        <v>195</v>
      </c>
      <c r="H418" t="s">
        <v>37</v>
      </c>
      <c r="I418" t="s">
        <v>38</v>
      </c>
      <c r="J418" t="s">
        <v>39</v>
      </c>
      <c r="K418" t="s">
        <v>66</v>
      </c>
      <c r="L418" t="s">
        <v>31</v>
      </c>
    </row>
    <row r="419" spans="1:12" x14ac:dyDescent="0.3">
      <c r="A419" t="s">
        <v>1249</v>
      </c>
      <c r="B419" t="s">
        <v>1158</v>
      </c>
      <c r="C419" t="s">
        <v>1159</v>
      </c>
      <c r="D419" t="s">
        <v>19</v>
      </c>
      <c r="E419">
        <v>15</v>
      </c>
      <c r="F419">
        <v>55</v>
      </c>
      <c r="G419" t="s">
        <v>174</v>
      </c>
      <c r="H419" t="s">
        <v>27</v>
      </c>
      <c r="I419" t="s">
        <v>100</v>
      </c>
      <c r="J419" t="s">
        <v>101</v>
      </c>
      <c r="K419" t="s">
        <v>66</v>
      </c>
      <c r="L419" t="s">
        <v>21</v>
      </c>
    </row>
    <row r="420" spans="1:12" x14ac:dyDescent="0.3">
      <c r="A420" t="s">
        <v>1252</v>
      </c>
      <c r="B420" t="s">
        <v>1161</v>
      </c>
      <c r="C420" t="s">
        <v>289</v>
      </c>
      <c r="D420" t="s">
        <v>125</v>
      </c>
      <c r="E420" t="s">
        <v>19</v>
      </c>
      <c r="F420">
        <v>63</v>
      </c>
      <c r="G420" t="s">
        <v>274</v>
      </c>
      <c r="H420" t="s">
        <v>27</v>
      </c>
      <c r="I420" t="s">
        <v>100</v>
      </c>
      <c r="J420" t="s">
        <v>101</v>
      </c>
      <c r="K420" t="s">
        <v>66</v>
      </c>
      <c r="L420" t="s">
        <v>46</v>
      </c>
    </row>
    <row r="421" spans="1:12" x14ac:dyDescent="0.3">
      <c r="A421" t="s">
        <v>1253</v>
      </c>
      <c r="B421" t="s">
        <v>609</v>
      </c>
      <c r="C421" t="s">
        <v>627</v>
      </c>
      <c r="D421" t="s">
        <v>676</v>
      </c>
      <c r="E421">
        <v>7</v>
      </c>
      <c r="F421">
        <v>90</v>
      </c>
      <c r="G421" t="s">
        <v>642</v>
      </c>
      <c r="H421" t="s">
        <v>17</v>
      </c>
      <c r="I421" t="s">
        <v>18</v>
      </c>
      <c r="J421" t="s">
        <v>65</v>
      </c>
      <c r="K421" t="s">
        <v>45</v>
      </c>
      <c r="L421" t="s">
        <v>21</v>
      </c>
    </row>
    <row r="422" spans="1:12" x14ac:dyDescent="0.3">
      <c r="A422" t="s">
        <v>1255</v>
      </c>
      <c r="B422" t="s">
        <v>1164</v>
      </c>
      <c r="C422" t="s">
        <v>718</v>
      </c>
      <c r="D422" t="s">
        <v>492</v>
      </c>
      <c r="E422">
        <v>5</v>
      </c>
      <c r="F422">
        <v>75</v>
      </c>
      <c r="G422" t="s">
        <v>1165</v>
      </c>
      <c r="H422" t="s">
        <v>17</v>
      </c>
      <c r="I422" t="s">
        <v>90</v>
      </c>
      <c r="J422" t="s">
        <v>91</v>
      </c>
      <c r="K422" t="s">
        <v>20</v>
      </c>
      <c r="L422" t="s">
        <v>46</v>
      </c>
    </row>
    <row r="423" spans="1:12" x14ac:dyDescent="0.3">
      <c r="A423" t="s">
        <v>1256</v>
      </c>
      <c r="B423" t="s">
        <v>19</v>
      </c>
      <c r="C423" t="s">
        <v>653</v>
      </c>
      <c r="D423" t="s">
        <v>125</v>
      </c>
      <c r="E423">
        <v>8</v>
      </c>
      <c r="F423">
        <v>63</v>
      </c>
      <c r="G423" t="s">
        <v>876</v>
      </c>
      <c r="H423" t="s">
        <v>27</v>
      </c>
      <c r="I423" t="s">
        <v>19</v>
      </c>
      <c r="J423" t="s">
        <v>101</v>
      </c>
      <c r="K423" t="s">
        <v>60</v>
      </c>
      <c r="L423" t="s">
        <v>31</v>
      </c>
    </row>
    <row r="424" spans="1:12" x14ac:dyDescent="0.3">
      <c r="A424" t="s">
        <v>1257</v>
      </c>
      <c r="B424" t="s">
        <v>904</v>
      </c>
      <c r="C424" t="s">
        <v>1094</v>
      </c>
      <c r="D424" t="s">
        <v>281</v>
      </c>
      <c r="E424" t="s">
        <v>19</v>
      </c>
      <c r="F424">
        <v>75</v>
      </c>
      <c r="G424" t="s">
        <v>36</v>
      </c>
      <c r="H424" t="s">
        <v>27</v>
      </c>
      <c r="I424" t="s">
        <v>100</v>
      </c>
      <c r="J424" t="s">
        <v>101</v>
      </c>
      <c r="K424" t="s">
        <v>66</v>
      </c>
      <c r="L424" t="s">
        <v>31</v>
      </c>
    </row>
    <row r="425" spans="1:12" x14ac:dyDescent="0.3">
      <c r="A425" t="s">
        <v>1259</v>
      </c>
      <c r="B425" t="s">
        <v>1169</v>
      </c>
      <c r="C425" t="s">
        <v>301</v>
      </c>
      <c r="D425" t="s">
        <v>281</v>
      </c>
      <c r="E425" t="s">
        <v>19</v>
      </c>
      <c r="F425">
        <v>70</v>
      </c>
      <c r="G425" t="s">
        <v>642</v>
      </c>
      <c r="H425" t="s">
        <v>70</v>
      </c>
      <c r="I425" t="s">
        <v>183</v>
      </c>
      <c r="J425" t="s">
        <v>184</v>
      </c>
      <c r="K425" t="s">
        <v>20</v>
      </c>
      <c r="L425" t="s">
        <v>31</v>
      </c>
    </row>
    <row r="426" spans="1:12" x14ac:dyDescent="0.3">
      <c r="A426" t="s">
        <v>1260</v>
      </c>
      <c r="B426" t="s">
        <v>1171</v>
      </c>
      <c r="C426" t="s">
        <v>697</v>
      </c>
      <c r="D426" t="s">
        <v>50</v>
      </c>
      <c r="E426">
        <v>13</v>
      </c>
      <c r="F426">
        <v>60</v>
      </c>
      <c r="G426" t="s">
        <v>574</v>
      </c>
      <c r="H426" t="s">
        <v>17</v>
      </c>
      <c r="I426" t="s">
        <v>18</v>
      </c>
      <c r="J426" t="s">
        <v>65</v>
      </c>
      <c r="K426" t="s">
        <v>45</v>
      </c>
      <c r="L426" t="s">
        <v>21</v>
      </c>
    </row>
    <row r="427" spans="1:12" x14ac:dyDescent="0.3">
      <c r="A427" t="s">
        <v>1262</v>
      </c>
      <c r="B427" t="s">
        <v>1173</v>
      </c>
      <c r="C427" t="s">
        <v>650</v>
      </c>
      <c r="D427" t="s">
        <v>213</v>
      </c>
      <c r="E427">
        <v>8</v>
      </c>
      <c r="F427">
        <v>45</v>
      </c>
      <c r="G427" t="s">
        <v>247</v>
      </c>
      <c r="H427" t="s">
        <v>17</v>
      </c>
      <c r="I427" t="s">
        <v>90</v>
      </c>
      <c r="J427" t="s">
        <v>91</v>
      </c>
      <c r="K427" t="s">
        <v>2190</v>
      </c>
      <c r="L427" t="s">
        <v>74</v>
      </c>
    </row>
    <row r="428" spans="1:12" x14ac:dyDescent="0.3">
      <c r="A428" t="s">
        <v>1263</v>
      </c>
      <c r="B428" t="s">
        <v>1175</v>
      </c>
      <c r="C428" t="s">
        <v>371</v>
      </c>
      <c r="D428" t="s">
        <v>169</v>
      </c>
      <c r="E428">
        <v>2</v>
      </c>
      <c r="F428">
        <v>80</v>
      </c>
      <c r="G428" t="s">
        <v>1176</v>
      </c>
      <c r="H428" t="s">
        <v>70</v>
      </c>
      <c r="I428" t="s">
        <v>71</v>
      </c>
      <c r="J428" t="s">
        <v>140</v>
      </c>
      <c r="K428" t="s">
        <v>73</v>
      </c>
      <c r="L428" t="s">
        <v>31</v>
      </c>
    </row>
    <row r="429" spans="1:12" x14ac:dyDescent="0.3">
      <c r="A429" t="s">
        <v>1266</v>
      </c>
      <c r="B429" t="s">
        <v>1178</v>
      </c>
      <c r="C429" t="s">
        <v>515</v>
      </c>
      <c r="D429" t="s">
        <v>281</v>
      </c>
      <c r="E429">
        <v>13</v>
      </c>
      <c r="F429">
        <v>70</v>
      </c>
      <c r="G429" t="s">
        <v>333</v>
      </c>
      <c r="H429" t="s">
        <v>37</v>
      </c>
      <c r="I429" t="s">
        <v>368</v>
      </c>
      <c r="J429" t="s">
        <v>226</v>
      </c>
      <c r="K429" t="s">
        <v>30</v>
      </c>
      <c r="L429" t="s">
        <v>21</v>
      </c>
    </row>
    <row r="430" spans="1:12" x14ac:dyDescent="0.3">
      <c r="A430" t="s">
        <v>1268</v>
      </c>
      <c r="B430" t="s">
        <v>1180</v>
      </c>
      <c r="C430" t="s">
        <v>722</v>
      </c>
      <c r="D430" t="s">
        <v>25</v>
      </c>
      <c r="E430">
        <v>8</v>
      </c>
      <c r="F430">
        <v>50</v>
      </c>
      <c r="G430" t="s">
        <v>293</v>
      </c>
      <c r="H430" t="s">
        <v>17</v>
      </c>
      <c r="I430" t="s">
        <v>18</v>
      </c>
      <c r="J430" t="s">
        <v>65</v>
      </c>
      <c r="K430" t="s">
        <v>60</v>
      </c>
      <c r="L430" t="s">
        <v>46</v>
      </c>
    </row>
    <row r="431" spans="1:12" x14ac:dyDescent="0.3">
      <c r="A431" t="s">
        <v>1270</v>
      </c>
      <c r="B431" t="s">
        <v>1182</v>
      </c>
      <c r="C431" t="s">
        <v>808</v>
      </c>
      <c r="D431" t="s">
        <v>454</v>
      </c>
      <c r="E431">
        <v>3</v>
      </c>
      <c r="F431">
        <v>55</v>
      </c>
      <c r="G431" t="s">
        <v>756</v>
      </c>
      <c r="H431" t="s">
        <v>37</v>
      </c>
      <c r="I431" t="s">
        <v>83</v>
      </c>
      <c r="J431" t="s">
        <v>873</v>
      </c>
      <c r="K431" t="s">
        <v>158</v>
      </c>
      <c r="L431" t="s">
        <v>31</v>
      </c>
    </row>
    <row r="432" spans="1:12" x14ac:dyDescent="0.3">
      <c r="A432" t="s">
        <v>1272</v>
      </c>
      <c r="B432" t="s">
        <v>1184</v>
      </c>
      <c r="C432" t="s">
        <v>124</v>
      </c>
      <c r="D432" t="s">
        <v>125</v>
      </c>
      <c r="E432">
        <v>15</v>
      </c>
      <c r="F432">
        <v>58</v>
      </c>
      <c r="G432" t="s">
        <v>556</v>
      </c>
      <c r="H432" t="s">
        <v>585</v>
      </c>
      <c r="I432" t="s">
        <v>225</v>
      </c>
      <c r="J432" t="s">
        <v>226</v>
      </c>
      <c r="K432" t="s">
        <v>45</v>
      </c>
      <c r="L432" t="s">
        <v>46</v>
      </c>
    </row>
    <row r="433" spans="1:12" x14ac:dyDescent="0.3">
      <c r="A433" t="s">
        <v>1275</v>
      </c>
      <c r="B433" t="s">
        <v>1186</v>
      </c>
      <c r="C433" t="s">
        <v>570</v>
      </c>
      <c r="D433" t="s">
        <v>169</v>
      </c>
      <c r="E433">
        <v>16</v>
      </c>
      <c r="F433">
        <v>75</v>
      </c>
      <c r="G433" t="s">
        <v>182</v>
      </c>
      <c r="H433" t="s">
        <v>17</v>
      </c>
      <c r="I433" t="s">
        <v>90</v>
      </c>
      <c r="J433" t="s">
        <v>91</v>
      </c>
      <c r="K433" t="s">
        <v>20</v>
      </c>
      <c r="L433" t="s">
        <v>31</v>
      </c>
    </row>
    <row r="434" spans="1:12" x14ac:dyDescent="0.3">
      <c r="A434" t="s">
        <v>1277</v>
      </c>
      <c r="B434" t="s">
        <v>1188</v>
      </c>
      <c r="C434" t="s">
        <v>142</v>
      </c>
      <c r="D434" t="s">
        <v>35</v>
      </c>
      <c r="E434">
        <v>20</v>
      </c>
      <c r="F434">
        <v>60</v>
      </c>
      <c r="G434" t="s">
        <v>182</v>
      </c>
      <c r="H434" t="s">
        <v>70</v>
      </c>
      <c r="I434" t="s">
        <v>183</v>
      </c>
      <c r="J434" t="s">
        <v>184</v>
      </c>
      <c r="K434" t="s">
        <v>20</v>
      </c>
      <c r="L434" t="s">
        <v>31</v>
      </c>
    </row>
    <row r="435" spans="1:12" x14ac:dyDescent="0.3">
      <c r="A435" t="s">
        <v>1279</v>
      </c>
      <c r="B435" t="s">
        <v>1190</v>
      </c>
      <c r="C435" t="s">
        <v>49</v>
      </c>
      <c r="D435" t="s">
        <v>25</v>
      </c>
      <c r="E435">
        <v>7</v>
      </c>
      <c r="F435">
        <v>55</v>
      </c>
      <c r="G435" t="s">
        <v>584</v>
      </c>
      <c r="H435" t="s">
        <v>70</v>
      </c>
      <c r="I435" t="s">
        <v>1191</v>
      </c>
      <c r="J435" t="s">
        <v>152</v>
      </c>
      <c r="K435" t="s">
        <v>153</v>
      </c>
      <c r="L435" t="s">
        <v>21</v>
      </c>
    </row>
    <row r="436" spans="1:12" x14ac:dyDescent="0.3">
      <c r="A436" t="s">
        <v>1280</v>
      </c>
      <c r="B436" t="s">
        <v>1193</v>
      </c>
      <c r="C436" t="s">
        <v>966</v>
      </c>
      <c r="D436" t="s">
        <v>35</v>
      </c>
      <c r="E436">
        <v>18</v>
      </c>
      <c r="F436">
        <v>60</v>
      </c>
      <c r="G436" t="s">
        <v>117</v>
      </c>
      <c r="H436" t="s">
        <v>70</v>
      </c>
      <c r="I436" t="s">
        <v>1191</v>
      </c>
      <c r="J436" t="s">
        <v>188</v>
      </c>
      <c r="K436" t="s">
        <v>66</v>
      </c>
      <c r="L436" t="s">
        <v>21</v>
      </c>
    </row>
    <row r="437" spans="1:12" x14ac:dyDescent="0.3">
      <c r="A437" t="s">
        <v>1284</v>
      </c>
      <c r="B437" t="s">
        <v>1194</v>
      </c>
      <c r="C437" t="s">
        <v>301</v>
      </c>
      <c r="D437" t="s">
        <v>43</v>
      </c>
      <c r="E437">
        <v>13</v>
      </c>
      <c r="F437">
        <v>95</v>
      </c>
      <c r="G437" t="s">
        <v>348</v>
      </c>
      <c r="H437" t="s">
        <v>37</v>
      </c>
      <c r="I437" t="s">
        <v>83</v>
      </c>
      <c r="J437" t="s">
        <v>84</v>
      </c>
      <c r="K437" t="s">
        <v>158</v>
      </c>
      <c r="L437" t="s">
        <v>31</v>
      </c>
    </row>
    <row r="438" spans="1:12" x14ac:dyDescent="0.3">
      <c r="A438" t="s">
        <v>2157</v>
      </c>
      <c r="B438" t="s">
        <v>1196</v>
      </c>
      <c r="C438" t="s">
        <v>1197</v>
      </c>
      <c r="D438" t="s">
        <v>43</v>
      </c>
      <c r="E438">
        <v>4</v>
      </c>
      <c r="F438">
        <v>95</v>
      </c>
      <c r="G438" t="s">
        <v>1198</v>
      </c>
      <c r="H438" t="s">
        <v>70</v>
      </c>
      <c r="I438" t="s">
        <v>71</v>
      </c>
      <c r="J438" t="s">
        <v>72</v>
      </c>
      <c r="K438" t="s">
        <v>73</v>
      </c>
      <c r="L438" t="s">
        <v>21</v>
      </c>
    </row>
    <row r="439" spans="1:12" x14ac:dyDescent="0.3">
      <c r="A439" t="s">
        <v>1288</v>
      </c>
      <c r="B439" t="s">
        <v>1200</v>
      </c>
      <c r="C439" t="s">
        <v>19</v>
      </c>
      <c r="D439" t="s">
        <v>281</v>
      </c>
      <c r="E439">
        <v>12</v>
      </c>
      <c r="F439">
        <v>70</v>
      </c>
      <c r="G439" t="s">
        <v>739</v>
      </c>
      <c r="H439" t="s">
        <v>70</v>
      </c>
      <c r="I439" t="s">
        <v>151</v>
      </c>
      <c r="J439" t="s">
        <v>1201</v>
      </c>
      <c r="K439" t="s">
        <v>66</v>
      </c>
      <c r="L439" t="s">
        <v>31</v>
      </c>
    </row>
    <row r="440" spans="1:12" x14ac:dyDescent="0.3">
      <c r="A440" t="s">
        <v>1290</v>
      </c>
      <c r="B440" t="s">
        <v>1203</v>
      </c>
      <c r="C440" t="s">
        <v>280</v>
      </c>
      <c r="D440" t="s">
        <v>125</v>
      </c>
      <c r="E440">
        <v>17</v>
      </c>
      <c r="F440">
        <v>58</v>
      </c>
      <c r="G440" t="s">
        <v>905</v>
      </c>
      <c r="H440" t="s">
        <v>70</v>
      </c>
      <c r="I440" t="s">
        <v>71</v>
      </c>
      <c r="J440" t="s">
        <v>72</v>
      </c>
      <c r="K440" t="s">
        <v>73</v>
      </c>
      <c r="L440" t="s">
        <v>21</v>
      </c>
    </row>
    <row r="441" spans="1:12" x14ac:dyDescent="0.3">
      <c r="A441" t="s">
        <v>1294</v>
      </c>
      <c r="B441" t="s">
        <v>1204</v>
      </c>
      <c r="C441" t="s">
        <v>1205</v>
      </c>
      <c r="D441" t="s">
        <v>43</v>
      </c>
      <c r="E441">
        <v>19</v>
      </c>
      <c r="F441">
        <v>95</v>
      </c>
      <c r="G441" t="s">
        <v>69</v>
      </c>
      <c r="H441" t="s">
        <v>70</v>
      </c>
      <c r="I441" t="s">
        <v>151</v>
      </c>
      <c r="J441" t="s">
        <v>188</v>
      </c>
      <c r="K441" t="s">
        <v>20</v>
      </c>
      <c r="L441" t="s">
        <v>46</v>
      </c>
    </row>
    <row r="442" spans="1:12" x14ac:dyDescent="0.3">
      <c r="A442" t="s">
        <v>1297</v>
      </c>
      <c r="B442" t="s">
        <v>1207</v>
      </c>
      <c r="C442" t="s">
        <v>1208</v>
      </c>
      <c r="D442" t="s">
        <v>43</v>
      </c>
      <c r="E442">
        <v>10</v>
      </c>
      <c r="F442">
        <v>95</v>
      </c>
      <c r="G442" t="s">
        <v>336</v>
      </c>
      <c r="H442" t="s">
        <v>37</v>
      </c>
      <c r="I442" t="s">
        <v>38</v>
      </c>
      <c r="J442" t="s">
        <v>39</v>
      </c>
      <c r="K442" t="s">
        <v>45</v>
      </c>
      <c r="L442" t="s">
        <v>21</v>
      </c>
    </row>
    <row r="443" spans="1:12" x14ac:dyDescent="0.3">
      <c r="A443" t="s">
        <v>1300</v>
      </c>
      <c r="B443" t="s">
        <v>19</v>
      </c>
      <c r="C443" t="s">
        <v>473</v>
      </c>
      <c r="D443" t="s">
        <v>1210</v>
      </c>
      <c r="E443">
        <v>19</v>
      </c>
      <c r="F443">
        <v>60</v>
      </c>
      <c r="G443" t="s">
        <v>340</v>
      </c>
      <c r="H443" t="s">
        <v>405</v>
      </c>
      <c r="I443" t="s">
        <v>18</v>
      </c>
      <c r="J443" t="s">
        <v>65</v>
      </c>
      <c r="K443" t="s">
        <v>60</v>
      </c>
      <c r="L443" t="s">
        <v>46</v>
      </c>
    </row>
    <row r="444" spans="1:12" x14ac:dyDescent="0.3">
      <c r="A444" t="s">
        <v>1303</v>
      </c>
      <c r="B444" t="s">
        <v>1212</v>
      </c>
      <c r="C444" t="s">
        <v>491</v>
      </c>
      <c r="D444" t="s">
        <v>169</v>
      </c>
      <c r="E444">
        <v>12</v>
      </c>
      <c r="F444">
        <v>80</v>
      </c>
      <c r="G444" t="s">
        <v>411</v>
      </c>
      <c r="H444" t="s">
        <v>37</v>
      </c>
      <c r="I444" t="s">
        <v>38</v>
      </c>
      <c r="J444" t="s">
        <v>39</v>
      </c>
      <c r="K444" t="s">
        <v>30</v>
      </c>
      <c r="L444" t="s">
        <v>46</v>
      </c>
    </row>
    <row r="445" spans="1:12" x14ac:dyDescent="0.3">
      <c r="A445" t="s">
        <v>1304</v>
      </c>
      <c r="B445" t="s">
        <v>1214</v>
      </c>
      <c r="C445" t="s">
        <v>234</v>
      </c>
      <c r="D445" t="s">
        <v>146</v>
      </c>
      <c r="E445">
        <v>5</v>
      </c>
      <c r="F445">
        <v>80</v>
      </c>
      <c r="G445" t="s">
        <v>140</v>
      </c>
      <c r="H445" t="s">
        <v>17</v>
      </c>
      <c r="I445" t="s">
        <v>90</v>
      </c>
      <c r="J445" t="s">
        <v>91</v>
      </c>
      <c r="K445" t="s">
        <v>66</v>
      </c>
      <c r="L445" t="s">
        <v>31</v>
      </c>
    </row>
    <row r="446" spans="1:12" x14ac:dyDescent="0.3">
      <c r="A446" t="s">
        <v>1307</v>
      </c>
      <c r="B446" t="s">
        <v>1216</v>
      </c>
      <c r="C446" t="s">
        <v>448</v>
      </c>
      <c r="D446" t="s">
        <v>43</v>
      </c>
      <c r="E446">
        <v>15</v>
      </c>
      <c r="F446">
        <v>100</v>
      </c>
      <c r="G446" t="s">
        <v>1217</v>
      </c>
      <c r="H446" t="s">
        <v>27</v>
      </c>
      <c r="I446" t="s">
        <v>28</v>
      </c>
      <c r="J446" t="s">
        <v>29</v>
      </c>
      <c r="K446" t="s">
        <v>60</v>
      </c>
      <c r="L446" t="s">
        <v>31</v>
      </c>
    </row>
    <row r="447" spans="1:12" x14ac:dyDescent="0.3">
      <c r="A447" t="s">
        <v>1309</v>
      </c>
      <c r="B447" t="s">
        <v>1124</v>
      </c>
      <c r="C447" t="s">
        <v>19</v>
      </c>
      <c r="D447" t="s">
        <v>15</v>
      </c>
      <c r="E447">
        <v>1</v>
      </c>
      <c r="F447">
        <v>55</v>
      </c>
      <c r="G447" t="s">
        <v>857</v>
      </c>
      <c r="H447" t="s">
        <v>27</v>
      </c>
      <c r="I447" t="s">
        <v>100</v>
      </c>
      <c r="J447" t="s">
        <v>101</v>
      </c>
      <c r="K447" t="s">
        <v>60</v>
      </c>
      <c r="L447" t="s">
        <v>21</v>
      </c>
    </row>
    <row r="448" spans="1:12" x14ac:dyDescent="0.3">
      <c r="A448" t="s">
        <v>1310</v>
      </c>
      <c r="B448" t="s">
        <v>1220</v>
      </c>
      <c r="C448" t="s">
        <v>520</v>
      </c>
      <c r="D448" t="s">
        <v>25</v>
      </c>
      <c r="E448">
        <v>15</v>
      </c>
      <c r="F448">
        <v>55</v>
      </c>
      <c r="G448" t="s">
        <v>174</v>
      </c>
      <c r="H448" t="s">
        <v>70</v>
      </c>
      <c r="I448" t="s">
        <v>151</v>
      </c>
      <c r="J448" t="s">
        <v>188</v>
      </c>
      <c r="K448" t="s">
        <v>66</v>
      </c>
      <c r="L448" t="s">
        <v>21</v>
      </c>
    </row>
    <row r="449" spans="1:12" x14ac:dyDescent="0.3">
      <c r="A449" t="s">
        <v>1312</v>
      </c>
      <c r="B449" t="s">
        <v>1222</v>
      </c>
      <c r="C449" t="s">
        <v>42</v>
      </c>
      <c r="D449" t="s">
        <v>169</v>
      </c>
      <c r="E449">
        <v>8</v>
      </c>
      <c r="F449">
        <v>80</v>
      </c>
      <c r="G449" t="s">
        <v>1223</v>
      </c>
      <c r="H449" t="s">
        <v>70</v>
      </c>
      <c r="I449" t="s">
        <v>151</v>
      </c>
      <c r="J449" t="s">
        <v>152</v>
      </c>
      <c r="K449" t="s">
        <v>153</v>
      </c>
      <c r="L449" t="s">
        <v>31</v>
      </c>
    </row>
    <row r="450" spans="1:12" x14ac:dyDescent="0.3">
      <c r="A450" t="s">
        <v>1315</v>
      </c>
      <c r="B450" t="s">
        <v>1225</v>
      </c>
      <c r="C450" t="s">
        <v>1226</v>
      </c>
      <c r="D450" t="s">
        <v>281</v>
      </c>
      <c r="E450">
        <v>9</v>
      </c>
      <c r="F450">
        <v>65</v>
      </c>
      <c r="G450" t="s">
        <v>631</v>
      </c>
      <c r="H450" t="s">
        <v>17</v>
      </c>
      <c r="I450" t="s">
        <v>90</v>
      </c>
      <c r="J450" t="s">
        <v>91</v>
      </c>
      <c r="K450" t="s">
        <v>139</v>
      </c>
      <c r="L450" t="s">
        <v>46</v>
      </c>
    </row>
    <row r="451" spans="1:12" x14ac:dyDescent="0.3">
      <c r="A451" t="s">
        <v>1317</v>
      </c>
      <c r="B451" t="s">
        <v>1228</v>
      </c>
      <c r="C451" t="s">
        <v>442</v>
      </c>
      <c r="D451" t="s">
        <v>125</v>
      </c>
      <c r="E451">
        <v>2</v>
      </c>
      <c r="F451">
        <v>63</v>
      </c>
      <c r="G451" t="s">
        <v>1229</v>
      </c>
      <c r="H451" t="s">
        <v>27</v>
      </c>
      <c r="I451" t="s">
        <v>28</v>
      </c>
      <c r="J451" t="s">
        <v>29</v>
      </c>
      <c r="K451" t="s">
        <v>20</v>
      </c>
      <c r="L451" t="s">
        <v>31</v>
      </c>
    </row>
    <row r="452" spans="1:12" x14ac:dyDescent="0.3">
      <c r="A452" t="s">
        <v>2158</v>
      </c>
      <c r="B452" t="s">
        <v>19</v>
      </c>
      <c r="C452" t="s">
        <v>583</v>
      </c>
      <c r="D452" t="s">
        <v>94</v>
      </c>
      <c r="E452">
        <v>11</v>
      </c>
      <c r="F452">
        <v>63</v>
      </c>
      <c r="G452" t="s">
        <v>1231</v>
      </c>
      <c r="H452" t="s">
        <v>19</v>
      </c>
      <c r="I452" t="s">
        <v>1232</v>
      </c>
      <c r="J452" t="s">
        <v>91</v>
      </c>
      <c r="K452" t="s">
        <v>45</v>
      </c>
      <c r="L452" t="s">
        <v>46</v>
      </c>
    </row>
    <row r="453" spans="1:12" x14ac:dyDescent="0.3">
      <c r="A453" t="s">
        <v>1322</v>
      </c>
      <c r="B453" t="s">
        <v>1233</v>
      </c>
      <c r="C453" t="s">
        <v>19</v>
      </c>
      <c r="D453" t="s">
        <v>43</v>
      </c>
      <c r="E453">
        <v>17</v>
      </c>
      <c r="F453">
        <v>90</v>
      </c>
      <c r="G453" t="s">
        <v>1234</v>
      </c>
      <c r="H453" t="s">
        <v>17</v>
      </c>
      <c r="I453" t="s">
        <v>90</v>
      </c>
      <c r="J453" t="s">
        <v>91</v>
      </c>
      <c r="K453" t="s">
        <v>30</v>
      </c>
      <c r="L453" t="s">
        <v>31</v>
      </c>
    </row>
    <row r="454" spans="1:12" x14ac:dyDescent="0.3">
      <c r="A454" t="s">
        <v>1324</v>
      </c>
      <c r="B454" t="s">
        <v>703</v>
      </c>
      <c r="C454" t="s">
        <v>701</v>
      </c>
      <c r="D454" t="s">
        <v>281</v>
      </c>
      <c r="E454">
        <v>2</v>
      </c>
      <c r="F454">
        <v>70</v>
      </c>
      <c r="G454" t="s">
        <v>706</v>
      </c>
      <c r="H454" t="s">
        <v>37</v>
      </c>
      <c r="I454" t="s">
        <v>225</v>
      </c>
      <c r="J454" t="s">
        <v>226</v>
      </c>
      <c r="K454" t="s">
        <v>30</v>
      </c>
      <c r="L454" t="s">
        <v>21</v>
      </c>
    </row>
    <row r="455" spans="1:12" x14ac:dyDescent="0.3">
      <c r="A455" t="s">
        <v>1326</v>
      </c>
      <c r="B455" t="s">
        <v>1236</v>
      </c>
      <c r="C455" t="s">
        <v>1237</v>
      </c>
      <c r="D455" t="s">
        <v>1210</v>
      </c>
      <c r="E455" t="s">
        <v>19</v>
      </c>
      <c r="F455">
        <v>70</v>
      </c>
      <c r="G455" t="s">
        <v>317</v>
      </c>
      <c r="H455" t="s">
        <v>27</v>
      </c>
      <c r="I455" t="s">
        <v>100</v>
      </c>
      <c r="J455" t="s">
        <v>101</v>
      </c>
      <c r="K455" t="s">
        <v>30</v>
      </c>
      <c r="L455" t="s">
        <v>21</v>
      </c>
    </row>
    <row r="456" spans="1:12" x14ac:dyDescent="0.3">
      <c r="A456" t="s">
        <v>1327</v>
      </c>
      <c r="B456" t="s">
        <v>1239</v>
      </c>
      <c r="C456" t="s">
        <v>424</v>
      </c>
      <c r="D456" t="s">
        <v>146</v>
      </c>
      <c r="E456">
        <v>9</v>
      </c>
      <c r="F456">
        <v>85</v>
      </c>
      <c r="G456" t="s">
        <v>1240</v>
      </c>
      <c r="H456" t="s">
        <v>70</v>
      </c>
      <c r="I456" t="s">
        <v>1191</v>
      </c>
      <c r="J456" t="s">
        <v>152</v>
      </c>
      <c r="K456" t="s">
        <v>153</v>
      </c>
      <c r="L456" t="s">
        <v>46</v>
      </c>
    </row>
    <row r="457" spans="1:12" x14ac:dyDescent="0.3">
      <c r="A457" t="s">
        <v>1329</v>
      </c>
      <c r="B457" t="s">
        <v>251</v>
      </c>
      <c r="C457" t="s">
        <v>507</v>
      </c>
      <c r="D457" t="s">
        <v>169</v>
      </c>
      <c r="E457">
        <v>1</v>
      </c>
      <c r="F457">
        <v>80</v>
      </c>
      <c r="G457" t="s">
        <v>277</v>
      </c>
      <c r="H457" t="s">
        <v>70</v>
      </c>
      <c r="I457" t="s">
        <v>183</v>
      </c>
      <c r="J457" t="s">
        <v>184</v>
      </c>
      <c r="K457" t="s">
        <v>20</v>
      </c>
      <c r="L457" t="s">
        <v>46</v>
      </c>
    </row>
    <row r="458" spans="1:12" x14ac:dyDescent="0.3">
      <c r="A458" t="s">
        <v>1330</v>
      </c>
      <c r="B458" t="s">
        <v>19</v>
      </c>
      <c r="C458" t="s">
        <v>766</v>
      </c>
      <c r="D458" t="s">
        <v>169</v>
      </c>
      <c r="E458">
        <v>5</v>
      </c>
      <c r="F458">
        <v>75</v>
      </c>
      <c r="G458" t="s">
        <v>1165</v>
      </c>
      <c r="H458" t="s">
        <v>17</v>
      </c>
      <c r="I458" t="s">
        <v>90</v>
      </c>
      <c r="J458" t="s">
        <v>91</v>
      </c>
      <c r="K458" t="s">
        <v>66</v>
      </c>
      <c r="L458" t="s">
        <v>46</v>
      </c>
    </row>
    <row r="459" spans="1:12" x14ac:dyDescent="0.3">
      <c r="A459" t="s">
        <v>1333</v>
      </c>
      <c r="B459" t="s">
        <v>1244</v>
      </c>
      <c r="C459" t="s">
        <v>19</v>
      </c>
      <c r="D459" t="s">
        <v>50</v>
      </c>
      <c r="E459">
        <v>9</v>
      </c>
      <c r="F459" t="s">
        <v>19</v>
      </c>
      <c r="G459" t="s">
        <v>631</v>
      </c>
      <c r="H459" t="s">
        <v>37</v>
      </c>
      <c r="I459" t="s">
        <v>38</v>
      </c>
      <c r="J459" t="s">
        <v>59</v>
      </c>
      <c r="K459" t="s">
        <v>60</v>
      </c>
      <c r="L459" t="s">
        <v>21</v>
      </c>
    </row>
    <row r="460" spans="1:12" x14ac:dyDescent="0.3">
      <c r="A460" t="s">
        <v>1335</v>
      </c>
      <c r="B460" t="s">
        <v>569</v>
      </c>
      <c r="C460" t="s">
        <v>588</v>
      </c>
      <c r="D460" t="s">
        <v>50</v>
      </c>
      <c r="E460">
        <v>17</v>
      </c>
      <c r="F460">
        <v>70</v>
      </c>
      <c r="G460" t="s">
        <v>688</v>
      </c>
      <c r="H460" t="s">
        <v>27</v>
      </c>
      <c r="I460" t="s">
        <v>28</v>
      </c>
      <c r="J460" t="s">
        <v>29</v>
      </c>
      <c r="K460" t="s">
        <v>30</v>
      </c>
      <c r="L460" t="s">
        <v>21</v>
      </c>
    </row>
    <row r="461" spans="1:12" x14ac:dyDescent="0.3">
      <c r="A461" t="s">
        <v>1338</v>
      </c>
      <c r="B461" t="s">
        <v>1247</v>
      </c>
      <c r="C461" t="s">
        <v>1248</v>
      </c>
      <c r="D461" t="s">
        <v>146</v>
      </c>
      <c r="E461">
        <v>8</v>
      </c>
      <c r="F461">
        <v>85</v>
      </c>
      <c r="G461" t="s">
        <v>354</v>
      </c>
      <c r="H461" t="s">
        <v>37</v>
      </c>
      <c r="I461" t="s">
        <v>83</v>
      </c>
      <c r="J461" t="s">
        <v>84</v>
      </c>
      <c r="K461" t="s">
        <v>158</v>
      </c>
      <c r="L461" t="s">
        <v>31</v>
      </c>
    </row>
    <row r="462" spans="1:12" x14ac:dyDescent="0.3">
      <c r="A462" t="s">
        <v>1340</v>
      </c>
      <c r="B462" t="s">
        <v>1250</v>
      </c>
      <c r="C462" t="s">
        <v>460</v>
      </c>
      <c r="D462" t="s">
        <v>169</v>
      </c>
      <c r="E462">
        <v>7</v>
      </c>
      <c r="F462">
        <v>80</v>
      </c>
      <c r="G462" t="s">
        <v>1251</v>
      </c>
      <c r="H462" t="s">
        <v>70</v>
      </c>
      <c r="I462" t="s">
        <v>19</v>
      </c>
      <c r="J462" t="s">
        <v>152</v>
      </c>
      <c r="K462" t="s">
        <v>153</v>
      </c>
      <c r="L462" t="s">
        <v>46</v>
      </c>
    </row>
    <row r="463" spans="1:12" x14ac:dyDescent="0.3">
      <c r="A463" t="s">
        <v>1342</v>
      </c>
      <c r="B463" t="s">
        <v>1089</v>
      </c>
      <c r="C463" t="s">
        <v>716</v>
      </c>
      <c r="D463" t="s">
        <v>146</v>
      </c>
      <c r="E463">
        <v>8</v>
      </c>
      <c r="F463" t="s">
        <v>19</v>
      </c>
      <c r="G463" t="s">
        <v>354</v>
      </c>
      <c r="H463" t="s">
        <v>70</v>
      </c>
      <c r="I463" t="s">
        <v>71</v>
      </c>
      <c r="J463" t="s">
        <v>72</v>
      </c>
      <c r="K463" t="s">
        <v>73</v>
      </c>
      <c r="L463" t="s">
        <v>31</v>
      </c>
    </row>
    <row r="464" spans="1:12" x14ac:dyDescent="0.3">
      <c r="A464" t="s">
        <v>1345</v>
      </c>
      <c r="B464" t="s">
        <v>1254</v>
      </c>
      <c r="C464" t="s">
        <v>887</v>
      </c>
      <c r="D464" t="s">
        <v>146</v>
      </c>
      <c r="E464" t="s">
        <v>19</v>
      </c>
      <c r="F464">
        <v>85</v>
      </c>
      <c r="G464" t="s">
        <v>354</v>
      </c>
      <c r="H464" t="s">
        <v>70</v>
      </c>
      <c r="I464" t="s">
        <v>71</v>
      </c>
      <c r="J464" t="s">
        <v>72</v>
      </c>
      <c r="K464" t="s">
        <v>73</v>
      </c>
      <c r="L464" t="s">
        <v>74</v>
      </c>
    </row>
    <row r="465" spans="1:12" x14ac:dyDescent="0.3">
      <c r="A465" t="s">
        <v>1348</v>
      </c>
      <c r="B465" t="s">
        <v>200</v>
      </c>
      <c r="C465" t="s">
        <v>357</v>
      </c>
      <c r="D465" t="s">
        <v>146</v>
      </c>
      <c r="E465">
        <v>3</v>
      </c>
      <c r="F465">
        <v>85</v>
      </c>
      <c r="G465" t="s">
        <v>241</v>
      </c>
      <c r="H465" t="s">
        <v>37</v>
      </c>
      <c r="I465" t="s">
        <v>38</v>
      </c>
      <c r="J465" t="s">
        <v>39</v>
      </c>
      <c r="K465" t="s">
        <v>66</v>
      </c>
      <c r="L465" t="s">
        <v>31</v>
      </c>
    </row>
    <row r="466" spans="1:12" x14ac:dyDescent="0.3">
      <c r="A466" t="s">
        <v>1350</v>
      </c>
      <c r="B466" t="s">
        <v>1143</v>
      </c>
      <c r="C466" t="s">
        <v>722</v>
      </c>
      <c r="D466" t="s">
        <v>25</v>
      </c>
      <c r="E466">
        <v>10</v>
      </c>
      <c r="F466">
        <v>60</v>
      </c>
      <c r="G466" t="s">
        <v>321</v>
      </c>
      <c r="H466" t="s">
        <v>27</v>
      </c>
      <c r="I466" t="s">
        <v>52</v>
      </c>
      <c r="J466" t="s">
        <v>29</v>
      </c>
      <c r="K466" t="s">
        <v>20</v>
      </c>
      <c r="L466" t="s">
        <v>31</v>
      </c>
    </row>
    <row r="467" spans="1:12" x14ac:dyDescent="0.3">
      <c r="A467" t="s">
        <v>1351</v>
      </c>
      <c r="B467" t="s">
        <v>1258</v>
      </c>
      <c r="C467" t="s">
        <v>1094</v>
      </c>
      <c r="D467" t="s">
        <v>146</v>
      </c>
      <c r="E467">
        <v>4</v>
      </c>
      <c r="F467">
        <v>80</v>
      </c>
      <c r="G467" t="s">
        <v>443</v>
      </c>
      <c r="H467" t="s">
        <v>17</v>
      </c>
      <c r="I467" t="s">
        <v>18</v>
      </c>
      <c r="J467" t="s">
        <v>65</v>
      </c>
      <c r="K467" t="s">
        <v>45</v>
      </c>
      <c r="L467" t="s">
        <v>19</v>
      </c>
    </row>
    <row r="468" spans="1:12" x14ac:dyDescent="0.3">
      <c r="A468" t="s">
        <v>1353</v>
      </c>
      <c r="B468" t="s">
        <v>551</v>
      </c>
      <c r="C468" t="s">
        <v>880</v>
      </c>
      <c r="D468" t="s">
        <v>15</v>
      </c>
      <c r="E468">
        <v>20</v>
      </c>
      <c r="F468">
        <v>45</v>
      </c>
      <c r="G468" t="s">
        <v>36</v>
      </c>
      <c r="H468" t="s">
        <v>405</v>
      </c>
      <c r="I468" t="s">
        <v>18</v>
      </c>
      <c r="J468" t="s">
        <v>65</v>
      </c>
      <c r="K468" t="s">
        <v>60</v>
      </c>
      <c r="L468" t="s">
        <v>46</v>
      </c>
    </row>
    <row r="469" spans="1:12" x14ac:dyDescent="0.3">
      <c r="A469" t="s">
        <v>1354</v>
      </c>
      <c r="B469" t="s">
        <v>1261</v>
      </c>
      <c r="C469" t="s">
        <v>329</v>
      </c>
      <c r="D469" t="s">
        <v>15</v>
      </c>
      <c r="E469">
        <v>4</v>
      </c>
      <c r="F469">
        <v>45</v>
      </c>
      <c r="G469" t="s">
        <v>26</v>
      </c>
      <c r="H469" t="s">
        <v>17</v>
      </c>
      <c r="I469" t="s">
        <v>90</v>
      </c>
      <c r="J469" t="s">
        <v>91</v>
      </c>
      <c r="K469" t="s">
        <v>30</v>
      </c>
      <c r="L469" t="s">
        <v>31</v>
      </c>
    </row>
    <row r="470" spans="1:12" x14ac:dyDescent="0.3">
      <c r="A470" t="s">
        <v>1357</v>
      </c>
      <c r="B470" t="s">
        <v>751</v>
      </c>
      <c r="C470" t="s">
        <v>432</v>
      </c>
      <c r="D470" t="s">
        <v>43</v>
      </c>
      <c r="E470">
        <v>3</v>
      </c>
      <c r="F470">
        <v>95</v>
      </c>
      <c r="G470" t="s">
        <v>44</v>
      </c>
      <c r="H470" t="s">
        <v>37</v>
      </c>
      <c r="I470" t="s">
        <v>38</v>
      </c>
      <c r="J470" t="s">
        <v>39</v>
      </c>
      <c r="K470" t="s">
        <v>20</v>
      </c>
      <c r="L470" t="s">
        <v>31</v>
      </c>
    </row>
    <row r="471" spans="1:12" x14ac:dyDescent="0.3">
      <c r="A471" t="s">
        <v>1359</v>
      </c>
      <c r="B471" t="s">
        <v>1264</v>
      </c>
      <c r="C471" t="s">
        <v>1265</v>
      </c>
      <c r="D471" t="s">
        <v>94</v>
      </c>
      <c r="E471">
        <v>10</v>
      </c>
      <c r="F471">
        <v>68</v>
      </c>
      <c r="G471" t="s">
        <v>354</v>
      </c>
      <c r="H471" t="s">
        <v>70</v>
      </c>
      <c r="I471" t="s">
        <v>151</v>
      </c>
      <c r="J471" t="s">
        <v>188</v>
      </c>
      <c r="K471" t="s">
        <v>30</v>
      </c>
      <c r="L471" t="s">
        <v>46</v>
      </c>
    </row>
    <row r="472" spans="1:12" x14ac:dyDescent="0.3">
      <c r="A472" t="s">
        <v>1361</v>
      </c>
      <c r="B472" t="s">
        <v>1267</v>
      </c>
      <c r="C472" t="s">
        <v>603</v>
      </c>
      <c r="D472" t="s">
        <v>43</v>
      </c>
      <c r="E472">
        <v>19</v>
      </c>
      <c r="F472" t="s">
        <v>19</v>
      </c>
      <c r="G472" t="s">
        <v>69</v>
      </c>
      <c r="H472" t="s">
        <v>37</v>
      </c>
      <c r="I472" t="s">
        <v>83</v>
      </c>
      <c r="J472" t="s">
        <v>84</v>
      </c>
      <c r="K472" t="s">
        <v>158</v>
      </c>
      <c r="L472" t="s">
        <v>21</v>
      </c>
    </row>
    <row r="473" spans="1:12" x14ac:dyDescent="0.3">
      <c r="A473" t="s">
        <v>1364</v>
      </c>
      <c r="B473" t="s">
        <v>1204</v>
      </c>
      <c r="C473" t="s">
        <v>1269</v>
      </c>
      <c r="D473" t="s">
        <v>25</v>
      </c>
      <c r="E473">
        <v>2</v>
      </c>
      <c r="F473">
        <v>50</v>
      </c>
      <c r="G473" t="s">
        <v>266</v>
      </c>
      <c r="H473" t="s">
        <v>19</v>
      </c>
      <c r="I473" t="s">
        <v>90</v>
      </c>
      <c r="J473" t="s">
        <v>91</v>
      </c>
      <c r="K473" t="s">
        <v>66</v>
      </c>
      <c r="L473" t="s">
        <v>21</v>
      </c>
    </row>
    <row r="474" spans="1:12" x14ac:dyDescent="0.3">
      <c r="A474" t="s">
        <v>1367</v>
      </c>
      <c r="B474" t="s">
        <v>1271</v>
      </c>
      <c r="C474" t="s">
        <v>580</v>
      </c>
      <c r="D474" t="s">
        <v>50</v>
      </c>
      <c r="E474">
        <v>12</v>
      </c>
      <c r="F474">
        <v>60</v>
      </c>
      <c r="G474" t="s">
        <v>418</v>
      </c>
      <c r="H474" t="s">
        <v>405</v>
      </c>
      <c r="I474" t="s">
        <v>18</v>
      </c>
      <c r="J474" t="s">
        <v>65</v>
      </c>
      <c r="K474" t="s">
        <v>30</v>
      </c>
      <c r="L474" t="s">
        <v>21</v>
      </c>
    </row>
    <row r="475" spans="1:12" x14ac:dyDescent="0.3">
      <c r="A475" t="s">
        <v>1369</v>
      </c>
      <c r="B475" t="s">
        <v>1273</v>
      </c>
      <c r="C475" t="s">
        <v>252</v>
      </c>
      <c r="D475" t="s">
        <v>169</v>
      </c>
      <c r="E475">
        <v>15</v>
      </c>
      <c r="F475">
        <v>80</v>
      </c>
      <c r="G475" t="s">
        <v>1274</v>
      </c>
      <c r="H475" t="s">
        <v>231</v>
      </c>
      <c r="I475" t="s">
        <v>71</v>
      </c>
      <c r="J475" t="s">
        <v>72</v>
      </c>
      <c r="K475" t="s">
        <v>73</v>
      </c>
      <c r="L475" t="s">
        <v>46</v>
      </c>
    </row>
    <row r="476" spans="1:12" x14ac:dyDescent="0.3">
      <c r="A476" t="s">
        <v>1372</v>
      </c>
      <c r="B476" t="s">
        <v>1276</v>
      </c>
      <c r="C476" t="s">
        <v>716</v>
      </c>
      <c r="D476" t="s">
        <v>25</v>
      </c>
      <c r="E476">
        <v>3</v>
      </c>
      <c r="F476">
        <v>55</v>
      </c>
      <c r="G476" t="s">
        <v>756</v>
      </c>
      <c r="H476" t="s">
        <v>70</v>
      </c>
      <c r="I476" t="s">
        <v>71</v>
      </c>
      <c r="J476" t="s">
        <v>72</v>
      </c>
      <c r="K476" t="s">
        <v>73</v>
      </c>
      <c r="L476" t="s">
        <v>21</v>
      </c>
    </row>
    <row r="477" spans="1:12" x14ac:dyDescent="0.3">
      <c r="A477" t="s">
        <v>1374</v>
      </c>
      <c r="B477" t="s">
        <v>19</v>
      </c>
      <c r="C477" t="s">
        <v>1278</v>
      </c>
      <c r="D477" t="s">
        <v>281</v>
      </c>
      <c r="E477">
        <v>6</v>
      </c>
      <c r="F477">
        <v>65</v>
      </c>
      <c r="G477" t="s">
        <v>503</v>
      </c>
      <c r="H477" t="s">
        <v>17</v>
      </c>
      <c r="I477" t="s">
        <v>90</v>
      </c>
      <c r="J477" t="s">
        <v>91</v>
      </c>
      <c r="K477" t="s">
        <v>66</v>
      </c>
      <c r="L477" t="s">
        <v>31</v>
      </c>
    </row>
    <row r="478" spans="1:12" x14ac:dyDescent="0.3">
      <c r="A478" t="s">
        <v>1377</v>
      </c>
      <c r="B478" t="s">
        <v>684</v>
      </c>
      <c r="C478" t="s">
        <v>273</v>
      </c>
      <c r="D478" t="s">
        <v>667</v>
      </c>
      <c r="E478">
        <v>12</v>
      </c>
      <c r="F478">
        <v>68</v>
      </c>
      <c r="G478" t="s">
        <v>425</v>
      </c>
      <c r="H478" t="s">
        <v>70</v>
      </c>
      <c r="I478" t="s">
        <v>71</v>
      </c>
      <c r="J478" t="s">
        <v>72</v>
      </c>
      <c r="K478" t="s">
        <v>73</v>
      </c>
      <c r="L478" t="s">
        <v>46</v>
      </c>
    </row>
    <row r="479" spans="1:12" x14ac:dyDescent="0.3">
      <c r="A479" t="s">
        <v>1379</v>
      </c>
      <c r="B479" t="s">
        <v>1281</v>
      </c>
      <c r="C479" t="s">
        <v>1282</v>
      </c>
      <c r="D479" t="s">
        <v>25</v>
      </c>
      <c r="E479">
        <v>6</v>
      </c>
      <c r="F479">
        <v>55</v>
      </c>
      <c r="G479" t="s">
        <v>1283</v>
      </c>
      <c r="H479" t="s">
        <v>140</v>
      </c>
      <c r="I479" t="s">
        <v>183</v>
      </c>
      <c r="J479" t="s">
        <v>184</v>
      </c>
      <c r="K479" t="s">
        <v>45</v>
      </c>
      <c r="L479" t="s">
        <v>46</v>
      </c>
    </row>
    <row r="480" spans="1:12" x14ac:dyDescent="0.3">
      <c r="A480" t="s">
        <v>1382</v>
      </c>
      <c r="B480" t="s">
        <v>1285</v>
      </c>
      <c r="C480" t="s">
        <v>428</v>
      </c>
      <c r="D480" t="s">
        <v>125</v>
      </c>
      <c r="E480">
        <v>3</v>
      </c>
      <c r="F480">
        <v>58</v>
      </c>
      <c r="G480" t="s">
        <v>1286</v>
      </c>
      <c r="H480" t="s">
        <v>70</v>
      </c>
      <c r="I480" t="s">
        <v>151</v>
      </c>
      <c r="J480" t="s">
        <v>152</v>
      </c>
      <c r="K480" t="s">
        <v>153</v>
      </c>
      <c r="L480" t="s">
        <v>21</v>
      </c>
    </row>
    <row r="481" spans="1:12" x14ac:dyDescent="0.3">
      <c r="A481" t="s">
        <v>1383</v>
      </c>
      <c r="B481" t="s">
        <v>1287</v>
      </c>
      <c r="C481" t="s">
        <v>320</v>
      </c>
      <c r="D481" t="s">
        <v>25</v>
      </c>
      <c r="E481">
        <v>5</v>
      </c>
      <c r="F481">
        <v>55</v>
      </c>
      <c r="G481" t="s">
        <v>636</v>
      </c>
      <c r="H481" t="s">
        <v>37</v>
      </c>
      <c r="I481" t="s">
        <v>38</v>
      </c>
      <c r="J481" t="s">
        <v>39</v>
      </c>
      <c r="K481" t="s">
        <v>20</v>
      </c>
      <c r="L481" t="s">
        <v>21</v>
      </c>
    </row>
    <row r="482" spans="1:12" x14ac:dyDescent="0.3">
      <c r="A482" t="s">
        <v>1386</v>
      </c>
      <c r="B482" t="s">
        <v>1289</v>
      </c>
      <c r="C482" t="s">
        <v>301</v>
      </c>
      <c r="D482" t="s">
        <v>146</v>
      </c>
      <c r="E482">
        <v>10</v>
      </c>
      <c r="F482">
        <v>80</v>
      </c>
      <c r="G482" t="s">
        <v>253</v>
      </c>
      <c r="H482" t="s">
        <v>17</v>
      </c>
      <c r="I482" t="s">
        <v>18</v>
      </c>
      <c r="J482" t="s">
        <v>65</v>
      </c>
      <c r="K482" t="s">
        <v>60</v>
      </c>
      <c r="L482" t="s">
        <v>31</v>
      </c>
    </row>
    <row r="483" spans="1:12" x14ac:dyDescent="0.3">
      <c r="A483" t="s">
        <v>2159</v>
      </c>
      <c r="B483" t="s">
        <v>1291</v>
      </c>
      <c r="C483" t="s">
        <v>718</v>
      </c>
      <c r="D483" t="s">
        <v>35</v>
      </c>
      <c r="E483">
        <v>20</v>
      </c>
      <c r="F483">
        <v>55</v>
      </c>
      <c r="G483" t="s">
        <v>309</v>
      </c>
      <c r="H483" t="s">
        <v>17</v>
      </c>
      <c r="I483" t="s">
        <v>90</v>
      </c>
      <c r="J483" t="s">
        <v>19</v>
      </c>
      <c r="K483" t="s">
        <v>30</v>
      </c>
      <c r="L483" t="s">
        <v>31</v>
      </c>
    </row>
    <row r="484" spans="1:12" x14ac:dyDescent="0.3">
      <c r="A484" t="s">
        <v>1390</v>
      </c>
      <c r="B484" t="s">
        <v>1291</v>
      </c>
      <c r="C484" t="s">
        <v>718</v>
      </c>
      <c r="D484" t="s">
        <v>35</v>
      </c>
      <c r="E484">
        <v>20</v>
      </c>
      <c r="F484">
        <v>55</v>
      </c>
      <c r="G484" t="s">
        <v>309</v>
      </c>
      <c r="H484" t="s">
        <v>17</v>
      </c>
      <c r="I484" t="s">
        <v>90</v>
      </c>
      <c r="J484" t="s">
        <v>91</v>
      </c>
      <c r="K484" t="s">
        <v>30</v>
      </c>
      <c r="L484" t="s">
        <v>31</v>
      </c>
    </row>
    <row r="485" spans="1:12" x14ac:dyDescent="0.3">
      <c r="A485" t="s">
        <v>1392</v>
      </c>
      <c r="B485" t="s">
        <v>1292</v>
      </c>
      <c r="C485" t="s">
        <v>1293</v>
      </c>
      <c r="D485" t="s">
        <v>146</v>
      </c>
      <c r="E485">
        <v>1</v>
      </c>
      <c r="F485">
        <v>90</v>
      </c>
      <c r="G485" t="s">
        <v>616</v>
      </c>
      <c r="H485" t="s">
        <v>27</v>
      </c>
      <c r="I485" t="s">
        <v>28</v>
      </c>
      <c r="J485" t="s">
        <v>79</v>
      </c>
      <c r="K485" t="s">
        <v>479</v>
      </c>
      <c r="L485" t="s">
        <v>21</v>
      </c>
    </row>
    <row r="486" spans="1:12" x14ac:dyDescent="0.3">
      <c r="A486" t="s">
        <v>1395</v>
      </c>
      <c r="B486" t="s">
        <v>1295</v>
      </c>
      <c r="C486" t="s">
        <v>1296</v>
      </c>
      <c r="D486" t="s">
        <v>676</v>
      </c>
      <c r="E486">
        <v>19</v>
      </c>
      <c r="F486">
        <v>95</v>
      </c>
      <c r="G486" t="s">
        <v>69</v>
      </c>
      <c r="H486" t="s">
        <v>585</v>
      </c>
      <c r="I486" t="s">
        <v>83</v>
      </c>
      <c r="J486" t="s">
        <v>873</v>
      </c>
      <c r="K486" t="s">
        <v>158</v>
      </c>
      <c r="L486" t="s">
        <v>31</v>
      </c>
    </row>
    <row r="487" spans="1:12" x14ac:dyDescent="0.3">
      <c r="A487" t="s">
        <v>1397</v>
      </c>
      <c r="B487" t="s">
        <v>1298</v>
      </c>
      <c r="C487" t="s">
        <v>1299</v>
      </c>
      <c r="D487" t="s">
        <v>50</v>
      </c>
      <c r="E487">
        <v>6</v>
      </c>
      <c r="F487">
        <v>60</v>
      </c>
      <c r="G487" t="s">
        <v>247</v>
      </c>
      <c r="H487" t="s">
        <v>17</v>
      </c>
      <c r="I487" t="s">
        <v>90</v>
      </c>
      <c r="J487" t="s">
        <v>91</v>
      </c>
      <c r="K487" t="s">
        <v>20</v>
      </c>
      <c r="L487" t="s">
        <v>31</v>
      </c>
    </row>
    <row r="488" spans="1:12" x14ac:dyDescent="0.3">
      <c r="A488" t="s">
        <v>1399</v>
      </c>
      <c r="B488" t="s">
        <v>1301</v>
      </c>
      <c r="C488" t="s">
        <v>1302</v>
      </c>
      <c r="D488" t="s">
        <v>94</v>
      </c>
      <c r="E488">
        <v>10</v>
      </c>
      <c r="F488">
        <v>68</v>
      </c>
      <c r="G488" t="s">
        <v>354</v>
      </c>
      <c r="H488" t="s">
        <v>70</v>
      </c>
      <c r="I488" t="s">
        <v>19</v>
      </c>
      <c r="J488" t="s">
        <v>152</v>
      </c>
      <c r="K488" t="s">
        <v>153</v>
      </c>
      <c r="L488" t="s">
        <v>31</v>
      </c>
    </row>
    <row r="489" spans="1:12" x14ac:dyDescent="0.3">
      <c r="A489" t="s">
        <v>1401</v>
      </c>
      <c r="B489" t="s">
        <v>233</v>
      </c>
      <c r="C489" t="s">
        <v>140</v>
      </c>
      <c r="D489" t="s">
        <v>281</v>
      </c>
      <c r="E489">
        <v>7</v>
      </c>
      <c r="F489">
        <v>75</v>
      </c>
      <c r="G489" t="s">
        <v>361</v>
      </c>
      <c r="H489" t="s">
        <v>27</v>
      </c>
      <c r="I489" t="s">
        <v>28</v>
      </c>
      <c r="J489" t="s">
        <v>29</v>
      </c>
      <c r="K489" t="s">
        <v>30</v>
      </c>
      <c r="L489" t="s">
        <v>46</v>
      </c>
    </row>
    <row r="490" spans="1:12" x14ac:dyDescent="0.3">
      <c r="A490" t="s">
        <v>1405</v>
      </c>
      <c r="B490" t="s">
        <v>1305</v>
      </c>
      <c r="C490" t="s">
        <v>1226</v>
      </c>
      <c r="D490" t="s">
        <v>125</v>
      </c>
      <c r="E490">
        <v>5</v>
      </c>
      <c r="F490">
        <v>58</v>
      </c>
      <c r="G490" t="s">
        <v>1306</v>
      </c>
      <c r="H490" t="s">
        <v>37</v>
      </c>
      <c r="I490" t="s">
        <v>225</v>
      </c>
      <c r="J490" t="s">
        <v>226</v>
      </c>
      <c r="K490" t="s">
        <v>30</v>
      </c>
      <c r="L490" t="s">
        <v>21</v>
      </c>
    </row>
    <row r="491" spans="1:12" x14ac:dyDescent="0.3">
      <c r="A491" t="s">
        <v>1407</v>
      </c>
      <c r="B491" t="s">
        <v>1308</v>
      </c>
      <c r="C491" t="s">
        <v>104</v>
      </c>
      <c r="D491" t="s">
        <v>43</v>
      </c>
      <c r="E491">
        <v>4</v>
      </c>
      <c r="F491">
        <v>95</v>
      </c>
      <c r="G491" t="s">
        <v>1198</v>
      </c>
      <c r="H491" t="s">
        <v>37</v>
      </c>
      <c r="I491" t="s">
        <v>38</v>
      </c>
      <c r="J491" t="s">
        <v>39</v>
      </c>
      <c r="K491" t="s">
        <v>30</v>
      </c>
      <c r="L491" t="s">
        <v>46</v>
      </c>
    </row>
    <row r="492" spans="1:12" x14ac:dyDescent="0.3">
      <c r="A492" t="s">
        <v>1408</v>
      </c>
      <c r="B492" t="s">
        <v>635</v>
      </c>
      <c r="C492" t="s">
        <v>34</v>
      </c>
      <c r="D492" t="s">
        <v>35</v>
      </c>
      <c r="E492">
        <v>14</v>
      </c>
      <c r="F492">
        <v>55</v>
      </c>
      <c r="G492" t="s">
        <v>235</v>
      </c>
      <c r="H492" t="s">
        <v>17</v>
      </c>
      <c r="I492" t="s">
        <v>18</v>
      </c>
      <c r="J492" t="s">
        <v>65</v>
      </c>
      <c r="K492" t="s">
        <v>711</v>
      </c>
      <c r="L492" t="s">
        <v>31</v>
      </c>
    </row>
    <row r="493" spans="1:12" x14ac:dyDescent="0.3">
      <c r="A493" t="s">
        <v>1411</v>
      </c>
      <c r="B493" t="s">
        <v>1311</v>
      </c>
      <c r="C493" t="s">
        <v>19</v>
      </c>
      <c r="D493" t="s">
        <v>43</v>
      </c>
      <c r="E493">
        <v>10</v>
      </c>
      <c r="F493">
        <v>100</v>
      </c>
      <c r="G493" t="s">
        <v>948</v>
      </c>
      <c r="H493" t="s">
        <v>27</v>
      </c>
      <c r="I493" t="s">
        <v>28</v>
      </c>
      <c r="J493" t="s">
        <v>79</v>
      </c>
      <c r="K493" t="s">
        <v>54</v>
      </c>
      <c r="L493" t="s">
        <v>31</v>
      </c>
    </row>
    <row r="494" spans="1:12" x14ac:dyDescent="0.3">
      <c r="A494" t="s">
        <v>1413</v>
      </c>
      <c r="B494" t="s">
        <v>1313</v>
      </c>
      <c r="C494" t="s">
        <v>1314</v>
      </c>
      <c r="D494" t="s">
        <v>50</v>
      </c>
      <c r="E494">
        <v>19</v>
      </c>
      <c r="F494" t="s">
        <v>19</v>
      </c>
      <c r="G494" t="s">
        <v>340</v>
      </c>
      <c r="H494" t="s">
        <v>17</v>
      </c>
      <c r="I494" t="s">
        <v>90</v>
      </c>
      <c r="J494" t="s">
        <v>91</v>
      </c>
      <c r="K494" t="s">
        <v>45</v>
      </c>
      <c r="L494" t="s">
        <v>21</v>
      </c>
    </row>
    <row r="495" spans="1:12" x14ac:dyDescent="0.3">
      <c r="A495" t="s">
        <v>1416</v>
      </c>
      <c r="B495" t="s">
        <v>1316</v>
      </c>
      <c r="C495" t="s">
        <v>229</v>
      </c>
      <c r="D495" t="s">
        <v>281</v>
      </c>
      <c r="E495">
        <v>19</v>
      </c>
      <c r="F495">
        <v>65</v>
      </c>
      <c r="G495" t="s">
        <v>348</v>
      </c>
      <c r="H495" t="s">
        <v>17</v>
      </c>
      <c r="I495" t="s">
        <v>90</v>
      </c>
      <c r="J495" t="s">
        <v>91</v>
      </c>
      <c r="K495" t="s">
        <v>30</v>
      </c>
      <c r="L495" t="s">
        <v>46</v>
      </c>
    </row>
    <row r="496" spans="1:12" x14ac:dyDescent="0.3">
      <c r="A496" t="s">
        <v>1418</v>
      </c>
      <c r="B496" t="s">
        <v>1318</v>
      </c>
      <c r="C496" t="s">
        <v>104</v>
      </c>
      <c r="D496" t="s">
        <v>50</v>
      </c>
      <c r="E496">
        <v>13</v>
      </c>
      <c r="F496">
        <v>65</v>
      </c>
      <c r="G496" t="s">
        <v>1319</v>
      </c>
      <c r="H496" t="s">
        <v>70</v>
      </c>
      <c r="I496" t="s">
        <v>71</v>
      </c>
      <c r="J496" t="s">
        <v>72</v>
      </c>
      <c r="K496" t="s">
        <v>73</v>
      </c>
      <c r="L496" t="s">
        <v>46</v>
      </c>
    </row>
    <row r="497" spans="1:12" x14ac:dyDescent="0.3">
      <c r="A497" t="s">
        <v>1420</v>
      </c>
      <c r="B497" t="s">
        <v>1320</v>
      </c>
      <c r="C497" t="s">
        <v>824</v>
      </c>
      <c r="D497" t="s">
        <v>15</v>
      </c>
      <c r="E497">
        <v>3</v>
      </c>
      <c r="F497">
        <v>45</v>
      </c>
      <c r="G497" t="s">
        <v>1321</v>
      </c>
      <c r="H497" t="s">
        <v>17</v>
      </c>
      <c r="I497" t="s">
        <v>90</v>
      </c>
      <c r="J497" t="s">
        <v>91</v>
      </c>
      <c r="K497" t="s">
        <v>30</v>
      </c>
      <c r="L497" t="s">
        <v>21</v>
      </c>
    </row>
    <row r="498" spans="1:12" x14ac:dyDescent="0.3">
      <c r="A498" t="s">
        <v>1423</v>
      </c>
      <c r="B498" t="s">
        <v>1323</v>
      </c>
      <c r="C498" t="s">
        <v>675</v>
      </c>
      <c r="D498" t="s">
        <v>43</v>
      </c>
      <c r="E498">
        <v>12</v>
      </c>
      <c r="F498">
        <v>100</v>
      </c>
      <c r="G498" t="s">
        <v>182</v>
      </c>
      <c r="H498" t="s">
        <v>27</v>
      </c>
      <c r="I498" t="s">
        <v>100</v>
      </c>
      <c r="J498" t="s">
        <v>101</v>
      </c>
      <c r="K498" t="s">
        <v>60</v>
      </c>
      <c r="L498" t="s">
        <v>21</v>
      </c>
    </row>
    <row r="499" spans="1:12" x14ac:dyDescent="0.3">
      <c r="A499" t="s">
        <v>1424</v>
      </c>
      <c r="B499" t="s">
        <v>1325</v>
      </c>
      <c r="C499" t="s">
        <v>104</v>
      </c>
      <c r="D499" t="s">
        <v>125</v>
      </c>
      <c r="E499">
        <v>5</v>
      </c>
      <c r="F499">
        <v>58</v>
      </c>
      <c r="G499" t="s">
        <v>1306</v>
      </c>
      <c r="H499" t="s">
        <v>19</v>
      </c>
      <c r="I499" t="s">
        <v>83</v>
      </c>
      <c r="J499" t="s">
        <v>84</v>
      </c>
      <c r="K499" t="s">
        <v>158</v>
      </c>
      <c r="L499" t="s">
        <v>21</v>
      </c>
    </row>
    <row r="500" spans="1:12" x14ac:dyDescent="0.3">
      <c r="A500" t="s">
        <v>1427</v>
      </c>
      <c r="B500" t="s">
        <v>1043</v>
      </c>
      <c r="C500" t="s">
        <v>794</v>
      </c>
      <c r="D500" t="s">
        <v>35</v>
      </c>
      <c r="E500">
        <v>18</v>
      </c>
      <c r="F500">
        <v>60</v>
      </c>
      <c r="G500" t="s">
        <v>117</v>
      </c>
      <c r="H500" t="s">
        <v>231</v>
      </c>
      <c r="I500" t="s">
        <v>151</v>
      </c>
      <c r="J500" t="s">
        <v>152</v>
      </c>
      <c r="K500" t="s">
        <v>153</v>
      </c>
      <c r="L500" t="s">
        <v>31</v>
      </c>
    </row>
    <row r="501" spans="1:12" x14ac:dyDescent="0.3">
      <c r="A501" t="s">
        <v>1430</v>
      </c>
      <c r="B501" t="s">
        <v>1328</v>
      </c>
      <c r="C501" t="s">
        <v>552</v>
      </c>
      <c r="D501" t="s">
        <v>94</v>
      </c>
      <c r="E501">
        <v>10</v>
      </c>
      <c r="F501">
        <v>68</v>
      </c>
      <c r="G501" t="s">
        <v>354</v>
      </c>
      <c r="H501" t="s">
        <v>37</v>
      </c>
      <c r="I501" t="s">
        <v>19</v>
      </c>
      <c r="J501" t="s">
        <v>19</v>
      </c>
      <c r="K501" t="s">
        <v>158</v>
      </c>
      <c r="L501" t="s">
        <v>21</v>
      </c>
    </row>
    <row r="502" spans="1:12" x14ac:dyDescent="0.3">
      <c r="A502" t="s">
        <v>1431</v>
      </c>
      <c r="B502" t="s">
        <v>892</v>
      </c>
      <c r="C502" t="s">
        <v>240</v>
      </c>
      <c r="D502" t="s">
        <v>169</v>
      </c>
      <c r="E502">
        <v>20</v>
      </c>
      <c r="F502">
        <v>85</v>
      </c>
      <c r="G502" t="s">
        <v>470</v>
      </c>
      <c r="H502" t="s">
        <v>27</v>
      </c>
      <c r="I502" t="s">
        <v>100</v>
      </c>
      <c r="J502" t="s">
        <v>101</v>
      </c>
      <c r="K502" t="s">
        <v>66</v>
      </c>
      <c r="L502" t="s">
        <v>31</v>
      </c>
    </row>
    <row r="503" spans="1:12" x14ac:dyDescent="0.3">
      <c r="A503" t="s">
        <v>1433</v>
      </c>
      <c r="B503" t="s">
        <v>1331</v>
      </c>
      <c r="C503" t="s">
        <v>1067</v>
      </c>
      <c r="D503" t="s">
        <v>94</v>
      </c>
      <c r="E503">
        <v>1</v>
      </c>
      <c r="F503">
        <v>68</v>
      </c>
      <c r="G503" t="s">
        <v>1332</v>
      </c>
      <c r="H503" t="s">
        <v>70</v>
      </c>
      <c r="I503" t="s">
        <v>151</v>
      </c>
      <c r="J503" t="s">
        <v>364</v>
      </c>
      <c r="K503" t="s">
        <v>153</v>
      </c>
      <c r="L503" t="s">
        <v>31</v>
      </c>
    </row>
    <row r="504" spans="1:12" x14ac:dyDescent="0.3">
      <c r="A504" t="s">
        <v>1435</v>
      </c>
      <c r="B504" t="s">
        <v>1334</v>
      </c>
      <c r="C504" t="s">
        <v>630</v>
      </c>
      <c r="D504" t="s">
        <v>25</v>
      </c>
      <c r="E504">
        <v>12</v>
      </c>
      <c r="F504">
        <v>60</v>
      </c>
      <c r="G504" t="s">
        <v>418</v>
      </c>
      <c r="H504" t="s">
        <v>846</v>
      </c>
      <c r="I504" t="s">
        <v>28</v>
      </c>
      <c r="J504" t="s">
        <v>29</v>
      </c>
      <c r="K504" t="s">
        <v>30</v>
      </c>
      <c r="L504" t="s">
        <v>31</v>
      </c>
    </row>
    <row r="505" spans="1:12" x14ac:dyDescent="0.3">
      <c r="A505" t="s">
        <v>1438</v>
      </c>
      <c r="B505" t="s">
        <v>1336</v>
      </c>
      <c r="C505" t="s">
        <v>1337</v>
      </c>
      <c r="D505" t="s">
        <v>43</v>
      </c>
      <c r="E505">
        <v>8</v>
      </c>
      <c r="F505">
        <v>90</v>
      </c>
      <c r="G505" t="s">
        <v>418</v>
      </c>
      <c r="H505" t="s">
        <v>17</v>
      </c>
      <c r="I505" t="s">
        <v>18</v>
      </c>
      <c r="J505" t="s">
        <v>65</v>
      </c>
      <c r="K505" t="s">
        <v>30</v>
      </c>
      <c r="L505" t="s">
        <v>21</v>
      </c>
    </row>
    <row r="506" spans="1:12" x14ac:dyDescent="0.3">
      <c r="A506" t="s">
        <v>1440</v>
      </c>
      <c r="B506" t="s">
        <v>1339</v>
      </c>
      <c r="C506" t="s">
        <v>357</v>
      </c>
      <c r="D506" t="s">
        <v>146</v>
      </c>
      <c r="E506">
        <v>11</v>
      </c>
      <c r="F506">
        <v>85</v>
      </c>
      <c r="G506" t="s">
        <v>399</v>
      </c>
      <c r="H506" t="s">
        <v>70</v>
      </c>
      <c r="I506" t="s">
        <v>71</v>
      </c>
      <c r="J506" t="s">
        <v>72</v>
      </c>
      <c r="K506" t="s">
        <v>73</v>
      </c>
      <c r="L506" t="s">
        <v>21</v>
      </c>
    </row>
    <row r="507" spans="1:12" x14ac:dyDescent="0.3">
      <c r="A507" t="s">
        <v>1442</v>
      </c>
      <c r="B507" t="s">
        <v>1341</v>
      </c>
      <c r="C507" t="s">
        <v>615</v>
      </c>
      <c r="D507" t="s">
        <v>35</v>
      </c>
      <c r="E507">
        <v>3</v>
      </c>
      <c r="F507">
        <v>60</v>
      </c>
      <c r="G507" t="s">
        <v>26</v>
      </c>
      <c r="H507" t="s">
        <v>37</v>
      </c>
      <c r="I507" t="s">
        <v>83</v>
      </c>
      <c r="J507" t="s">
        <v>84</v>
      </c>
      <c r="K507" t="s">
        <v>158</v>
      </c>
      <c r="L507" t="s">
        <v>21</v>
      </c>
    </row>
    <row r="508" spans="1:12" x14ac:dyDescent="0.3">
      <c r="A508" t="s">
        <v>1444</v>
      </c>
      <c r="B508" t="s">
        <v>1343</v>
      </c>
      <c r="C508" t="s">
        <v>1344</v>
      </c>
      <c r="D508" t="s">
        <v>169</v>
      </c>
      <c r="E508">
        <v>4</v>
      </c>
      <c r="F508">
        <v>75</v>
      </c>
      <c r="G508" t="s">
        <v>446</v>
      </c>
      <c r="H508" t="s">
        <v>17</v>
      </c>
      <c r="I508" t="s">
        <v>18</v>
      </c>
      <c r="J508" t="s">
        <v>65</v>
      </c>
      <c r="K508" t="s">
        <v>45</v>
      </c>
      <c r="L508" t="s">
        <v>31</v>
      </c>
    </row>
    <row r="509" spans="1:12" x14ac:dyDescent="0.3">
      <c r="A509" t="s">
        <v>1446</v>
      </c>
      <c r="B509" t="s">
        <v>1346</v>
      </c>
      <c r="C509" t="s">
        <v>1282</v>
      </c>
      <c r="D509" t="s">
        <v>94</v>
      </c>
      <c r="E509" t="s">
        <v>19</v>
      </c>
      <c r="F509">
        <v>73</v>
      </c>
      <c r="G509" t="s">
        <v>1347</v>
      </c>
      <c r="H509" t="s">
        <v>27</v>
      </c>
      <c r="I509" t="s">
        <v>28</v>
      </c>
      <c r="J509" t="s">
        <v>29</v>
      </c>
      <c r="K509" t="s">
        <v>60</v>
      </c>
      <c r="L509" t="s">
        <v>31</v>
      </c>
    </row>
    <row r="510" spans="1:12" x14ac:dyDescent="0.3">
      <c r="A510" t="s">
        <v>1448</v>
      </c>
      <c r="B510" t="s">
        <v>1349</v>
      </c>
      <c r="C510" t="s">
        <v>824</v>
      </c>
      <c r="D510" t="s">
        <v>169</v>
      </c>
      <c r="E510" t="s">
        <v>19</v>
      </c>
      <c r="F510">
        <v>80</v>
      </c>
      <c r="G510" t="s">
        <v>388</v>
      </c>
      <c r="H510" t="s">
        <v>231</v>
      </c>
      <c r="I510" t="s">
        <v>151</v>
      </c>
      <c r="J510" t="s">
        <v>152</v>
      </c>
      <c r="K510" t="s">
        <v>153</v>
      </c>
      <c r="L510" t="s">
        <v>21</v>
      </c>
    </row>
    <row r="511" spans="1:12" x14ac:dyDescent="0.3">
      <c r="A511" t="s">
        <v>1450</v>
      </c>
      <c r="B511" t="s">
        <v>144</v>
      </c>
      <c r="C511" t="s">
        <v>229</v>
      </c>
      <c r="D511" t="s">
        <v>50</v>
      </c>
      <c r="E511">
        <v>13</v>
      </c>
      <c r="F511">
        <v>70</v>
      </c>
      <c r="G511" t="s">
        <v>333</v>
      </c>
      <c r="H511" t="s">
        <v>27</v>
      </c>
      <c r="I511" t="s">
        <v>28</v>
      </c>
      <c r="J511" t="s">
        <v>29</v>
      </c>
      <c r="K511" t="s">
        <v>66</v>
      </c>
      <c r="L511" t="s">
        <v>21</v>
      </c>
    </row>
    <row r="512" spans="1:12" x14ac:dyDescent="0.3">
      <c r="A512" t="s">
        <v>1452</v>
      </c>
      <c r="B512" t="s">
        <v>1352</v>
      </c>
      <c r="C512" t="s">
        <v>292</v>
      </c>
      <c r="D512" t="s">
        <v>19</v>
      </c>
      <c r="E512">
        <v>14</v>
      </c>
      <c r="F512">
        <v>60</v>
      </c>
      <c r="G512" t="s">
        <v>739</v>
      </c>
      <c r="H512" t="s">
        <v>37</v>
      </c>
      <c r="I512" t="s">
        <v>83</v>
      </c>
      <c r="J512" t="s">
        <v>873</v>
      </c>
      <c r="K512" t="s">
        <v>158</v>
      </c>
      <c r="L512" t="s">
        <v>46</v>
      </c>
    </row>
    <row r="513" spans="1:12" x14ac:dyDescent="0.3">
      <c r="A513" t="s">
        <v>1454</v>
      </c>
      <c r="B513" t="s">
        <v>484</v>
      </c>
      <c r="C513" t="s">
        <v>592</v>
      </c>
      <c r="D513" t="s">
        <v>15</v>
      </c>
      <c r="E513">
        <v>4</v>
      </c>
      <c r="F513">
        <v>55</v>
      </c>
      <c r="G513" t="s">
        <v>270</v>
      </c>
      <c r="H513" t="s">
        <v>27</v>
      </c>
      <c r="I513" t="s">
        <v>28</v>
      </c>
      <c r="J513" t="s">
        <v>79</v>
      </c>
      <c r="K513" t="s">
        <v>54</v>
      </c>
      <c r="L513" t="s">
        <v>21</v>
      </c>
    </row>
    <row r="514" spans="1:12" x14ac:dyDescent="0.3">
      <c r="A514" t="s">
        <v>1457</v>
      </c>
      <c r="B514" t="s">
        <v>1355</v>
      </c>
      <c r="C514" t="s">
        <v>1356</v>
      </c>
      <c r="D514" t="s">
        <v>25</v>
      </c>
      <c r="E514">
        <v>5</v>
      </c>
      <c r="F514">
        <v>50</v>
      </c>
      <c r="G514" t="s">
        <v>836</v>
      </c>
      <c r="H514" t="s">
        <v>17</v>
      </c>
      <c r="I514" t="s">
        <v>90</v>
      </c>
      <c r="J514" t="s">
        <v>138</v>
      </c>
      <c r="K514" t="s">
        <v>60</v>
      </c>
      <c r="L514" t="s">
        <v>21</v>
      </c>
    </row>
    <row r="515" spans="1:12" x14ac:dyDescent="0.3">
      <c r="A515" t="s">
        <v>1458</v>
      </c>
      <c r="B515" t="s">
        <v>1358</v>
      </c>
      <c r="C515" t="s">
        <v>329</v>
      </c>
      <c r="D515" t="s">
        <v>15</v>
      </c>
      <c r="E515">
        <v>4</v>
      </c>
      <c r="F515">
        <v>50</v>
      </c>
      <c r="G515" t="s">
        <v>1060</v>
      </c>
      <c r="H515" t="s">
        <v>37</v>
      </c>
      <c r="I515" t="s">
        <v>83</v>
      </c>
      <c r="J515" t="s">
        <v>84</v>
      </c>
      <c r="K515" t="s">
        <v>158</v>
      </c>
      <c r="L515" t="s">
        <v>21</v>
      </c>
    </row>
    <row r="516" spans="1:12" x14ac:dyDescent="0.3">
      <c r="A516" t="s">
        <v>1459</v>
      </c>
      <c r="B516" t="s">
        <v>1360</v>
      </c>
      <c r="C516" t="s">
        <v>244</v>
      </c>
      <c r="D516" t="s">
        <v>146</v>
      </c>
      <c r="E516">
        <v>9</v>
      </c>
      <c r="F516">
        <v>85</v>
      </c>
      <c r="G516" t="s">
        <v>1240</v>
      </c>
      <c r="H516" t="s">
        <v>70</v>
      </c>
      <c r="I516" t="s">
        <v>775</v>
      </c>
      <c r="J516" t="s">
        <v>184</v>
      </c>
      <c r="K516" t="s">
        <v>60</v>
      </c>
      <c r="L516" t="s">
        <v>21</v>
      </c>
    </row>
    <row r="517" spans="1:12" x14ac:dyDescent="0.3">
      <c r="A517" t="s">
        <v>1460</v>
      </c>
      <c r="B517" t="s">
        <v>1360</v>
      </c>
      <c r="C517" t="s">
        <v>244</v>
      </c>
      <c r="D517" t="s">
        <v>146</v>
      </c>
      <c r="E517">
        <v>9</v>
      </c>
      <c r="F517">
        <v>85</v>
      </c>
      <c r="G517" t="s">
        <v>1240</v>
      </c>
      <c r="H517" t="s">
        <v>70</v>
      </c>
      <c r="I517" t="s">
        <v>183</v>
      </c>
      <c r="J517" t="s">
        <v>184</v>
      </c>
      <c r="K517" t="s">
        <v>60</v>
      </c>
      <c r="L517" t="s">
        <v>21</v>
      </c>
    </row>
    <row r="518" spans="1:12" x14ac:dyDescent="0.3">
      <c r="A518" t="s">
        <v>1462</v>
      </c>
      <c r="B518" t="s">
        <v>1362</v>
      </c>
      <c r="C518" t="s">
        <v>525</v>
      </c>
      <c r="D518" t="s">
        <v>125</v>
      </c>
      <c r="E518">
        <v>1</v>
      </c>
      <c r="F518">
        <v>58</v>
      </c>
      <c r="G518" t="s">
        <v>1363</v>
      </c>
      <c r="H518" t="s">
        <v>19</v>
      </c>
      <c r="I518" t="s">
        <v>183</v>
      </c>
      <c r="J518" t="s">
        <v>184</v>
      </c>
      <c r="K518" t="s">
        <v>139</v>
      </c>
      <c r="L518" t="s">
        <v>31</v>
      </c>
    </row>
    <row r="519" spans="1:12" x14ac:dyDescent="0.3">
      <c r="A519" t="s">
        <v>1464</v>
      </c>
      <c r="B519" t="s">
        <v>1365</v>
      </c>
      <c r="C519" t="s">
        <v>600</v>
      </c>
      <c r="D519" t="s">
        <v>125</v>
      </c>
      <c r="E519">
        <v>19</v>
      </c>
      <c r="F519">
        <v>58</v>
      </c>
      <c r="G519" t="s">
        <v>1366</v>
      </c>
      <c r="H519" t="s">
        <v>70</v>
      </c>
      <c r="I519" t="s">
        <v>183</v>
      </c>
      <c r="J519" t="s">
        <v>19</v>
      </c>
      <c r="K519" t="s">
        <v>2190</v>
      </c>
      <c r="L519" t="s">
        <v>31</v>
      </c>
    </row>
    <row r="520" spans="1:12" x14ac:dyDescent="0.3">
      <c r="A520" t="s">
        <v>1466</v>
      </c>
      <c r="B520" t="s">
        <v>1368</v>
      </c>
      <c r="C520" t="s">
        <v>1296</v>
      </c>
      <c r="D520" t="s">
        <v>50</v>
      </c>
      <c r="E520">
        <v>11</v>
      </c>
      <c r="F520">
        <v>70</v>
      </c>
      <c r="G520" t="s">
        <v>235</v>
      </c>
      <c r="H520" t="s">
        <v>27</v>
      </c>
      <c r="I520" t="s">
        <v>28</v>
      </c>
      <c r="J520" t="s">
        <v>79</v>
      </c>
      <c r="K520" t="s">
        <v>54</v>
      </c>
      <c r="L520" t="s">
        <v>46</v>
      </c>
    </row>
    <row r="521" spans="1:12" x14ac:dyDescent="0.3">
      <c r="A521" t="s">
        <v>1468</v>
      </c>
      <c r="B521" t="s">
        <v>1370</v>
      </c>
      <c r="C521" t="s">
        <v>252</v>
      </c>
      <c r="D521" t="s">
        <v>15</v>
      </c>
      <c r="E521">
        <v>4</v>
      </c>
      <c r="F521">
        <v>55</v>
      </c>
      <c r="G521" t="s">
        <v>270</v>
      </c>
      <c r="H521" t="s">
        <v>27</v>
      </c>
      <c r="I521" t="s">
        <v>28</v>
      </c>
      <c r="J521" t="s">
        <v>1371</v>
      </c>
      <c r="K521" t="s">
        <v>30</v>
      </c>
      <c r="L521" t="s">
        <v>19</v>
      </c>
    </row>
    <row r="522" spans="1:12" x14ac:dyDescent="0.3">
      <c r="A522" t="s">
        <v>1469</v>
      </c>
      <c r="B522" t="s">
        <v>1373</v>
      </c>
      <c r="C522" t="s">
        <v>244</v>
      </c>
      <c r="D522" t="s">
        <v>169</v>
      </c>
      <c r="E522">
        <v>3</v>
      </c>
      <c r="F522">
        <v>75</v>
      </c>
      <c r="G522" t="s">
        <v>919</v>
      </c>
      <c r="H522" t="s">
        <v>17</v>
      </c>
      <c r="I522" t="s">
        <v>18</v>
      </c>
      <c r="J522" t="s">
        <v>65</v>
      </c>
      <c r="K522" t="s">
        <v>30</v>
      </c>
      <c r="L522" t="s">
        <v>21</v>
      </c>
    </row>
    <row r="523" spans="1:12" x14ac:dyDescent="0.3">
      <c r="A523" t="s">
        <v>1472</v>
      </c>
      <c r="B523" t="s">
        <v>1375</v>
      </c>
      <c r="C523" t="s">
        <v>943</v>
      </c>
      <c r="D523" t="s">
        <v>19</v>
      </c>
      <c r="E523">
        <v>14</v>
      </c>
      <c r="F523">
        <v>95</v>
      </c>
      <c r="G523" t="s">
        <v>1376</v>
      </c>
      <c r="H523" t="s">
        <v>37</v>
      </c>
      <c r="I523" t="s">
        <v>38</v>
      </c>
      <c r="J523" t="s">
        <v>39</v>
      </c>
      <c r="K523" t="s">
        <v>330</v>
      </c>
      <c r="L523" t="s">
        <v>46</v>
      </c>
    </row>
    <row r="524" spans="1:12" x14ac:dyDescent="0.3">
      <c r="A524" t="s">
        <v>1474</v>
      </c>
      <c r="B524" t="s">
        <v>1378</v>
      </c>
      <c r="C524" t="s">
        <v>709</v>
      </c>
      <c r="D524" t="s">
        <v>25</v>
      </c>
      <c r="E524">
        <v>14</v>
      </c>
      <c r="F524">
        <v>55</v>
      </c>
      <c r="G524" t="s">
        <v>235</v>
      </c>
      <c r="H524" t="s">
        <v>37</v>
      </c>
      <c r="I524" t="s">
        <v>225</v>
      </c>
      <c r="J524" t="s">
        <v>226</v>
      </c>
      <c r="K524" t="s">
        <v>60</v>
      </c>
      <c r="L524" t="s">
        <v>21</v>
      </c>
    </row>
    <row r="525" spans="1:12" x14ac:dyDescent="0.3">
      <c r="A525" t="s">
        <v>1477</v>
      </c>
      <c r="B525" t="s">
        <v>1380</v>
      </c>
      <c r="C525" t="s">
        <v>208</v>
      </c>
      <c r="D525" t="s">
        <v>25</v>
      </c>
      <c r="E525">
        <v>10</v>
      </c>
      <c r="F525">
        <v>55</v>
      </c>
      <c r="G525" t="s">
        <v>589</v>
      </c>
      <c r="H525" t="s">
        <v>70</v>
      </c>
      <c r="I525" t="s">
        <v>183</v>
      </c>
      <c r="J525" t="s">
        <v>184</v>
      </c>
      <c r="K525" t="s">
        <v>45</v>
      </c>
      <c r="L525" t="s">
        <v>46</v>
      </c>
    </row>
    <row r="526" spans="1:12" x14ac:dyDescent="0.3">
      <c r="A526" t="s">
        <v>1478</v>
      </c>
      <c r="B526" t="s">
        <v>1381</v>
      </c>
      <c r="C526" t="s">
        <v>588</v>
      </c>
      <c r="D526" t="s">
        <v>94</v>
      </c>
      <c r="E526">
        <v>8</v>
      </c>
      <c r="F526">
        <v>63</v>
      </c>
      <c r="G526" t="s">
        <v>876</v>
      </c>
      <c r="H526" t="s">
        <v>17</v>
      </c>
      <c r="I526" t="s">
        <v>18</v>
      </c>
      <c r="J526" t="s">
        <v>65</v>
      </c>
      <c r="K526" t="s">
        <v>30</v>
      </c>
      <c r="L526" t="s">
        <v>31</v>
      </c>
    </row>
    <row r="527" spans="1:12" x14ac:dyDescent="0.3">
      <c r="A527" t="s">
        <v>1481</v>
      </c>
      <c r="B527" t="s">
        <v>1006</v>
      </c>
      <c r="C527" t="s">
        <v>360</v>
      </c>
      <c r="D527" t="s">
        <v>15</v>
      </c>
      <c r="E527">
        <v>5</v>
      </c>
      <c r="F527">
        <v>50</v>
      </c>
      <c r="G527" t="s">
        <v>836</v>
      </c>
      <c r="H527" t="s">
        <v>70</v>
      </c>
      <c r="I527" t="s">
        <v>183</v>
      </c>
      <c r="J527" t="s">
        <v>19</v>
      </c>
      <c r="K527" t="s">
        <v>60</v>
      </c>
      <c r="L527" t="s">
        <v>21</v>
      </c>
    </row>
    <row r="528" spans="1:12" x14ac:dyDescent="0.3">
      <c r="A528" t="s">
        <v>1482</v>
      </c>
      <c r="B528" t="s">
        <v>1384</v>
      </c>
      <c r="C528" t="s">
        <v>357</v>
      </c>
      <c r="D528" t="s">
        <v>94</v>
      </c>
      <c r="E528">
        <v>16</v>
      </c>
      <c r="F528">
        <v>73</v>
      </c>
      <c r="G528" t="s">
        <v>1385</v>
      </c>
      <c r="H528" t="s">
        <v>846</v>
      </c>
      <c r="I528" t="s">
        <v>100</v>
      </c>
      <c r="J528" t="s">
        <v>19</v>
      </c>
      <c r="K528" t="s">
        <v>20</v>
      </c>
      <c r="L528" t="s">
        <v>31</v>
      </c>
    </row>
    <row r="529" spans="1:12" x14ac:dyDescent="0.3">
      <c r="A529" t="s">
        <v>1484</v>
      </c>
      <c r="B529" t="s">
        <v>1387</v>
      </c>
      <c r="C529" t="s">
        <v>543</v>
      </c>
      <c r="D529" t="s">
        <v>146</v>
      </c>
      <c r="E529">
        <v>9</v>
      </c>
      <c r="F529">
        <v>85</v>
      </c>
      <c r="G529" t="s">
        <v>1388</v>
      </c>
      <c r="H529" t="s">
        <v>37</v>
      </c>
      <c r="I529" t="s">
        <v>225</v>
      </c>
      <c r="J529" t="s">
        <v>226</v>
      </c>
      <c r="K529" t="s">
        <v>66</v>
      </c>
      <c r="L529" t="s">
        <v>31</v>
      </c>
    </row>
    <row r="530" spans="1:12" x14ac:dyDescent="0.3">
      <c r="A530" t="s">
        <v>2160</v>
      </c>
      <c r="B530" t="s">
        <v>1389</v>
      </c>
      <c r="C530" t="s">
        <v>394</v>
      </c>
      <c r="D530" t="s">
        <v>146</v>
      </c>
      <c r="E530">
        <v>2</v>
      </c>
      <c r="F530">
        <v>80</v>
      </c>
      <c r="G530" t="s">
        <v>1176</v>
      </c>
      <c r="H530" t="s">
        <v>17</v>
      </c>
      <c r="I530" t="s">
        <v>90</v>
      </c>
      <c r="J530" t="s">
        <v>91</v>
      </c>
      <c r="K530" t="s">
        <v>20</v>
      </c>
      <c r="L530" t="s">
        <v>31</v>
      </c>
    </row>
    <row r="531" spans="1:12" x14ac:dyDescent="0.3">
      <c r="A531" t="s">
        <v>1486</v>
      </c>
      <c r="B531" t="s">
        <v>1391</v>
      </c>
      <c r="C531" t="s">
        <v>244</v>
      </c>
      <c r="D531" t="s">
        <v>15</v>
      </c>
      <c r="E531">
        <v>16</v>
      </c>
      <c r="F531">
        <v>50</v>
      </c>
      <c r="G531" t="s">
        <v>253</v>
      </c>
      <c r="H531" t="s">
        <v>70</v>
      </c>
      <c r="I531" t="s">
        <v>71</v>
      </c>
      <c r="J531" t="s">
        <v>72</v>
      </c>
      <c r="K531" t="s">
        <v>2190</v>
      </c>
      <c r="L531" t="s">
        <v>31</v>
      </c>
    </row>
    <row r="532" spans="1:12" x14ac:dyDescent="0.3">
      <c r="A532" t="s">
        <v>1487</v>
      </c>
      <c r="B532" t="s">
        <v>1393</v>
      </c>
      <c r="C532" t="s">
        <v>966</v>
      </c>
      <c r="D532" t="s">
        <v>169</v>
      </c>
      <c r="E532">
        <v>1</v>
      </c>
      <c r="F532">
        <v>75</v>
      </c>
      <c r="G532" t="s">
        <v>1394</v>
      </c>
      <c r="H532" t="s">
        <v>17</v>
      </c>
      <c r="I532" t="s">
        <v>90</v>
      </c>
      <c r="J532" t="s">
        <v>91</v>
      </c>
      <c r="K532" t="s">
        <v>60</v>
      </c>
      <c r="L532" t="s">
        <v>21</v>
      </c>
    </row>
    <row r="533" spans="1:12" x14ac:dyDescent="0.3">
      <c r="A533" t="s">
        <v>1491</v>
      </c>
      <c r="B533" t="s">
        <v>1396</v>
      </c>
      <c r="C533" t="s">
        <v>402</v>
      </c>
      <c r="D533" t="s">
        <v>146</v>
      </c>
      <c r="E533">
        <v>19</v>
      </c>
      <c r="F533">
        <v>90</v>
      </c>
      <c r="G533" t="s">
        <v>191</v>
      </c>
      <c r="H533" t="s">
        <v>27</v>
      </c>
      <c r="I533" t="s">
        <v>28</v>
      </c>
      <c r="J533" t="s">
        <v>79</v>
      </c>
      <c r="K533" t="s">
        <v>54</v>
      </c>
      <c r="L533" t="s">
        <v>21</v>
      </c>
    </row>
    <row r="534" spans="1:12" x14ac:dyDescent="0.3">
      <c r="A534" t="s">
        <v>1493</v>
      </c>
      <c r="B534" t="s">
        <v>1398</v>
      </c>
      <c r="C534" t="s">
        <v>962</v>
      </c>
      <c r="D534" t="s">
        <v>94</v>
      </c>
      <c r="E534">
        <v>16</v>
      </c>
      <c r="F534">
        <v>73</v>
      </c>
      <c r="G534" t="s">
        <v>1385</v>
      </c>
      <c r="H534" t="s">
        <v>27</v>
      </c>
      <c r="I534" t="s">
        <v>28</v>
      </c>
      <c r="J534" t="s">
        <v>79</v>
      </c>
      <c r="K534" t="s">
        <v>54</v>
      </c>
      <c r="L534" t="s">
        <v>21</v>
      </c>
    </row>
    <row r="535" spans="1:12" x14ac:dyDescent="0.3">
      <c r="A535" t="s">
        <v>1494</v>
      </c>
      <c r="B535" t="s">
        <v>1398</v>
      </c>
      <c r="C535" t="s">
        <v>962</v>
      </c>
      <c r="D535" t="s">
        <v>94</v>
      </c>
      <c r="E535">
        <v>16</v>
      </c>
      <c r="F535">
        <v>73</v>
      </c>
      <c r="G535" t="s">
        <v>1385</v>
      </c>
      <c r="H535" t="s">
        <v>27</v>
      </c>
      <c r="I535" t="s">
        <v>28</v>
      </c>
      <c r="J535" t="s">
        <v>79</v>
      </c>
      <c r="K535" t="s">
        <v>54</v>
      </c>
      <c r="L535" t="s">
        <v>21</v>
      </c>
    </row>
    <row r="536" spans="1:12" x14ac:dyDescent="0.3">
      <c r="A536" t="s">
        <v>1496</v>
      </c>
      <c r="B536" t="s">
        <v>1400</v>
      </c>
      <c r="C536" t="s">
        <v>219</v>
      </c>
      <c r="D536" t="s">
        <v>50</v>
      </c>
      <c r="E536">
        <v>15</v>
      </c>
      <c r="F536" t="s">
        <v>19</v>
      </c>
      <c r="G536" t="s">
        <v>157</v>
      </c>
      <c r="H536" t="s">
        <v>37</v>
      </c>
      <c r="I536" t="s">
        <v>83</v>
      </c>
      <c r="J536" t="s">
        <v>84</v>
      </c>
      <c r="K536" t="s">
        <v>158</v>
      </c>
      <c r="L536" t="s">
        <v>31</v>
      </c>
    </row>
    <row r="537" spans="1:12" x14ac:dyDescent="0.3">
      <c r="A537" t="s">
        <v>1499</v>
      </c>
      <c r="B537" t="s">
        <v>1402</v>
      </c>
      <c r="C537" t="s">
        <v>1403</v>
      </c>
      <c r="D537" t="s">
        <v>146</v>
      </c>
      <c r="E537">
        <v>6</v>
      </c>
      <c r="F537">
        <v>85</v>
      </c>
      <c r="G537" t="s">
        <v>1404</v>
      </c>
      <c r="H537" t="s">
        <v>70</v>
      </c>
      <c r="I537" t="s">
        <v>183</v>
      </c>
      <c r="J537" t="s">
        <v>184</v>
      </c>
      <c r="K537" t="s">
        <v>45</v>
      </c>
      <c r="L537" t="s">
        <v>46</v>
      </c>
    </row>
    <row r="538" spans="1:12" x14ac:dyDescent="0.3">
      <c r="A538" t="s">
        <v>1501</v>
      </c>
      <c r="B538" t="s">
        <v>1406</v>
      </c>
      <c r="C538" t="s">
        <v>432</v>
      </c>
      <c r="D538" t="s">
        <v>35</v>
      </c>
      <c r="E538">
        <v>20</v>
      </c>
      <c r="F538">
        <v>65</v>
      </c>
      <c r="G538" t="s">
        <v>783</v>
      </c>
      <c r="H538" t="s">
        <v>27</v>
      </c>
      <c r="I538" t="s">
        <v>28</v>
      </c>
      <c r="J538" t="s">
        <v>79</v>
      </c>
      <c r="K538" t="s">
        <v>54</v>
      </c>
      <c r="L538" t="s">
        <v>21</v>
      </c>
    </row>
    <row r="539" spans="1:12" x14ac:dyDescent="0.3">
      <c r="A539" t="s">
        <v>1503</v>
      </c>
      <c r="B539" t="s">
        <v>533</v>
      </c>
      <c r="C539" t="s">
        <v>310</v>
      </c>
      <c r="D539" t="s">
        <v>125</v>
      </c>
      <c r="E539">
        <v>3</v>
      </c>
      <c r="F539">
        <v>58</v>
      </c>
      <c r="G539" t="s">
        <v>1286</v>
      </c>
      <c r="H539" t="s">
        <v>70</v>
      </c>
      <c r="I539" t="s">
        <v>183</v>
      </c>
      <c r="J539" t="s">
        <v>184</v>
      </c>
      <c r="K539" t="s">
        <v>20</v>
      </c>
      <c r="L539" t="s">
        <v>46</v>
      </c>
    </row>
    <row r="540" spans="1:12" x14ac:dyDescent="0.3">
      <c r="A540" t="s">
        <v>1505</v>
      </c>
      <c r="B540" t="s">
        <v>1409</v>
      </c>
      <c r="C540" t="s">
        <v>638</v>
      </c>
      <c r="D540" t="s">
        <v>146</v>
      </c>
      <c r="E540">
        <v>2</v>
      </c>
      <c r="F540">
        <v>85</v>
      </c>
      <c r="G540" t="s">
        <v>1410</v>
      </c>
      <c r="H540" t="s">
        <v>37</v>
      </c>
      <c r="I540" t="s">
        <v>225</v>
      </c>
      <c r="J540" t="s">
        <v>226</v>
      </c>
      <c r="K540" t="s">
        <v>66</v>
      </c>
      <c r="L540" t="s">
        <v>46</v>
      </c>
    </row>
    <row r="541" spans="1:12" x14ac:dyDescent="0.3">
      <c r="A541" t="s">
        <v>1507</v>
      </c>
      <c r="B541" t="s">
        <v>1412</v>
      </c>
      <c r="C541" t="s">
        <v>1127</v>
      </c>
      <c r="D541" t="s">
        <v>43</v>
      </c>
      <c r="E541">
        <v>1</v>
      </c>
      <c r="F541">
        <v>100</v>
      </c>
      <c r="G541" t="s">
        <v>266</v>
      </c>
      <c r="H541" t="s">
        <v>27</v>
      </c>
      <c r="I541" t="s">
        <v>28</v>
      </c>
      <c r="J541" t="s">
        <v>79</v>
      </c>
      <c r="K541" t="s">
        <v>54</v>
      </c>
      <c r="L541" t="s">
        <v>345</v>
      </c>
    </row>
    <row r="542" spans="1:12" x14ac:dyDescent="0.3">
      <c r="A542" t="s">
        <v>1510</v>
      </c>
      <c r="B542" t="s">
        <v>1414</v>
      </c>
      <c r="C542" t="s">
        <v>1415</v>
      </c>
      <c r="D542" t="s">
        <v>281</v>
      </c>
      <c r="E542">
        <v>15</v>
      </c>
      <c r="F542">
        <v>65</v>
      </c>
      <c r="G542" t="s">
        <v>157</v>
      </c>
      <c r="H542" t="s">
        <v>17</v>
      </c>
      <c r="I542" t="s">
        <v>1232</v>
      </c>
      <c r="J542" t="s">
        <v>91</v>
      </c>
      <c r="K542" t="s">
        <v>60</v>
      </c>
      <c r="L542" t="s">
        <v>21</v>
      </c>
    </row>
    <row r="543" spans="1:12" x14ac:dyDescent="0.3">
      <c r="A543" t="s">
        <v>1511</v>
      </c>
      <c r="B543" t="s">
        <v>1417</v>
      </c>
      <c r="C543" t="s">
        <v>1296</v>
      </c>
      <c r="D543" t="s">
        <v>15</v>
      </c>
      <c r="E543">
        <v>7</v>
      </c>
      <c r="F543">
        <v>45</v>
      </c>
      <c r="G543" t="s">
        <v>395</v>
      </c>
      <c r="H543" t="s">
        <v>17</v>
      </c>
      <c r="I543" t="s">
        <v>90</v>
      </c>
      <c r="J543" t="s">
        <v>91</v>
      </c>
      <c r="K543" t="s">
        <v>60</v>
      </c>
      <c r="L543" t="s">
        <v>21</v>
      </c>
    </row>
    <row r="544" spans="1:12" x14ac:dyDescent="0.3">
      <c r="A544" t="s">
        <v>1513</v>
      </c>
      <c r="B544" t="s">
        <v>1419</v>
      </c>
      <c r="C544" t="s">
        <v>995</v>
      </c>
      <c r="D544" t="s">
        <v>35</v>
      </c>
      <c r="E544">
        <v>1</v>
      </c>
      <c r="F544">
        <v>55</v>
      </c>
      <c r="G544" t="s">
        <v>857</v>
      </c>
      <c r="H544" t="s">
        <v>17</v>
      </c>
      <c r="I544" t="s">
        <v>18</v>
      </c>
      <c r="J544" t="s">
        <v>65</v>
      </c>
      <c r="K544" t="s">
        <v>66</v>
      </c>
      <c r="L544" t="s">
        <v>46</v>
      </c>
    </row>
    <row r="545" spans="1:12" x14ac:dyDescent="0.3">
      <c r="A545" t="s">
        <v>1516</v>
      </c>
      <c r="B545" t="s">
        <v>1421</v>
      </c>
      <c r="C545" t="s">
        <v>1422</v>
      </c>
      <c r="D545" t="s">
        <v>25</v>
      </c>
      <c r="E545">
        <v>20</v>
      </c>
      <c r="F545">
        <v>50</v>
      </c>
      <c r="G545" t="s">
        <v>948</v>
      </c>
      <c r="H545" t="s">
        <v>17</v>
      </c>
      <c r="I545" t="s">
        <v>90</v>
      </c>
      <c r="J545" t="s">
        <v>91</v>
      </c>
      <c r="K545" t="s">
        <v>60</v>
      </c>
      <c r="L545" t="s">
        <v>46</v>
      </c>
    </row>
    <row r="546" spans="1:12" x14ac:dyDescent="0.3">
      <c r="A546" t="s">
        <v>1517</v>
      </c>
      <c r="B546" t="s">
        <v>103</v>
      </c>
      <c r="C546" t="s">
        <v>104</v>
      </c>
      <c r="D546" t="s">
        <v>15</v>
      </c>
      <c r="E546">
        <v>4</v>
      </c>
      <c r="F546">
        <v>55</v>
      </c>
      <c r="G546" t="s">
        <v>270</v>
      </c>
      <c r="H546" t="s">
        <v>27</v>
      </c>
      <c r="I546" t="s">
        <v>100</v>
      </c>
      <c r="J546" t="s">
        <v>101</v>
      </c>
      <c r="K546" t="s">
        <v>60</v>
      </c>
      <c r="L546" t="s">
        <v>31</v>
      </c>
    </row>
    <row r="547" spans="1:12" x14ac:dyDescent="0.3">
      <c r="A547" t="s">
        <v>1518</v>
      </c>
      <c r="B547" t="s">
        <v>1425</v>
      </c>
      <c r="C547" t="s">
        <v>463</v>
      </c>
      <c r="D547" t="s">
        <v>43</v>
      </c>
      <c r="E547">
        <v>6</v>
      </c>
      <c r="F547">
        <v>95</v>
      </c>
      <c r="G547" t="s">
        <v>1426</v>
      </c>
      <c r="H547" t="s">
        <v>37</v>
      </c>
      <c r="I547" t="s">
        <v>83</v>
      </c>
      <c r="J547" t="s">
        <v>84</v>
      </c>
      <c r="K547" t="s">
        <v>158</v>
      </c>
      <c r="L547" t="s">
        <v>21</v>
      </c>
    </row>
    <row r="548" spans="1:12" x14ac:dyDescent="0.3">
      <c r="A548" t="s">
        <v>1520</v>
      </c>
      <c r="B548" t="s">
        <v>1428</v>
      </c>
      <c r="C548" t="s">
        <v>1429</v>
      </c>
      <c r="D548" t="s">
        <v>169</v>
      </c>
      <c r="E548">
        <v>18</v>
      </c>
      <c r="F548">
        <v>75</v>
      </c>
      <c r="G548" t="s">
        <v>698</v>
      </c>
      <c r="H548" t="s">
        <v>17</v>
      </c>
      <c r="I548" t="s">
        <v>90</v>
      </c>
      <c r="J548" t="s">
        <v>91</v>
      </c>
      <c r="K548" t="s">
        <v>2190</v>
      </c>
      <c r="L548" t="s">
        <v>46</v>
      </c>
    </row>
    <row r="549" spans="1:12" x14ac:dyDescent="0.3">
      <c r="A549" t="s">
        <v>1522</v>
      </c>
      <c r="B549" t="s">
        <v>19</v>
      </c>
      <c r="C549" t="s">
        <v>722</v>
      </c>
      <c r="D549" t="s">
        <v>35</v>
      </c>
      <c r="E549">
        <v>12</v>
      </c>
      <c r="F549">
        <v>65</v>
      </c>
      <c r="G549" t="s">
        <v>574</v>
      </c>
      <c r="H549" t="s">
        <v>27</v>
      </c>
      <c r="I549" t="s">
        <v>100</v>
      </c>
      <c r="J549" t="s">
        <v>101</v>
      </c>
      <c r="K549" t="s">
        <v>45</v>
      </c>
      <c r="L549" t="s">
        <v>31</v>
      </c>
    </row>
    <row r="550" spans="1:12" x14ac:dyDescent="0.3">
      <c r="A550" t="s">
        <v>1524</v>
      </c>
      <c r="B550" t="s">
        <v>1432</v>
      </c>
      <c r="C550" t="s">
        <v>149</v>
      </c>
      <c r="D550" t="s">
        <v>169</v>
      </c>
      <c r="E550">
        <v>2</v>
      </c>
      <c r="F550">
        <v>85</v>
      </c>
      <c r="G550" t="s">
        <v>1410</v>
      </c>
      <c r="H550" t="s">
        <v>19</v>
      </c>
      <c r="I550" t="s">
        <v>100</v>
      </c>
      <c r="J550" t="s">
        <v>101</v>
      </c>
      <c r="K550" t="s">
        <v>20</v>
      </c>
      <c r="L550" t="s">
        <v>46</v>
      </c>
    </row>
    <row r="551" spans="1:12" x14ac:dyDescent="0.3">
      <c r="A551" t="s">
        <v>1527</v>
      </c>
      <c r="B551" t="s">
        <v>1434</v>
      </c>
      <c r="C551" t="s">
        <v>201</v>
      </c>
      <c r="D551" t="s">
        <v>169</v>
      </c>
      <c r="E551">
        <v>17</v>
      </c>
      <c r="F551">
        <v>80</v>
      </c>
      <c r="G551" t="s">
        <v>306</v>
      </c>
      <c r="H551" t="s">
        <v>70</v>
      </c>
      <c r="I551" t="s">
        <v>71</v>
      </c>
      <c r="J551" t="s">
        <v>72</v>
      </c>
      <c r="K551" t="s">
        <v>73</v>
      </c>
      <c r="L551" t="s">
        <v>31</v>
      </c>
    </row>
    <row r="552" spans="1:12" x14ac:dyDescent="0.3">
      <c r="A552" t="s">
        <v>1528</v>
      </c>
      <c r="B552" t="s">
        <v>1436</v>
      </c>
      <c r="C552" t="s">
        <v>442</v>
      </c>
      <c r="D552" t="s">
        <v>43</v>
      </c>
      <c r="E552">
        <v>3</v>
      </c>
      <c r="F552">
        <v>90</v>
      </c>
      <c r="G552" t="s">
        <v>1437</v>
      </c>
      <c r="H552" t="s">
        <v>17</v>
      </c>
      <c r="I552" t="s">
        <v>18</v>
      </c>
      <c r="J552" t="s">
        <v>65</v>
      </c>
      <c r="K552" t="s">
        <v>30</v>
      </c>
      <c r="L552" t="s">
        <v>46</v>
      </c>
    </row>
    <row r="553" spans="1:12" x14ac:dyDescent="0.3">
      <c r="A553" t="s">
        <v>1530</v>
      </c>
      <c r="B553" t="s">
        <v>1439</v>
      </c>
      <c r="C553" t="s">
        <v>292</v>
      </c>
      <c r="D553" t="s">
        <v>146</v>
      </c>
      <c r="E553">
        <v>9</v>
      </c>
      <c r="F553" t="s">
        <v>19</v>
      </c>
      <c r="G553" t="s">
        <v>16</v>
      </c>
      <c r="H553" t="s">
        <v>27</v>
      </c>
      <c r="I553" t="s">
        <v>28</v>
      </c>
      <c r="J553" t="s">
        <v>79</v>
      </c>
      <c r="K553" t="s">
        <v>54</v>
      </c>
      <c r="L553" t="s">
        <v>31</v>
      </c>
    </row>
    <row r="554" spans="1:12" x14ac:dyDescent="0.3">
      <c r="A554" t="s">
        <v>1534</v>
      </c>
      <c r="B554" t="s">
        <v>1441</v>
      </c>
      <c r="C554" t="s">
        <v>697</v>
      </c>
      <c r="D554" t="s">
        <v>94</v>
      </c>
      <c r="E554">
        <v>20</v>
      </c>
      <c r="F554">
        <v>68</v>
      </c>
      <c r="G554" t="s">
        <v>306</v>
      </c>
      <c r="H554" t="s">
        <v>37</v>
      </c>
      <c r="I554" t="s">
        <v>83</v>
      </c>
      <c r="J554" t="s">
        <v>84</v>
      </c>
      <c r="K554" t="s">
        <v>158</v>
      </c>
      <c r="L554" t="s">
        <v>46</v>
      </c>
    </row>
    <row r="555" spans="1:12" x14ac:dyDescent="0.3">
      <c r="A555" t="s">
        <v>1537</v>
      </c>
      <c r="B555" t="s">
        <v>1443</v>
      </c>
      <c r="C555" t="s">
        <v>63</v>
      </c>
      <c r="D555" t="s">
        <v>35</v>
      </c>
      <c r="E555">
        <v>5</v>
      </c>
      <c r="F555">
        <v>60</v>
      </c>
      <c r="G555" t="s">
        <v>446</v>
      </c>
      <c r="H555" t="s">
        <v>70</v>
      </c>
      <c r="I555" t="s">
        <v>151</v>
      </c>
      <c r="J555" t="s">
        <v>188</v>
      </c>
      <c r="K555" t="s">
        <v>30</v>
      </c>
      <c r="L555" t="s">
        <v>46</v>
      </c>
    </row>
    <row r="556" spans="1:12" x14ac:dyDescent="0.3">
      <c r="A556" t="s">
        <v>1541</v>
      </c>
      <c r="B556" t="s">
        <v>1445</v>
      </c>
      <c r="C556" t="s">
        <v>219</v>
      </c>
      <c r="D556" t="s">
        <v>125</v>
      </c>
      <c r="E556">
        <v>8</v>
      </c>
      <c r="F556">
        <v>63</v>
      </c>
      <c r="G556" t="s">
        <v>876</v>
      </c>
      <c r="H556" t="s">
        <v>27</v>
      </c>
      <c r="I556" t="s">
        <v>28</v>
      </c>
      <c r="J556" t="s">
        <v>79</v>
      </c>
      <c r="K556" t="s">
        <v>54</v>
      </c>
      <c r="L556" t="s">
        <v>46</v>
      </c>
    </row>
    <row r="557" spans="1:12" x14ac:dyDescent="0.3">
      <c r="A557" t="s">
        <v>1542</v>
      </c>
      <c r="B557" t="s">
        <v>1447</v>
      </c>
      <c r="C557" t="s">
        <v>280</v>
      </c>
      <c r="D557" t="s">
        <v>15</v>
      </c>
      <c r="E557">
        <v>17</v>
      </c>
      <c r="F557">
        <v>55</v>
      </c>
      <c r="G557" t="s">
        <v>399</v>
      </c>
      <c r="H557" t="s">
        <v>27</v>
      </c>
      <c r="I557" t="s">
        <v>28</v>
      </c>
      <c r="J557" t="s">
        <v>29</v>
      </c>
      <c r="K557" t="s">
        <v>45</v>
      </c>
      <c r="L557" t="s">
        <v>21</v>
      </c>
    </row>
    <row r="558" spans="1:12" x14ac:dyDescent="0.3">
      <c r="A558" t="s">
        <v>2161</v>
      </c>
      <c r="B558" t="s">
        <v>1449</v>
      </c>
      <c r="C558" t="s">
        <v>621</v>
      </c>
      <c r="D558" t="s">
        <v>15</v>
      </c>
      <c r="E558" t="s">
        <v>19</v>
      </c>
      <c r="F558">
        <v>55</v>
      </c>
      <c r="G558" t="s">
        <v>235</v>
      </c>
      <c r="H558" t="s">
        <v>27</v>
      </c>
      <c r="I558" t="s">
        <v>28</v>
      </c>
      <c r="J558" t="s">
        <v>79</v>
      </c>
      <c r="K558" t="s">
        <v>54</v>
      </c>
      <c r="L558" t="s">
        <v>345</v>
      </c>
    </row>
    <row r="559" spans="1:12" x14ac:dyDescent="0.3">
      <c r="A559" t="s">
        <v>1546</v>
      </c>
      <c r="B559" t="s">
        <v>1451</v>
      </c>
      <c r="C559" t="s">
        <v>149</v>
      </c>
      <c r="D559" t="s">
        <v>15</v>
      </c>
      <c r="E559">
        <v>12</v>
      </c>
      <c r="F559">
        <v>50</v>
      </c>
      <c r="G559" t="s">
        <v>321</v>
      </c>
      <c r="H559" t="s">
        <v>70</v>
      </c>
      <c r="I559" t="s">
        <v>1191</v>
      </c>
      <c r="J559" t="s">
        <v>188</v>
      </c>
      <c r="K559" t="s">
        <v>66</v>
      </c>
      <c r="L559" t="s">
        <v>31</v>
      </c>
    </row>
    <row r="560" spans="1:12" x14ac:dyDescent="0.3">
      <c r="A560" t="s">
        <v>1548</v>
      </c>
      <c r="B560" t="s">
        <v>19</v>
      </c>
      <c r="C560" t="s">
        <v>1302</v>
      </c>
      <c r="D560" t="s">
        <v>169</v>
      </c>
      <c r="E560">
        <v>1</v>
      </c>
      <c r="F560">
        <v>80</v>
      </c>
      <c r="G560" t="s">
        <v>277</v>
      </c>
      <c r="H560" t="s">
        <v>37</v>
      </c>
      <c r="I560" t="s">
        <v>225</v>
      </c>
      <c r="J560" t="s">
        <v>226</v>
      </c>
      <c r="K560" t="s">
        <v>436</v>
      </c>
      <c r="L560" t="s">
        <v>31</v>
      </c>
    </row>
    <row r="561" spans="1:12" x14ac:dyDescent="0.3">
      <c r="A561" t="s">
        <v>1550</v>
      </c>
      <c r="B561" t="s">
        <v>1453</v>
      </c>
      <c r="C561" t="s">
        <v>496</v>
      </c>
      <c r="D561" t="s">
        <v>35</v>
      </c>
      <c r="E561">
        <v>5</v>
      </c>
      <c r="F561">
        <v>55</v>
      </c>
      <c r="G561" t="s">
        <v>636</v>
      </c>
      <c r="H561" t="s">
        <v>17</v>
      </c>
      <c r="I561" t="s">
        <v>90</v>
      </c>
      <c r="J561" t="s">
        <v>91</v>
      </c>
      <c r="K561" t="s">
        <v>60</v>
      </c>
      <c r="L561" t="s">
        <v>31</v>
      </c>
    </row>
    <row r="562" spans="1:12" x14ac:dyDescent="0.3">
      <c r="A562" t="s">
        <v>1552</v>
      </c>
      <c r="B562" t="s">
        <v>1455</v>
      </c>
      <c r="C562" t="s">
        <v>1456</v>
      </c>
      <c r="D562" t="s">
        <v>94</v>
      </c>
      <c r="E562">
        <v>14</v>
      </c>
      <c r="F562">
        <v>73</v>
      </c>
      <c r="G562" t="s">
        <v>121</v>
      </c>
      <c r="H562" t="s">
        <v>27</v>
      </c>
      <c r="I562" t="s">
        <v>100</v>
      </c>
      <c r="J562" t="s">
        <v>101</v>
      </c>
      <c r="K562" t="s">
        <v>60</v>
      </c>
      <c r="L562" t="s">
        <v>46</v>
      </c>
    </row>
    <row r="563" spans="1:12" x14ac:dyDescent="0.3">
      <c r="A563" t="s">
        <v>1554</v>
      </c>
      <c r="B563" t="s">
        <v>1056</v>
      </c>
      <c r="C563" t="s">
        <v>473</v>
      </c>
      <c r="D563" t="s">
        <v>169</v>
      </c>
      <c r="E563">
        <v>19</v>
      </c>
      <c r="F563">
        <v>80</v>
      </c>
      <c r="G563" t="s">
        <v>220</v>
      </c>
      <c r="H563" t="s">
        <v>19</v>
      </c>
      <c r="I563" t="s">
        <v>225</v>
      </c>
      <c r="J563" t="s">
        <v>226</v>
      </c>
      <c r="K563" t="s">
        <v>66</v>
      </c>
      <c r="L563" t="s">
        <v>74</v>
      </c>
    </row>
    <row r="564" spans="1:12" x14ac:dyDescent="0.3">
      <c r="A564" t="s">
        <v>1556</v>
      </c>
      <c r="B564" t="s">
        <v>1409</v>
      </c>
      <c r="C564" t="s">
        <v>445</v>
      </c>
      <c r="D564" t="s">
        <v>125</v>
      </c>
      <c r="E564">
        <v>18</v>
      </c>
      <c r="F564" t="s">
        <v>19</v>
      </c>
      <c r="G564" t="s">
        <v>955</v>
      </c>
      <c r="H564" t="s">
        <v>37</v>
      </c>
      <c r="I564" t="s">
        <v>225</v>
      </c>
      <c r="J564" t="s">
        <v>226</v>
      </c>
      <c r="K564" t="s">
        <v>20</v>
      </c>
      <c r="L564" t="s">
        <v>31</v>
      </c>
    </row>
    <row r="565" spans="1:12" x14ac:dyDescent="0.3">
      <c r="A565" t="s">
        <v>1558</v>
      </c>
      <c r="B565" t="s">
        <v>140</v>
      </c>
      <c r="C565" t="s">
        <v>19</v>
      </c>
      <c r="D565" t="s">
        <v>25</v>
      </c>
      <c r="E565">
        <v>7</v>
      </c>
      <c r="F565">
        <v>55</v>
      </c>
      <c r="G565" t="s">
        <v>584</v>
      </c>
      <c r="H565" t="s">
        <v>70</v>
      </c>
      <c r="I565" t="s">
        <v>151</v>
      </c>
      <c r="J565" t="s">
        <v>188</v>
      </c>
      <c r="K565" t="s">
        <v>20</v>
      </c>
      <c r="L565" t="s">
        <v>46</v>
      </c>
    </row>
    <row r="566" spans="1:12" x14ac:dyDescent="0.3">
      <c r="A566" t="s">
        <v>1560</v>
      </c>
      <c r="B566" t="s">
        <v>1461</v>
      </c>
      <c r="C566" t="s">
        <v>567</v>
      </c>
      <c r="D566" t="s">
        <v>146</v>
      </c>
      <c r="E566">
        <v>7</v>
      </c>
      <c r="F566">
        <v>85</v>
      </c>
      <c r="G566" t="s">
        <v>457</v>
      </c>
      <c r="H566" t="s">
        <v>140</v>
      </c>
      <c r="I566" t="s">
        <v>38</v>
      </c>
      <c r="J566" t="s">
        <v>39</v>
      </c>
      <c r="K566" t="s">
        <v>45</v>
      </c>
      <c r="L566" t="s">
        <v>21</v>
      </c>
    </row>
    <row r="567" spans="1:12" x14ac:dyDescent="0.3">
      <c r="A567" t="s">
        <v>1563</v>
      </c>
      <c r="B567" t="s">
        <v>1463</v>
      </c>
      <c r="C567" t="s">
        <v>177</v>
      </c>
      <c r="D567" t="s">
        <v>50</v>
      </c>
      <c r="E567">
        <v>8</v>
      </c>
      <c r="F567">
        <v>60</v>
      </c>
      <c r="G567" t="s">
        <v>143</v>
      </c>
      <c r="H567" t="s">
        <v>17</v>
      </c>
      <c r="I567" t="s">
        <v>90</v>
      </c>
      <c r="J567" t="s">
        <v>91</v>
      </c>
      <c r="K567" t="s">
        <v>45</v>
      </c>
      <c r="L567" t="s">
        <v>46</v>
      </c>
    </row>
    <row r="568" spans="1:12" x14ac:dyDescent="0.3">
      <c r="A568" t="s">
        <v>1565</v>
      </c>
      <c r="B568" t="s">
        <v>1465</v>
      </c>
      <c r="C568" t="s">
        <v>1296</v>
      </c>
      <c r="D568" t="s">
        <v>125</v>
      </c>
      <c r="E568">
        <v>5</v>
      </c>
      <c r="F568">
        <v>58</v>
      </c>
      <c r="G568" t="s">
        <v>1306</v>
      </c>
      <c r="H568" t="s">
        <v>70</v>
      </c>
      <c r="I568" t="s">
        <v>151</v>
      </c>
      <c r="J568" t="s">
        <v>188</v>
      </c>
      <c r="K568" t="s">
        <v>20</v>
      </c>
      <c r="L568" t="s">
        <v>21</v>
      </c>
    </row>
    <row r="569" spans="1:12" x14ac:dyDescent="0.3">
      <c r="A569" t="s">
        <v>1566</v>
      </c>
      <c r="B569" t="s">
        <v>1467</v>
      </c>
      <c r="C569" t="s">
        <v>763</v>
      </c>
      <c r="D569" t="s">
        <v>15</v>
      </c>
      <c r="E569">
        <v>5</v>
      </c>
      <c r="F569" t="s">
        <v>19</v>
      </c>
      <c r="G569" t="s">
        <v>836</v>
      </c>
      <c r="H569" t="s">
        <v>70</v>
      </c>
      <c r="I569" t="s">
        <v>151</v>
      </c>
      <c r="J569" t="s">
        <v>152</v>
      </c>
      <c r="K569" t="s">
        <v>140</v>
      </c>
      <c r="L569" t="s">
        <v>140</v>
      </c>
    </row>
    <row r="570" spans="1:12" x14ac:dyDescent="0.3">
      <c r="A570" t="s">
        <v>1567</v>
      </c>
      <c r="B570" t="s">
        <v>103</v>
      </c>
      <c r="C570" t="s">
        <v>530</v>
      </c>
      <c r="D570" t="s">
        <v>35</v>
      </c>
      <c r="E570">
        <v>12</v>
      </c>
      <c r="F570">
        <v>55</v>
      </c>
      <c r="G570" t="s">
        <v>161</v>
      </c>
      <c r="H570" t="s">
        <v>17</v>
      </c>
      <c r="I570" t="s">
        <v>18</v>
      </c>
      <c r="J570" t="s">
        <v>65</v>
      </c>
      <c r="K570" t="s">
        <v>436</v>
      </c>
      <c r="L570" t="s">
        <v>31</v>
      </c>
    </row>
    <row r="571" spans="1:12" x14ac:dyDescent="0.3">
      <c r="A571" t="s">
        <v>1568</v>
      </c>
      <c r="B571" t="s">
        <v>1470</v>
      </c>
      <c r="C571" t="s">
        <v>509</v>
      </c>
      <c r="D571" t="s">
        <v>125</v>
      </c>
      <c r="E571">
        <v>6</v>
      </c>
      <c r="F571">
        <v>63</v>
      </c>
      <c r="G571" t="s">
        <v>1471</v>
      </c>
      <c r="H571" t="s">
        <v>846</v>
      </c>
      <c r="I571" t="s">
        <v>28</v>
      </c>
      <c r="J571" t="s">
        <v>79</v>
      </c>
      <c r="K571" t="s">
        <v>2190</v>
      </c>
      <c r="L571" t="s">
        <v>46</v>
      </c>
    </row>
    <row r="572" spans="1:12" x14ac:dyDescent="0.3">
      <c r="A572" t="s">
        <v>1570</v>
      </c>
      <c r="B572" t="s">
        <v>1473</v>
      </c>
      <c r="C572" t="s">
        <v>445</v>
      </c>
      <c r="D572" t="s">
        <v>146</v>
      </c>
      <c r="E572">
        <v>13</v>
      </c>
      <c r="F572">
        <v>85</v>
      </c>
      <c r="G572" t="s">
        <v>202</v>
      </c>
      <c r="H572" t="s">
        <v>37</v>
      </c>
      <c r="I572" t="s">
        <v>225</v>
      </c>
      <c r="J572" t="s">
        <v>226</v>
      </c>
      <c r="K572" t="s">
        <v>2190</v>
      </c>
      <c r="L572" t="s">
        <v>31</v>
      </c>
    </row>
    <row r="573" spans="1:12" x14ac:dyDescent="0.3">
      <c r="A573" t="s">
        <v>1571</v>
      </c>
      <c r="B573" t="s">
        <v>1473</v>
      </c>
      <c r="C573" t="s">
        <v>445</v>
      </c>
      <c r="D573" t="s">
        <v>146</v>
      </c>
      <c r="E573">
        <v>13</v>
      </c>
      <c r="F573">
        <v>85</v>
      </c>
      <c r="G573" t="s">
        <v>202</v>
      </c>
      <c r="H573" t="s">
        <v>37</v>
      </c>
      <c r="I573" t="s">
        <v>225</v>
      </c>
      <c r="J573" t="s">
        <v>226</v>
      </c>
      <c r="K573" t="s">
        <v>60</v>
      </c>
      <c r="L573" t="s">
        <v>31</v>
      </c>
    </row>
    <row r="574" spans="1:12" x14ac:dyDescent="0.3">
      <c r="A574" t="s">
        <v>1573</v>
      </c>
      <c r="B574" t="s">
        <v>1475</v>
      </c>
      <c r="C574" t="s">
        <v>1476</v>
      </c>
      <c r="D574" t="s">
        <v>50</v>
      </c>
      <c r="E574">
        <v>4</v>
      </c>
      <c r="F574">
        <v>65</v>
      </c>
      <c r="G574" t="s">
        <v>534</v>
      </c>
      <c r="H574" t="s">
        <v>37</v>
      </c>
      <c r="I574" t="s">
        <v>225</v>
      </c>
      <c r="J574" t="s">
        <v>226</v>
      </c>
      <c r="K574" t="s">
        <v>20</v>
      </c>
      <c r="L574" t="s">
        <v>46</v>
      </c>
    </row>
    <row r="575" spans="1:12" x14ac:dyDescent="0.3">
      <c r="A575" t="s">
        <v>1576</v>
      </c>
      <c r="B575" t="s">
        <v>1343</v>
      </c>
      <c r="C575" t="s">
        <v>164</v>
      </c>
      <c r="D575" t="s">
        <v>50</v>
      </c>
      <c r="E575">
        <v>9</v>
      </c>
      <c r="F575">
        <v>70</v>
      </c>
      <c r="G575" t="s">
        <v>642</v>
      </c>
      <c r="H575" t="s">
        <v>27</v>
      </c>
      <c r="I575" t="s">
        <v>28</v>
      </c>
      <c r="J575" t="s">
        <v>53</v>
      </c>
      <c r="K575" t="s">
        <v>54</v>
      </c>
      <c r="L575" t="s">
        <v>19</v>
      </c>
    </row>
    <row r="576" spans="1:12" x14ac:dyDescent="0.3">
      <c r="A576" t="s">
        <v>1579</v>
      </c>
      <c r="B576" t="s">
        <v>1479</v>
      </c>
      <c r="C576" t="s">
        <v>177</v>
      </c>
      <c r="D576" t="s">
        <v>43</v>
      </c>
      <c r="E576">
        <v>1</v>
      </c>
      <c r="F576">
        <v>95</v>
      </c>
      <c r="G576" t="s">
        <v>1480</v>
      </c>
      <c r="H576" t="s">
        <v>70</v>
      </c>
      <c r="I576" t="s">
        <v>151</v>
      </c>
      <c r="J576" t="s">
        <v>188</v>
      </c>
      <c r="K576" t="s">
        <v>30</v>
      </c>
      <c r="L576" t="s">
        <v>31</v>
      </c>
    </row>
    <row r="577" spans="1:12" x14ac:dyDescent="0.3">
      <c r="A577" t="s">
        <v>1581</v>
      </c>
      <c r="B577" t="s">
        <v>1054</v>
      </c>
      <c r="C577" t="s">
        <v>563</v>
      </c>
      <c r="D577" t="s">
        <v>25</v>
      </c>
      <c r="E577">
        <v>11</v>
      </c>
      <c r="F577">
        <v>55</v>
      </c>
      <c r="G577" t="s">
        <v>433</v>
      </c>
      <c r="H577" t="s">
        <v>70</v>
      </c>
      <c r="I577" t="s">
        <v>71</v>
      </c>
      <c r="J577" t="s">
        <v>72</v>
      </c>
      <c r="K577" t="s">
        <v>73</v>
      </c>
      <c r="L577" t="s">
        <v>21</v>
      </c>
    </row>
    <row r="578" spans="1:12" x14ac:dyDescent="0.3">
      <c r="A578" t="s">
        <v>1583</v>
      </c>
      <c r="B578" t="s">
        <v>1483</v>
      </c>
      <c r="C578" t="s">
        <v>82</v>
      </c>
      <c r="D578" t="s">
        <v>125</v>
      </c>
      <c r="E578">
        <v>2</v>
      </c>
      <c r="F578">
        <v>63</v>
      </c>
      <c r="G578" t="s">
        <v>1229</v>
      </c>
      <c r="H578" t="s">
        <v>27</v>
      </c>
      <c r="I578" t="s">
        <v>100</v>
      </c>
      <c r="J578" t="s">
        <v>101</v>
      </c>
      <c r="K578" t="s">
        <v>60</v>
      </c>
      <c r="L578" t="s">
        <v>46</v>
      </c>
    </row>
    <row r="579" spans="1:12" x14ac:dyDescent="0.3">
      <c r="A579" t="s">
        <v>1585</v>
      </c>
      <c r="B579" t="s">
        <v>1485</v>
      </c>
      <c r="C579" t="s">
        <v>1197</v>
      </c>
      <c r="D579" t="s">
        <v>35</v>
      </c>
      <c r="E579">
        <v>17</v>
      </c>
      <c r="F579">
        <v>65</v>
      </c>
      <c r="G579" t="s">
        <v>202</v>
      </c>
      <c r="H579" t="s">
        <v>27</v>
      </c>
      <c r="I579" t="s">
        <v>28</v>
      </c>
      <c r="J579" t="s">
        <v>29</v>
      </c>
      <c r="K579" t="s">
        <v>20</v>
      </c>
      <c r="L579" t="s">
        <v>31</v>
      </c>
    </row>
    <row r="580" spans="1:12" x14ac:dyDescent="0.3">
      <c r="A580" t="s">
        <v>1587</v>
      </c>
      <c r="B580" t="s">
        <v>708</v>
      </c>
      <c r="C580" t="s">
        <v>520</v>
      </c>
      <c r="D580" t="s">
        <v>146</v>
      </c>
      <c r="E580">
        <v>20</v>
      </c>
      <c r="F580">
        <v>85</v>
      </c>
      <c r="G580" t="s">
        <v>470</v>
      </c>
      <c r="H580" t="s">
        <v>70</v>
      </c>
      <c r="I580" t="s">
        <v>151</v>
      </c>
      <c r="J580" t="s">
        <v>188</v>
      </c>
      <c r="K580" t="s">
        <v>66</v>
      </c>
      <c r="L580" t="s">
        <v>46</v>
      </c>
    </row>
    <row r="581" spans="1:12" x14ac:dyDescent="0.3">
      <c r="A581" t="s">
        <v>1589</v>
      </c>
      <c r="B581" t="s">
        <v>186</v>
      </c>
      <c r="C581" t="s">
        <v>666</v>
      </c>
      <c r="D581" t="s">
        <v>50</v>
      </c>
      <c r="E581">
        <v>18</v>
      </c>
      <c r="F581">
        <v>65</v>
      </c>
      <c r="G581" t="s">
        <v>610</v>
      </c>
      <c r="H581" t="s">
        <v>37</v>
      </c>
      <c r="I581" t="s">
        <v>38</v>
      </c>
      <c r="J581" t="s">
        <v>39</v>
      </c>
      <c r="K581" t="s">
        <v>60</v>
      </c>
      <c r="L581" t="s">
        <v>46</v>
      </c>
    </row>
    <row r="582" spans="1:12" x14ac:dyDescent="0.3">
      <c r="A582" t="s">
        <v>1591</v>
      </c>
      <c r="B582" t="s">
        <v>1488</v>
      </c>
      <c r="C582" t="s">
        <v>1489</v>
      </c>
      <c r="D582" t="s">
        <v>15</v>
      </c>
      <c r="E582">
        <v>3</v>
      </c>
      <c r="F582">
        <v>45</v>
      </c>
      <c r="G582" t="s">
        <v>1490</v>
      </c>
      <c r="H582" t="s">
        <v>17</v>
      </c>
      <c r="I582" t="s">
        <v>18</v>
      </c>
      <c r="J582" t="s">
        <v>65</v>
      </c>
      <c r="K582" t="s">
        <v>30</v>
      </c>
      <c r="L582" t="s">
        <v>46</v>
      </c>
    </row>
    <row r="583" spans="1:12" x14ac:dyDescent="0.3">
      <c r="A583" t="s">
        <v>1593</v>
      </c>
      <c r="B583" t="s">
        <v>1492</v>
      </c>
      <c r="C583" t="s">
        <v>229</v>
      </c>
      <c r="D583" t="s">
        <v>146</v>
      </c>
      <c r="E583">
        <v>19</v>
      </c>
      <c r="F583">
        <v>80</v>
      </c>
      <c r="G583" t="s">
        <v>220</v>
      </c>
      <c r="H583" t="s">
        <v>17</v>
      </c>
      <c r="I583" t="s">
        <v>18</v>
      </c>
      <c r="J583" t="s">
        <v>65</v>
      </c>
      <c r="K583" t="s">
        <v>30</v>
      </c>
      <c r="L583" t="s">
        <v>21</v>
      </c>
    </row>
    <row r="584" spans="1:12" x14ac:dyDescent="0.3">
      <c r="A584" t="s">
        <v>1594</v>
      </c>
      <c r="B584" t="s">
        <v>834</v>
      </c>
      <c r="C584" t="s">
        <v>718</v>
      </c>
      <c r="D584" t="s">
        <v>125</v>
      </c>
      <c r="E584">
        <v>16</v>
      </c>
      <c r="F584">
        <v>53</v>
      </c>
      <c r="G584" t="s">
        <v>884</v>
      </c>
      <c r="H584" t="s">
        <v>17</v>
      </c>
      <c r="I584" t="s">
        <v>90</v>
      </c>
      <c r="J584" t="s">
        <v>91</v>
      </c>
      <c r="K584" t="s">
        <v>45</v>
      </c>
      <c r="L584" t="s">
        <v>46</v>
      </c>
    </row>
    <row r="585" spans="1:12" x14ac:dyDescent="0.3">
      <c r="A585" t="s">
        <v>1596</v>
      </c>
      <c r="B585" t="s">
        <v>834</v>
      </c>
      <c r="C585" t="s">
        <v>718</v>
      </c>
      <c r="D585" t="s">
        <v>125</v>
      </c>
      <c r="E585">
        <v>16</v>
      </c>
      <c r="F585">
        <v>53</v>
      </c>
      <c r="G585" t="s">
        <v>884</v>
      </c>
      <c r="H585" t="s">
        <v>17</v>
      </c>
      <c r="I585" t="s">
        <v>90</v>
      </c>
      <c r="J585" t="s">
        <v>91</v>
      </c>
      <c r="K585" t="s">
        <v>45</v>
      </c>
      <c r="L585" t="s">
        <v>46</v>
      </c>
    </row>
    <row r="586" spans="1:12" x14ac:dyDescent="0.3">
      <c r="A586" t="s">
        <v>1597</v>
      </c>
      <c r="B586" t="s">
        <v>1495</v>
      </c>
      <c r="C586" t="s">
        <v>645</v>
      </c>
      <c r="D586" t="s">
        <v>25</v>
      </c>
      <c r="E586">
        <v>10</v>
      </c>
      <c r="F586">
        <v>55</v>
      </c>
      <c r="G586" t="s">
        <v>589</v>
      </c>
      <c r="H586" t="s">
        <v>37</v>
      </c>
      <c r="I586" t="s">
        <v>663</v>
      </c>
      <c r="J586" t="s">
        <v>84</v>
      </c>
      <c r="K586" t="s">
        <v>158</v>
      </c>
      <c r="L586" t="s">
        <v>46</v>
      </c>
    </row>
    <row r="587" spans="1:12" x14ac:dyDescent="0.3">
      <c r="A587" t="s">
        <v>1600</v>
      </c>
      <c r="B587" t="s">
        <v>1497</v>
      </c>
      <c r="C587" t="s">
        <v>1299</v>
      </c>
      <c r="D587" t="s">
        <v>125</v>
      </c>
      <c r="E587">
        <v>4</v>
      </c>
      <c r="F587">
        <v>58</v>
      </c>
      <c r="G587" t="s">
        <v>1498</v>
      </c>
      <c r="H587" t="s">
        <v>37</v>
      </c>
      <c r="I587" t="s">
        <v>83</v>
      </c>
      <c r="J587" t="s">
        <v>84</v>
      </c>
      <c r="K587" t="s">
        <v>158</v>
      </c>
      <c r="L587" t="s">
        <v>46</v>
      </c>
    </row>
    <row r="588" spans="1:12" x14ac:dyDescent="0.3">
      <c r="A588" t="s">
        <v>2162</v>
      </c>
      <c r="B588" t="s">
        <v>1500</v>
      </c>
      <c r="C588" t="s">
        <v>19</v>
      </c>
      <c r="D588" t="s">
        <v>94</v>
      </c>
      <c r="E588">
        <v>14</v>
      </c>
      <c r="F588">
        <v>68</v>
      </c>
      <c r="G588" t="s">
        <v>313</v>
      </c>
      <c r="H588" t="s">
        <v>585</v>
      </c>
      <c r="I588" t="s">
        <v>83</v>
      </c>
      <c r="J588" t="s">
        <v>84</v>
      </c>
      <c r="K588" t="s">
        <v>158</v>
      </c>
      <c r="L588" t="s">
        <v>19</v>
      </c>
    </row>
    <row r="589" spans="1:12" x14ac:dyDescent="0.3">
      <c r="A589" t="s">
        <v>2163</v>
      </c>
      <c r="B589" t="s">
        <v>1502</v>
      </c>
      <c r="C589" t="s">
        <v>1422</v>
      </c>
      <c r="D589" t="s">
        <v>15</v>
      </c>
      <c r="E589">
        <v>11</v>
      </c>
      <c r="F589">
        <v>50</v>
      </c>
      <c r="G589" t="s">
        <v>589</v>
      </c>
      <c r="H589" t="s">
        <v>37</v>
      </c>
      <c r="I589" t="s">
        <v>225</v>
      </c>
      <c r="J589" t="s">
        <v>226</v>
      </c>
      <c r="K589" t="s">
        <v>45</v>
      </c>
      <c r="L589" t="s">
        <v>46</v>
      </c>
    </row>
    <row r="590" spans="1:12" x14ac:dyDescent="0.3">
      <c r="A590" t="s">
        <v>1604</v>
      </c>
      <c r="B590" t="s">
        <v>1504</v>
      </c>
      <c r="C590" t="s">
        <v>305</v>
      </c>
      <c r="D590" t="s">
        <v>50</v>
      </c>
      <c r="E590">
        <v>11</v>
      </c>
      <c r="F590">
        <v>65</v>
      </c>
      <c r="G590" t="s">
        <v>598</v>
      </c>
      <c r="H590" t="s">
        <v>70</v>
      </c>
      <c r="I590" t="s">
        <v>183</v>
      </c>
      <c r="J590" t="s">
        <v>184</v>
      </c>
      <c r="K590" t="s">
        <v>436</v>
      </c>
      <c r="L590" t="s">
        <v>21</v>
      </c>
    </row>
    <row r="591" spans="1:12" x14ac:dyDescent="0.3">
      <c r="A591" t="s">
        <v>1606</v>
      </c>
      <c r="B591" t="s">
        <v>1506</v>
      </c>
      <c r="C591" t="s">
        <v>1002</v>
      </c>
      <c r="D591" t="s">
        <v>35</v>
      </c>
      <c r="E591">
        <v>3</v>
      </c>
      <c r="F591">
        <v>60</v>
      </c>
      <c r="G591" t="s">
        <v>26</v>
      </c>
      <c r="H591" t="s">
        <v>37</v>
      </c>
      <c r="I591" t="s">
        <v>225</v>
      </c>
      <c r="J591" t="s">
        <v>226</v>
      </c>
      <c r="K591" t="s">
        <v>20</v>
      </c>
      <c r="L591" t="s">
        <v>21</v>
      </c>
    </row>
    <row r="592" spans="1:12" x14ac:dyDescent="0.3">
      <c r="A592" t="s">
        <v>1608</v>
      </c>
      <c r="B592" t="s">
        <v>1508</v>
      </c>
      <c r="C592" t="s">
        <v>1509</v>
      </c>
      <c r="D592" t="s">
        <v>281</v>
      </c>
      <c r="E592">
        <v>11</v>
      </c>
      <c r="F592">
        <v>65</v>
      </c>
      <c r="G592" t="s">
        <v>598</v>
      </c>
      <c r="H592" t="s">
        <v>17</v>
      </c>
      <c r="I592" t="s">
        <v>18</v>
      </c>
      <c r="J592" t="s">
        <v>65</v>
      </c>
      <c r="K592" t="s">
        <v>45</v>
      </c>
      <c r="L592" t="s">
        <v>21</v>
      </c>
    </row>
    <row r="593" spans="1:12" x14ac:dyDescent="0.3">
      <c r="A593" t="s">
        <v>1610</v>
      </c>
      <c r="B593" t="s">
        <v>444</v>
      </c>
      <c r="C593" t="s">
        <v>256</v>
      </c>
      <c r="D593" t="s">
        <v>169</v>
      </c>
      <c r="E593">
        <v>6</v>
      </c>
      <c r="F593">
        <v>75</v>
      </c>
      <c r="G593" t="s">
        <v>137</v>
      </c>
      <c r="H593" t="s">
        <v>17</v>
      </c>
      <c r="I593" t="s">
        <v>19</v>
      </c>
      <c r="J593" t="s">
        <v>91</v>
      </c>
      <c r="K593" t="s">
        <v>20</v>
      </c>
      <c r="L593" t="s">
        <v>421</v>
      </c>
    </row>
    <row r="594" spans="1:12" x14ac:dyDescent="0.3">
      <c r="A594" t="s">
        <v>1613</v>
      </c>
      <c r="B594" t="s">
        <v>1512</v>
      </c>
      <c r="C594" t="s">
        <v>563</v>
      </c>
      <c r="D594" t="s">
        <v>146</v>
      </c>
      <c r="E594">
        <v>1</v>
      </c>
      <c r="F594">
        <v>85</v>
      </c>
      <c r="G594" t="s">
        <v>451</v>
      </c>
      <c r="H594" t="s">
        <v>37</v>
      </c>
      <c r="I594" t="s">
        <v>83</v>
      </c>
      <c r="J594" t="s">
        <v>84</v>
      </c>
      <c r="K594" t="s">
        <v>158</v>
      </c>
      <c r="L594" t="s">
        <v>21</v>
      </c>
    </row>
    <row r="595" spans="1:12" x14ac:dyDescent="0.3">
      <c r="A595" t="s">
        <v>1615</v>
      </c>
      <c r="B595" t="s">
        <v>1514</v>
      </c>
      <c r="C595" t="s">
        <v>445</v>
      </c>
      <c r="D595" t="s">
        <v>169</v>
      </c>
      <c r="E595">
        <v>13</v>
      </c>
      <c r="F595">
        <v>75</v>
      </c>
      <c r="G595" t="s">
        <v>1515</v>
      </c>
      <c r="H595" t="s">
        <v>17</v>
      </c>
      <c r="I595" t="s">
        <v>90</v>
      </c>
      <c r="J595" t="s">
        <v>91</v>
      </c>
      <c r="K595" t="s">
        <v>30</v>
      </c>
      <c r="L595" t="s">
        <v>21</v>
      </c>
    </row>
    <row r="596" spans="1:12" x14ac:dyDescent="0.3">
      <c r="A596" t="s">
        <v>1617</v>
      </c>
      <c r="B596" t="s">
        <v>342</v>
      </c>
      <c r="C596" t="s">
        <v>420</v>
      </c>
      <c r="D596" t="s">
        <v>169</v>
      </c>
      <c r="E596" t="s">
        <v>19</v>
      </c>
      <c r="F596">
        <v>80</v>
      </c>
      <c r="G596" t="s">
        <v>277</v>
      </c>
      <c r="H596" t="s">
        <v>70</v>
      </c>
      <c r="I596" t="s">
        <v>71</v>
      </c>
      <c r="J596" t="s">
        <v>72</v>
      </c>
      <c r="K596" t="s">
        <v>73</v>
      </c>
      <c r="L596" t="s">
        <v>21</v>
      </c>
    </row>
    <row r="597" spans="1:12" x14ac:dyDescent="0.3">
      <c r="A597" t="s">
        <v>1619</v>
      </c>
      <c r="B597" t="s">
        <v>1387</v>
      </c>
      <c r="C597" t="s">
        <v>716</v>
      </c>
      <c r="D597" t="s">
        <v>35</v>
      </c>
      <c r="E597">
        <v>1</v>
      </c>
      <c r="F597">
        <v>60</v>
      </c>
      <c r="G597" t="s">
        <v>531</v>
      </c>
      <c r="H597" t="s">
        <v>37</v>
      </c>
      <c r="I597" t="s">
        <v>225</v>
      </c>
      <c r="J597" t="s">
        <v>226</v>
      </c>
      <c r="K597" t="s">
        <v>60</v>
      </c>
      <c r="L597" t="s">
        <v>21</v>
      </c>
    </row>
    <row r="598" spans="1:12" x14ac:dyDescent="0.3">
      <c r="A598" t="s">
        <v>1621</v>
      </c>
      <c r="B598" t="s">
        <v>1519</v>
      </c>
      <c r="C598" t="s">
        <v>129</v>
      </c>
      <c r="D598" t="s">
        <v>43</v>
      </c>
      <c r="E598">
        <v>12</v>
      </c>
      <c r="F598">
        <v>95</v>
      </c>
      <c r="G598" t="s">
        <v>340</v>
      </c>
      <c r="H598" t="s">
        <v>37</v>
      </c>
      <c r="I598" t="s">
        <v>225</v>
      </c>
      <c r="J598" t="s">
        <v>226</v>
      </c>
      <c r="K598" t="s">
        <v>60</v>
      </c>
      <c r="L598" t="s">
        <v>46</v>
      </c>
    </row>
    <row r="599" spans="1:12" x14ac:dyDescent="0.3">
      <c r="A599" t="s">
        <v>1624</v>
      </c>
      <c r="B599" t="s">
        <v>1521</v>
      </c>
      <c r="C599" t="s">
        <v>24</v>
      </c>
      <c r="D599" t="s">
        <v>281</v>
      </c>
      <c r="E599">
        <v>9</v>
      </c>
      <c r="F599">
        <v>70</v>
      </c>
      <c r="G599" t="s">
        <v>642</v>
      </c>
      <c r="H599" t="s">
        <v>70</v>
      </c>
      <c r="I599" t="s">
        <v>151</v>
      </c>
      <c r="J599" t="s">
        <v>152</v>
      </c>
      <c r="K599" t="s">
        <v>153</v>
      </c>
      <c r="L599" t="s">
        <v>21</v>
      </c>
    </row>
    <row r="600" spans="1:12" x14ac:dyDescent="0.3">
      <c r="A600" t="s">
        <v>1625</v>
      </c>
      <c r="B600" t="s">
        <v>1523</v>
      </c>
      <c r="C600" t="s">
        <v>133</v>
      </c>
      <c r="D600" t="s">
        <v>125</v>
      </c>
      <c r="E600">
        <v>12</v>
      </c>
      <c r="F600">
        <v>58</v>
      </c>
      <c r="G600" t="s">
        <v>978</v>
      </c>
      <c r="H600" t="s">
        <v>70</v>
      </c>
      <c r="I600" t="s">
        <v>151</v>
      </c>
      <c r="J600" t="s">
        <v>188</v>
      </c>
      <c r="K600" t="s">
        <v>30</v>
      </c>
      <c r="L600" t="s">
        <v>21</v>
      </c>
    </row>
    <row r="601" spans="1:12" x14ac:dyDescent="0.3">
      <c r="A601" t="s">
        <v>1627</v>
      </c>
      <c r="B601" t="s">
        <v>1525</v>
      </c>
      <c r="C601" t="s">
        <v>1526</v>
      </c>
      <c r="D601" t="s">
        <v>125</v>
      </c>
      <c r="E601">
        <v>15</v>
      </c>
      <c r="F601">
        <v>58</v>
      </c>
      <c r="G601" t="s">
        <v>556</v>
      </c>
      <c r="H601" t="s">
        <v>37</v>
      </c>
      <c r="I601" t="s">
        <v>225</v>
      </c>
      <c r="J601" t="s">
        <v>226</v>
      </c>
      <c r="K601" t="s">
        <v>45</v>
      </c>
      <c r="L601" t="s">
        <v>31</v>
      </c>
    </row>
    <row r="602" spans="1:12" x14ac:dyDescent="0.3">
      <c r="A602" t="s">
        <v>1630</v>
      </c>
      <c r="B602" t="s">
        <v>291</v>
      </c>
      <c r="C602" t="s">
        <v>420</v>
      </c>
      <c r="D602" t="s">
        <v>19</v>
      </c>
      <c r="E602">
        <v>7</v>
      </c>
      <c r="F602">
        <v>68</v>
      </c>
      <c r="G602" t="s">
        <v>230</v>
      </c>
      <c r="H602" t="s">
        <v>37</v>
      </c>
      <c r="I602" t="s">
        <v>225</v>
      </c>
      <c r="J602" t="s">
        <v>682</v>
      </c>
      <c r="K602" t="s">
        <v>60</v>
      </c>
      <c r="L602" t="s">
        <v>46</v>
      </c>
    </row>
    <row r="603" spans="1:12" x14ac:dyDescent="0.3">
      <c r="A603" t="s">
        <v>1633</v>
      </c>
      <c r="B603" t="s">
        <v>1529</v>
      </c>
      <c r="C603" t="s">
        <v>244</v>
      </c>
      <c r="D603" t="s">
        <v>125</v>
      </c>
      <c r="E603">
        <v>19</v>
      </c>
      <c r="F603">
        <v>63</v>
      </c>
      <c r="G603" t="s">
        <v>111</v>
      </c>
      <c r="H603" t="s">
        <v>27</v>
      </c>
      <c r="I603" t="s">
        <v>19</v>
      </c>
      <c r="J603" t="s">
        <v>101</v>
      </c>
      <c r="K603" t="s">
        <v>20</v>
      </c>
      <c r="L603" t="s">
        <v>46</v>
      </c>
    </row>
    <row r="604" spans="1:12" x14ac:dyDescent="0.3">
      <c r="A604" t="s">
        <v>1635</v>
      </c>
      <c r="B604" t="s">
        <v>1531</v>
      </c>
      <c r="C604" t="s">
        <v>190</v>
      </c>
      <c r="D604" t="s">
        <v>146</v>
      </c>
      <c r="E604">
        <v>19</v>
      </c>
      <c r="F604">
        <v>80</v>
      </c>
      <c r="G604" t="s">
        <v>1532</v>
      </c>
      <c r="H604" t="s">
        <v>17</v>
      </c>
      <c r="I604" t="s">
        <v>18</v>
      </c>
      <c r="J604" t="s">
        <v>19</v>
      </c>
      <c r="K604" t="s">
        <v>45</v>
      </c>
      <c r="L604" t="s">
        <v>46</v>
      </c>
    </row>
    <row r="605" spans="1:12" x14ac:dyDescent="0.3">
      <c r="A605" t="s">
        <v>1637</v>
      </c>
      <c r="B605" t="s">
        <v>1531</v>
      </c>
      <c r="C605" t="s">
        <v>190</v>
      </c>
      <c r="D605" t="s">
        <v>146</v>
      </c>
      <c r="E605">
        <v>19</v>
      </c>
      <c r="F605">
        <v>80</v>
      </c>
      <c r="G605" t="s">
        <v>220</v>
      </c>
      <c r="H605" t="s">
        <v>17</v>
      </c>
      <c r="I605" t="s">
        <v>18</v>
      </c>
      <c r="J605" t="s">
        <v>65</v>
      </c>
      <c r="K605" t="s">
        <v>45</v>
      </c>
      <c r="L605" t="s">
        <v>46</v>
      </c>
    </row>
    <row r="606" spans="1:12" x14ac:dyDescent="0.3">
      <c r="A606" t="s">
        <v>2164</v>
      </c>
      <c r="B606" t="s">
        <v>1200</v>
      </c>
      <c r="C606" t="s">
        <v>1356</v>
      </c>
      <c r="D606" t="s">
        <v>25</v>
      </c>
      <c r="E606">
        <v>19</v>
      </c>
      <c r="F606">
        <v>50</v>
      </c>
      <c r="G606" t="s">
        <v>1533</v>
      </c>
      <c r="H606" t="s">
        <v>17</v>
      </c>
      <c r="I606" t="s">
        <v>90</v>
      </c>
      <c r="J606" t="s">
        <v>91</v>
      </c>
      <c r="K606" t="s">
        <v>20</v>
      </c>
      <c r="L606" t="s">
        <v>31</v>
      </c>
    </row>
    <row r="607" spans="1:12" x14ac:dyDescent="0.3">
      <c r="A607" t="s">
        <v>2165</v>
      </c>
      <c r="B607" t="s">
        <v>1535</v>
      </c>
      <c r="C607" t="s">
        <v>1536</v>
      </c>
      <c r="D607" t="s">
        <v>169</v>
      </c>
      <c r="E607">
        <v>2</v>
      </c>
      <c r="F607">
        <v>75</v>
      </c>
      <c r="G607" t="s">
        <v>150</v>
      </c>
      <c r="H607" t="s">
        <v>17</v>
      </c>
      <c r="I607" t="s">
        <v>18</v>
      </c>
      <c r="J607" t="s">
        <v>65</v>
      </c>
      <c r="K607" t="s">
        <v>30</v>
      </c>
      <c r="L607" t="s">
        <v>46</v>
      </c>
    </row>
    <row r="608" spans="1:12" x14ac:dyDescent="0.3">
      <c r="A608" t="s">
        <v>1640</v>
      </c>
      <c r="B608" t="s">
        <v>1538</v>
      </c>
      <c r="C608" t="s">
        <v>410</v>
      </c>
      <c r="D608" t="s">
        <v>15</v>
      </c>
      <c r="E608">
        <v>16</v>
      </c>
      <c r="F608">
        <v>55</v>
      </c>
      <c r="G608" t="s">
        <v>710</v>
      </c>
      <c r="H608" t="s">
        <v>27</v>
      </c>
      <c r="I608" t="s">
        <v>52</v>
      </c>
      <c r="J608" t="s">
        <v>29</v>
      </c>
      <c r="K608" t="s">
        <v>20</v>
      </c>
      <c r="L608" t="s">
        <v>21</v>
      </c>
    </row>
    <row r="609" spans="1:12" x14ac:dyDescent="0.3">
      <c r="A609" t="s">
        <v>1641</v>
      </c>
      <c r="B609" t="s">
        <v>1539</v>
      </c>
      <c r="C609" t="s">
        <v>410</v>
      </c>
      <c r="D609" t="s">
        <v>15</v>
      </c>
      <c r="E609">
        <v>16</v>
      </c>
      <c r="F609">
        <v>55</v>
      </c>
      <c r="G609" t="s">
        <v>710</v>
      </c>
      <c r="H609" t="s">
        <v>27</v>
      </c>
      <c r="I609" t="s">
        <v>28</v>
      </c>
      <c r="J609" t="s">
        <v>29</v>
      </c>
      <c r="K609" t="s">
        <v>20</v>
      </c>
      <c r="L609" t="s">
        <v>21</v>
      </c>
    </row>
    <row r="610" spans="1:12" x14ac:dyDescent="0.3">
      <c r="A610" t="s">
        <v>1642</v>
      </c>
      <c r="B610" t="s">
        <v>1540</v>
      </c>
      <c r="C610" t="s">
        <v>42</v>
      </c>
      <c r="D610" t="s">
        <v>94</v>
      </c>
      <c r="E610">
        <v>4</v>
      </c>
      <c r="F610">
        <v>63</v>
      </c>
      <c r="G610" t="s">
        <v>1141</v>
      </c>
      <c r="H610" t="s">
        <v>17</v>
      </c>
      <c r="I610" t="s">
        <v>18</v>
      </c>
      <c r="J610" t="s">
        <v>65</v>
      </c>
      <c r="K610" t="s">
        <v>20</v>
      </c>
      <c r="L610" t="s">
        <v>31</v>
      </c>
    </row>
    <row r="611" spans="1:12" x14ac:dyDescent="0.3">
      <c r="A611" t="s">
        <v>1643</v>
      </c>
      <c r="B611" t="s">
        <v>1409</v>
      </c>
      <c r="C611" t="s">
        <v>256</v>
      </c>
      <c r="D611" t="s">
        <v>15</v>
      </c>
      <c r="E611">
        <v>11</v>
      </c>
      <c r="F611">
        <v>50</v>
      </c>
      <c r="G611" t="s">
        <v>589</v>
      </c>
      <c r="H611" t="s">
        <v>70</v>
      </c>
      <c r="I611" t="s">
        <v>151</v>
      </c>
      <c r="J611" t="s">
        <v>188</v>
      </c>
      <c r="K611" t="s">
        <v>45</v>
      </c>
      <c r="L611" t="s">
        <v>421</v>
      </c>
    </row>
    <row r="612" spans="1:12" x14ac:dyDescent="0.3">
      <c r="A612" t="s">
        <v>1646</v>
      </c>
      <c r="B612" t="s">
        <v>1543</v>
      </c>
      <c r="C612" t="s">
        <v>1544</v>
      </c>
      <c r="D612" t="s">
        <v>169</v>
      </c>
      <c r="E612">
        <v>18</v>
      </c>
      <c r="F612" t="s">
        <v>19</v>
      </c>
      <c r="G612" t="s">
        <v>523</v>
      </c>
      <c r="H612" t="s">
        <v>70</v>
      </c>
      <c r="I612" t="s">
        <v>183</v>
      </c>
      <c r="J612" t="s">
        <v>184</v>
      </c>
      <c r="K612" t="s">
        <v>66</v>
      </c>
      <c r="L612" t="s">
        <v>31</v>
      </c>
    </row>
    <row r="613" spans="1:12" x14ac:dyDescent="0.3">
      <c r="A613" t="s">
        <v>1648</v>
      </c>
      <c r="B613" t="s">
        <v>1545</v>
      </c>
      <c r="C613" t="s">
        <v>512</v>
      </c>
      <c r="D613" t="s">
        <v>15</v>
      </c>
      <c r="E613">
        <v>16</v>
      </c>
      <c r="F613">
        <v>45</v>
      </c>
      <c r="G613" t="s">
        <v>418</v>
      </c>
      <c r="H613" t="s">
        <v>17</v>
      </c>
      <c r="I613" t="s">
        <v>18</v>
      </c>
      <c r="J613" t="s">
        <v>65</v>
      </c>
      <c r="K613" t="s">
        <v>45</v>
      </c>
      <c r="L613" t="s">
        <v>46</v>
      </c>
    </row>
    <row r="614" spans="1:12" x14ac:dyDescent="0.3">
      <c r="A614" t="s">
        <v>1650</v>
      </c>
      <c r="B614" t="s">
        <v>1547</v>
      </c>
      <c r="C614" t="s">
        <v>88</v>
      </c>
      <c r="D614" t="s">
        <v>169</v>
      </c>
      <c r="E614">
        <v>9</v>
      </c>
      <c r="F614">
        <v>75</v>
      </c>
      <c r="G614" t="s">
        <v>1116</v>
      </c>
      <c r="H614" t="s">
        <v>17</v>
      </c>
      <c r="I614" t="s">
        <v>90</v>
      </c>
      <c r="J614" t="s">
        <v>91</v>
      </c>
      <c r="K614" t="s">
        <v>45</v>
      </c>
      <c r="L614" t="s">
        <v>46</v>
      </c>
    </row>
    <row r="615" spans="1:12" x14ac:dyDescent="0.3">
      <c r="A615" t="s">
        <v>1651</v>
      </c>
      <c r="B615" t="s">
        <v>1549</v>
      </c>
      <c r="C615" t="s">
        <v>129</v>
      </c>
      <c r="D615" t="s">
        <v>125</v>
      </c>
      <c r="E615">
        <v>20</v>
      </c>
      <c r="F615">
        <v>63</v>
      </c>
      <c r="G615" t="s">
        <v>760</v>
      </c>
      <c r="H615" t="s">
        <v>27</v>
      </c>
      <c r="I615" t="s">
        <v>100</v>
      </c>
      <c r="J615" t="s">
        <v>101</v>
      </c>
      <c r="K615" t="s">
        <v>20</v>
      </c>
      <c r="L615" t="s">
        <v>46</v>
      </c>
    </row>
    <row r="616" spans="1:12" x14ac:dyDescent="0.3">
      <c r="A616" t="s">
        <v>1653</v>
      </c>
      <c r="B616" t="s">
        <v>1551</v>
      </c>
      <c r="C616" t="s">
        <v>600</v>
      </c>
      <c r="D616" t="s">
        <v>94</v>
      </c>
      <c r="E616">
        <v>18</v>
      </c>
      <c r="F616">
        <v>68</v>
      </c>
      <c r="G616" t="s">
        <v>607</v>
      </c>
      <c r="H616" t="s">
        <v>37</v>
      </c>
      <c r="I616" t="s">
        <v>83</v>
      </c>
      <c r="J616" t="s">
        <v>873</v>
      </c>
      <c r="K616" t="s">
        <v>158</v>
      </c>
      <c r="L616" t="s">
        <v>21</v>
      </c>
    </row>
    <row r="617" spans="1:12" x14ac:dyDescent="0.3">
      <c r="A617" t="s">
        <v>1655</v>
      </c>
      <c r="B617" t="s">
        <v>1553</v>
      </c>
      <c r="C617" t="s">
        <v>1067</v>
      </c>
      <c r="D617" t="s">
        <v>169</v>
      </c>
      <c r="E617">
        <v>7</v>
      </c>
      <c r="F617">
        <v>80</v>
      </c>
      <c r="G617" t="s">
        <v>317</v>
      </c>
      <c r="H617" t="s">
        <v>37</v>
      </c>
      <c r="I617" t="s">
        <v>38</v>
      </c>
      <c r="J617" t="s">
        <v>39</v>
      </c>
      <c r="K617" t="s">
        <v>30</v>
      </c>
      <c r="L617" t="s">
        <v>46</v>
      </c>
    </row>
    <row r="618" spans="1:12" x14ac:dyDescent="0.3">
      <c r="A618" t="s">
        <v>1657</v>
      </c>
      <c r="B618" t="s">
        <v>1555</v>
      </c>
      <c r="C618" t="s">
        <v>742</v>
      </c>
      <c r="D618" t="s">
        <v>125</v>
      </c>
      <c r="E618">
        <v>5</v>
      </c>
      <c r="F618">
        <v>58</v>
      </c>
      <c r="G618" t="s">
        <v>1306</v>
      </c>
      <c r="H618" t="s">
        <v>585</v>
      </c>
      <c r="I618" t="s">
        <v>225</v>
      </c>
      <c r="J618" t="s">
        <v>226</v>
      </c>
      <c r="K618" t="s">
        <v>45</v>
      </c>
      <c r="L618" t="s">
        <v>31</v>
      </c>
    </row>
    <row r="619" spans="1:12" x14ac:dyDescent="0.3">
      <c r="A619" t="s">
        <v>1660</v>
      </c>
      <c r="B619" t="s">
        <v>1557</v>
      </c>
      <c r="C619" t="s">
        <v>570</v>
      </c>
      <c r="D619" t="s">
        <v>94</v>
      </c>
      <c r="E619">
        <v>17</v>
      </c>
      <c r="F619">
        <v>68</v>
      </c>
      <c r="G619" t="s">
        <v>893</v>
      </c>
      <c r="H619" t="s">
        <v>37</v>
      </c>
      <c r="I619" t="s">
        <v>225</v>
      </c>
      <c r="J619" t="s">
        <v>226</v>
      </c>
      <c r="K619" t="s">
        <v>20</v>
      </c>
      <c r="L619" t="s">
        <v>46</v>
      </c>
    </row>
    <row r="620" spans="1:12" x14ac:dyDescent="0.3">
      <c r="A620" t="s">
        <v>1663</v>
      </c>
      <c r="B620" t="s">
        <v>1559</v>
      </c>
      <c r="C620" t="s">
        <v>718</v>
      </c>
      <c r="D620" t="s">
        <v>50</v>
      </c>
      <c r="E620">
        <v>10</v>
      </c>
      <c r="F620">
        <v>60</v>
      </c>
      <c r="G620" t="s">
        <v>321</v>
      </c>
      <c r="H620" t="s">
        <v>17</v>
      </c>
      <c r="I620" t="s">
        <v>18</v>
      </c>
      <c r="J620" t="s">
        <v>65</v>
      </c>
      <c r="K620" t="s">
        <v>45</v>
      </c>
      <c r="L620" t="s">
        <v>46</v>
      </c>
    </row>
    <row r="621" spans="1:12" x14ac:dyDescent="0.3">
      <c r="A621" t="s">
        <v>1665</v>
      </c>
      <c r="B621" t="s">
        <v>1561</v>
      </c>
      <c r="C621" t="s">
        <v>1282</v>
      </c>
      <c r="D621" t="s">
        <v>146</v>
      </c>
      <c r="E621">
        <v>14</v>
      </c>
      <c r="F621">
        <v>90</v>
      </c>
      <c r="G621" t="s">
        <v>1562</v>
      </c>
      <c r="H621" t="s">
        <v>27</v>
      </c>
      <c r="I621" t="s">
        <v>100</v>
      </c>
      <c r="J621" t="s">
        <v>19</v>
      </c>
      <c r="K621" t="s">
        <v>45</v>
      </c>
      <c r="L621" t="s">
        <v>46</v>
      </c>
    </row>
    <row r="622" spans="1:12" x14ac:dyDescent="0.3">
      <c r="A622" t="s">
        <v>1667</v>
      </c>
      <c r="B622" t="s">
        <v>1564</v>
      </c>
      <c r="C622" t="s">
        <v>1159</v>
      </c>
      <c r="D622" t="s">
        <v>281</v>
      </c>
      <c r="E622">
        <v>12</v>
      </c>
      <c r="F622">
        <v>75</v>
      </c>
      <c r="G622" t="s">
        <v>36</v>
      </c>
      <c r="H622" t="s">
        <v>27</v>
      </c>
      <c r="I622" t="s">
        <v>100</v>
      </c>
      <c r="J622" t="s">
        <v>101</v>
      </c>
      <c r="K622" t="s">
        <v>30</v>
      </c>
      <c r="L622" t="s">
        <v>46</v>
      </c>
    </row>
    <row r="623" spans="1:12" x14ac:dyDescent="0.3">
      <c r="A623" t="s">
        <v>1668</v>
      </c>
      <c r="B623" t="s">
        <v>869</v>
      </c>
      <c r="C623" t="s">
        <v>1002</v>
      </c>
      <c r="D623" t="s">
        <v>492</v>
      </c>
      <c r="E623">
        <v>1</v>
      </c>
      <c r="F623">
        <v>75</v>
      </c>
      <c r="G623" t="s">
        <v>1394</v>
      </c>
      <c r="H623" t="s">
        <v>17</v>
      </c>
      <c r="I623" t="s">
        <v>90</v>
      </c>
      <c r="J623" t="s">
        <v>91</v>
      </c>
      <c r="K623" t="s">
        <v>140</v>
      </c>
      <c r="L623" t="s">
        <v>31</v>
      </c>
    </row>
    <row r="624" spans="1:12" x14ac:dyDescent="0.3">
      <c r="A624" t="s">
        <v>1671</v>
      </c>
      <c r="B624" t="s">
        <v>19</v>
      </c>
      <c r="C624" t="s">
        <v>1456</v>
      </c>
      <c r="D624" t="s">
        <v>35</v>
      </c>
      <c r="E624">
        <v>19</v>
      </c>
      <c r="F624">
        <v>65</v>
      </c>
      <c r="G624" t="s">
        <v>348</v>
      </c>
      <c r="H624" t="s">
        <v>27</v>
      </c>
      <c r="I624" t="s">
        <v>100</v>
      </c>
      <c r="J624" t="s">
        <v>101</v>
      </c>
      <c r="K624" t="s">
        <v>30</v>
      </c>
      <c r="L624" t="s">
        <v>31</v>
      </c>
    </row>
    <row r="625" spans="1:12" x14ac:dyDescent="0.3">
      <c r="A625" t="s">
        <v>1673</v>
      </c>
      <c r="B625" t="s">
        <v>1406</v>
      </c>
      <c r="C625" t="s">
        <v>259</v>
      </c>
      <c r="D625" t="s">
        <v>25</v>
      </c>
      <c r="E625">
        <v>20</v>
      </c>
      <c r="F625">
        <v>55</v>
      </c>
      <c r="G625" t="s">
        <v>309</v>
      </c>
      <c r="H625" t="s">
        <v>37</v>
      </c>
      <c r="I625" t="s">
        <v>83</v>
      </c>
      <c r="J625" t="s">
        <v>84</v>
      </c>
      <c r="K625" t="s">
        <v>158</v>
      </c>
      <c r="L625" t="s">
        <v>21</v>
      </c>
    </row>
    <row r="626" spans="1:12" x14ac:dyDescent="0.3">
      <c r="A626" t="s">
        <v>1675</v>
      </c>
      <c r="B626" t="s">
        <v>1406</v>
      </c>
      <c r="C626" t="s">
        <v>259</v>
      </c>
      <c r="D626" t="s">
        <v>25</v>
      </c>
      <c r="E626">
        <v>20</v>
      </c>
      <c r="F626">
        <v>55</v>
      </c>
      <c r="G626" t="s">
        <v>309</v>
      </c>
      <c r="H626" t="s">
        <v>37</v>
      </c>
      <c r="I626" t="s">
        <v>83</v>
      </c>
      <c r="J626" t="s">
        <v>84</v>
      </c>
      <c r="K626" t="s">
        <v>158</v>
      </c>
      <c r="L626" t="s">
        <v>21</v>
      </c>
    </row>
    <row r="627" spans="1:12" x14ac:dyDescent="0.3">
      <c r="A627" t="s">
        <v>1676</v>
      </c>
      <c r="B627" t="s">
        <v>1569</v>
      </c>
      <c r="C627" t="s">
        <v>63</v>
      </c>
      <c r="D627" t="s">
        <v>281</v>
      </c>
      <c r="E627">
        <v>18</v>
      </c>
      <c r="F627">
        <v>70</v>
      </c>
      <c r="G627" t="s">
        <v>760</v>
      </c>
      <c r="H627" t="s">
        <v>231</v>
      </c>
      <c r="I627" t="s">
        <v>71</v>
      </c>
      <c r="J627" t="s">
        <v>72</v>
      </c>
      <c r="K627" t="s">
        <v>73</v>
      </c>
      <c r="L627" t="s">
        <v>21</v>
      </c>
    </row>
    <row r="628" spans="1:12" x14ac:dyDescent="0.3">
      <c r="A628" t="s">
        <v>1677</v>
      </c>
      <c r="B628" t="s">
        <v>1034</v>
      </c>
      <c r="C628" t="s">
        <v>1344</v>
      </c>
      <c r="D628" t="s">
        <v>94</v>
      </c>
      <c r="E628">
        <v>7</v>
      </c>
      <c r="F628">
        <v>73</v>
      </c>
      <c r="G628" t="s">
        <v>743</v>
      </c>
      <c r="H628" t="s">
        <v>27</v>
      </c>
      <c r="I628" t="s">
        <v>100</v>
      </c>
      <c r="J628" t="s">
        <v>140</v>
      </c>
      <c r="K628" t="s">
        <v>45</v>
      </c>
      <c r="L628" t="s">
        <v>31</v>
      </c>
    </row>
    <row r="629" spans="1:12" x14ac:dyDescent="0.3">
      <c r="A629" t="s">
        <v>1679</v>
      </c>
      <c r="B629" t="s">
        <v>1572</v>
      </c>
      <c r="C629" t="s">
        <v>887</v>
      </c>
      <c r="D629" t="s">
        <v>146</v>
      </c>
      <c r="E629">
        <v>4</v>
      </c>
      <c r="F629">
        <v>80</v>
      </c>
      <c r="G629" t="s">
        <v>443</v>
      </c>
      <c r="H629" t="s">
        <v>17</v>
      </c>
      <c r="I629" t="s">
        <v>18</v>
      </c>
      <c r="J629" t="s">
        <v>65</v>
      </c>
      <c r="K629" t="s">
        <v>20</v>
      </c>
      <c r="L629" t="s">
        <v>19</v>
      </c>
    </row>
    <row r="630" spans="1:12" x14ac:dyDescent="0.3">
      <c r="A630" t="s">
        <v>1681</v>
      </c>
      <c r="B630" t="s">
        <v>1574</v>
      </c>
      <c r="C630" t="s">
        <v>305</v>
      </c>
      <c r="D630" t="s">
        <v>43</v>
      </c>
      <c r="E630">
        <v>9</v>
      </c>
      <c r="F630">
        <v>95</v>
      </c>
      <c r="G630" t="s">
        <v>1575</v>
      </c>
      <c r="H630" t="s">
        <v>231</v>
      </c>
      <c r="I630" t="s">
        <v>71</v>
      </c>
      <c r="J630" t="s">
        <v>557</v>
      </c>
      <c r="K630" t="s">
        <v>263</v>
      </c>
      <c r="L630" t="s">
        <v>31</v>
      </c>
    </row>
    <row r="631" spans="1:12" x14ac:dyDescent="0.3">
      <c r="A631" t="s">
        <v>1683</v>
      </c>
      <c r="B631" t="s">
        <v>1577</v>
      </c>
      <c r="C631" t="s">
        <v>1578</v>
      </c>
      <c r="D631" t="s">
        <v>146</v>
      </c>
      <c r="E631">
        <v>20</v>
      </c>
      <c r="F631">
        <v>80</v>
      </c>
      <c r="G631" t="s">
        <v>671</v>
      </c>
      <c r="H631" t="s">
        <v>17</v>
      </c>
      <c r="I631" t="s">
        <v>18</v>
      </c>
      <c r="J631" t="s">
        <v>65</v>
      </c>
      <c r="K631" t="s">
        <v>30</v>
      </c>
      <c r="L631" t="s">
        <v>46</v>
      </c>
    </row>
    <row r="632" spans="1:12" x14ac:dyDescent="0.3">
      <c r="A632" t="s">
        <v>1685</v>
      </c>
      <c r="B632" t="s">
        <v>1580</v>
      </c>
      <c r="C632" t="s">
        <v>808</v>
      </c>
      <c r="D632" t="s">
        <v>169</v>
      </c>
      <c r="E632">
        <v>7</v>
      </c>
      <c r="F632">
        <v>85</v>
      </c>
      <c r="G632" t="s">
        <v>457</v>
      </c>
      <c r="H632" t="s">
        <v>27</v>
      </c>
      <c r="I632" t="s">
        <v>28</v>
      </c>
      <c r="J632" t="s">
        <v>29</v>
      </c>
      <c r="K632" t="s">
        <v>66</v>
      </c>
      <c r="L632" t="s">
        <v>31</v>
      </c>
    </row>
    <row r="633" spans="1:12" x14ac:dyDescent="0.3">
      <c r="A633" t="s">
        <v>1686</v>
      </c>
      <c r="B633" t="s">
        <v>1582</v>
      </c>
      <c r="C633" t="s">
        <v>468</v>
      </c>
      <c r="D633" t="s">
        <v>35</v>
      </c>
      <c r="E633">
        <v>2</v>
      </c>
      <c r="F633">
        <v>60</v>
      </c>
      <c r="G633" t="s">
        <v>78</v>
      </c>
      <c r="H633" t="s">
        <v>70</v>
      </c>
      <c r="I633" t="s">
        <v>71</v>
      </c>
      <c r="J633" t="s">
        <v>72</v>
      </c>
      <c r="K633" t="s">
        <v>73</v>
      </c>
      <c r="L633" t="s">
        <v>31</v>
      </c>
    </row>
    <row r="634" spans="1:12" x14ac:dyDescent="0.3">
      <c r="A634" t="s">
        <v>1687</v>
      </c>
      <c r="B634" t="s">
        <v>1584</v>
      </c>
      <c r="C634" t="s">
        <v>316</v>
      </c>
      <c r="D634" t="s">
        <v>667</v>
      </c>
      <c r="E634">
        <v>18</v>
      </c>
      <c r="F634">
        <v>63</v>
      </c>
      <c r="G634" t="s">
        <v>126</v>
      </c>
      <c r="H634" t="s">
        <v>405</v>
      </c>
      <c r="I634" t="s">
        <v>90</v>
      </c>
      <c r="J634" t="s">
        <v>91</v>
      </c>
      <c r="K634" t="s">
        <v>30</v>
      </c>
      <c r="L634" t="s">
        <v>21</v>
      </c>
    </row>
    <row r="635" spans="1:12" x14ac:dyDescent="0.3">
      <c r="A635" t="s">
        <v>1689</v>
      </c>
      <c r="B635" t="s">
        <v>1586</v>
      </c>
      <c r="C635" t="s">
        <v>88</v>
      </c>
      <c r="D635" t="s">
        <v>35</v>
      </c>
      <c r="E635">
        <v>3</v>
      </c>
      <c r="F635">
        <v>65</v>
      </c>
      <c r="G635" t="s">
        <v>19</v>
      </c>
      <c r="H635" t="s">
        <v>27</v>
      </c>
      <c r="I635" t="s">
        <v>28</v>
      </c>
      <c r="J635" t="s">
        <v>79</v>
      </c>
      <c r="K635" t="s">
        <v>479</v>
      </c>
      <c r="L635" t="s">
        <v>46</v>
      </c>
    </row>
    <row r="636" spans="1:12" x14ac:dyDescent="0.3">
      <c r="A636" t="s">
        <v>1692</v>
      </c>
      <c r="B636" t="s">
        <v>1588</v>
      </c>
      <c r="C636" t="s">
        <v>120</v>
      </c>
      <c r="D636" t="s">
        <v>50</v>
      </c>
      <c r="E636">
        <v>12</v>
      </c>
      <c r="F636">
        <v>65</v>
      </c>
      <c r="G636" t="s">
        <v>574</v>
      </c>
      <c r="H636" t="s">
        <v>70</v>
      </c>
      <c r="I636" t="s">
        <v>183</v>
      </c>
      <c r="J636" t="s">
        <v>184</v>
      </c>
      <c r="K636" t="s">
        <v>30</v>
      </c>
      <c r="L636" t="s">
        <v>31</v>
      </c>
    </row>
    <row r="637" spans="1:12" x14ac:dyDescent="0.3">
      <c r="A637" t="s">
        <v>1694</v>
      </c>
      <c r="B637" t="s">
        <v>1590</v>
      </c>
      <c r="C637" t="s">
        <v>24</v>
      </c>
      <c r="D637" t="s">
        <v>43</v>
      </c>
      <c r="E637">
        <v>2</v>
      </c>
      <c r="F637">
        <v>90</v>
      </c>
      <c r="G637" t="s">
        <v>26</v>
      </c>
      <c r="H637" t="s">
        <v>17</v>
      </c>
      <c r="I637" t="s">
        <v>18</v>
      </c>
      <c r="J637" t="s">
        <v>65</v>
      </c>
      <c r="K637" t="s">
        <v>20</v>
      </c>
      <c r="L637" t="s">
        <v>21</v>
      </c>
    </row>
    <row r="638" spans="1:12" x14ac:dyDescent="0.3">
      <c r="A638" t="s">
        <v>1696</v>
      </c>
      <c r="B638" t="s">
        <v>1592</v>
      </c>
      <c r="C638" t="s">
        <v>329</v>
      </c>
      <c r="D638" t="s">
        <v>43</v>
      </c>
      <c r="E638">
        <v>2</v>
      </c>
      <c r="F638" t="s">
        <v>19</v>
      </c>
      <c r="G638" t="s">
        <v>26</v>
      </c>
      <c r="H638" t="s">
        <v>17</v>
      </c>
      <c r="I638" t="s">
        <v>90</v>
      </c>
      <c r="J638" t="s">
        <v>91</v>
      </c>
      <c r="K638" t="s">
        <v>60</v>
      </c>
      <c r="L638" t="s">
        <v>21</v>
      </c>
    </row>
    <row r="639" spans="1:12" x14ac:dyDescent="0.3">
      <c r="A639" t="s">
        <v>1697</v>
      </c>
      <c r="B639" t="s">
        <v>197</v>
      </c>
      <c r="C639" t="s">
        <v>289</v>
      </c>
      <c r="D639" t="s">
        <v>146</v>
      </c>
      <c r="E639">
        <v>3</v>
      </c>
      <c r="F639">
        <v>90</v>
      </c>
      <c r="G639" t="s">
        <v>1437</v>
      </c>
      <c r="H639" t="s">
        <v>27</v>
      </c>
      <c r="I639" t="s">
        <v>100</v>
      </c>
      <c r="J639" t="s">
        <v>101</v>
      </c>
      <c r="K639" t="s">
        <v>20</v>
      </c>
      <c r="L639" t="s">
        <v>46</v>
      </c>
    </row>
    <row r="640" spans="1:12" x14ac:dyDescent="0.3">
      <c r="A640" t="s">
        <v>1699</v>
      </c>
      <c r="B640" t="s">
        <v>218</v>
      </c>
      <c r="C640" t="s">
        <v>142</v>
      </c>
      <c r="D640" t="s">
        <v>15</v>
      </c>
      <c r="E640">
        <v>14</v>
      </c>
      <c r="F640">
        <v>50</v>
      </c>
      <c r="G640" t="s">
        <v>58</v>
      </c>
      <c r="H640" t="s">
        <v>70</v>
      </c>
      <c r="I640" t="s">
        <v>183</v>
      </c>
      <c r="J640" t="s">
        <v>184</v>
      </c>
      <c r="K640" t="s">
        <v>66</v>
      </c>
      <c r="L640" t="s">
        <v>46</v>
      </c>
    </row>
    <row r="641" spans="1:12" x14ac:dyDescent="0.3">
      <c r="A641" t="s">
        <v>1702</v>
      </c>
      <c r="B641" t="s">
        <v>1595</v>
      </c>
      <c r="C641" t="s">
        <v>460</v>
      </c>
      <c r="D641" t="s">
        <v>35</v>
      </c>
      <c r="E641">
        <v>13</v>
      </c>
      <c r="F641">
        <v>55</v>
      </c>
      <c r="G641" t="s">
        <v>598</v>
      </c>
      <c r="H641" t="s">
        <v>17</v>
      </c>
      <c r="I641" t="s">
        <v>90</v>
      </c>
      <c r="J641" t="s">
        <v>91</v>
      </c>
      <c r="K641" t="s">
        <v>45</v>
      </c>
      <c r="L641" t="s">
        <v>46</v>
      </c>
    </row>
    <row r="642" spans="1:12" x14ac:dyDescent="0.3">
      <c r="A642" t="s">
        <v>1703</v>
      </c>
      <c r="B642" t="s">
        <v>921</v>
      </c>
      <c r="C642" t="s">
        <v>592</v>
      </c>
      <c r="D642" t="s">
        <v>50</v>
      </c>
      <c r="E642">
        <v>20</v>
      </c>
      <c r="F642">
        <v>70</v>
      </c>
      <c r="G642" t="s">
        <v>986</v>
      </c>
      <c r="H642" t="s">
        <v>27</v>
      </c>
      <c r="I642" t="s">
        <v>28</v>
      </c>
      <c r="J642" t="s">
        <v>29</v>
      </c>
      <c r="K642" t="s">
        <v>45</v>
      </c>
      <c r="L642" t="s">
        <v>21</v>
      </c>
    </row>
    <row r="643" spans="1:12" x14ac:dyDescent="0.3">
      <c r="A643" t="s">
        <v>1705</v>
      </c>
      <c r="B643" t="s">
        <v>1598</v>
      </c>
      <c r="C643" t="s">
        <v>580</v>
      </c>
      <c r="D643" t="s">
        <v>140</v>
      </c>
      <c r="E643">
        <v>9</v>
      </c>
      <c r="F643">
        <v>80</v>
      </c>
      <c r="G643" t="s">
        <v>1599</v>
      </c>
      <c r="H643" t="s">
        <v>17</v>
      </c>
      <c r="I643" t="s">
        <v>18</v>
      </c>
      <c r="J643" t="s">
        <v>65</v>
      </c>
      <c r="K643" t="s">
        <v>30</v>
      </c>
      <c r="L643" t="s">
        <v>46</v>
      </c>
    </row>
    <row r="644" spans="1:12" x14ac:dyDescent="0.3">
      <c r="A644" t="s">
        <v>1706</v>
      </c>
      <c r="B644" t="s">
        <v>1598</v>
      </c>
      <c r="C644" t="s">
        <v>580</v>
      </c>
      <c r="D644" t="s">
        <v>146</v>
      </c>
      <c r="E644">
        <v>9</v>
      </c>
      <c r="F644">
        <v>80</v>
      </c>
      <c r="G644" t="s">
        <v>418</v>
      </c>
      <c r="H644" t="s">
        <v>17</v>
      </c>
      <c r="I644" t="s">
        <v>18</v>
      </c>
      <c r="J644" t="s">
        <v>65</v>
      </c>
      <c r="K644" t="s">
        <v>30</v>
      </c>
      <c r="L644" t="s">
        <v>46</v>
      </c>
    </row>
    <row r="645" spans="1:12" x14ac:dyDescent="0.3">
      <c r="A645" t="s">
        <v>1707</v>
      </c>
      <c r="B645" t="s">
        <v>1601</v>
      </c>
      <c r="C645" t="s">
        <v>1602</v>
      </c>
      <c r="D645" t="s">
        <v>281</v>
      </c>
      <c r="E645">
        <v>15</v>
      </c>
      <c r="F645">
        <v>70</v>
      </c>
      <c r="G645" t="s">
        <v>656</v>
      </c>
      <c r="H645" t="s">
        <v>70</v>
      </c>
      <c r="I645" t="s">
        <v>151</v>
      </c>
      <c r="J645" t="s">
        <v>152</v>
      </c>
      <c r="K645" t="s">
        <v>153</v>
      </c>
      <c r="L645" t="s">
        <v>46</v>
      </c>
    </row>
    <row r="646" spans="1:12" x14ac:dyDescent="0.3">
      <c r="A646" t="s">
        <v>2166</v>
      </c>
      <c r="B646" t="s">
        <v>815</v>
      </c>
      <c r="C646" t="s">
        <v>504</v>
      </c>
      <c r="D646" t="s">
        <v>35</v>
      </c>
      <c r="E646">
        <v>5</v>
      </c>
      <c r="F646">
        <v>65</v>
      </c>
      <c r="G646" t="s">
        <v>553</v>
      </c>
      <c r="H646" t="s">
        <v>27</v>
      </c>
      <c r="I646" t="s">
        <v>28</v>
      </c>
      <c r="J646" t="s">
        <v>29</v>
      </c>
      <c r="K646" t="s">
        <v>66</v>
      </c>
      <c r="L646" t="s">
        <v>21</v>
      </c>
    </row>
    <row r="647" spans="1:12" x14ac:dyDescent="0.3">
      <c r="A647" t="s">
        <v>1711</v>
      </c>
      <c r="B647" t="s">
        <v>1603</v>
      </c>
      <c r="C647" t="s">
        <v>136</v>
      </c>
      <c r="D647" t="s">
        <v>25</v>
      </c>
      <c r="E647">
        <v>6</v>
      </c>
      <c r="F647">
        <v>55</v>
      </c>
      <c r="G647" t="s">
        <v>214</v>
      </c>
      <c r="H647" t="s">
        <v>37</v>
      </c>
      <c r="I647" t="s">
        <v>38</v>
      </c>
      <c r="J647" t="s">
        <v>39</v>
      </c>
      <c r="K647" t="s">
        <v>66</v>
      </c>
      <c r="L647" t="s">
        <v>19</v>
      </c>
    </row>
    <row r="648" spans="1:12" x14ac:dyDescent="0.3">
      <c r="A648" t="s">
        <v>1714</v>
      </c>
      <c r="B648" t="s">
        <v>1605</v>
      </c>
      <c r="C648" t="s">
        <v>473</v>
      </c>
      <c r="D648" t="s">
        <v>281</v>
      </c>
      <c r="E648">
        <v>4</v>
      </c>
      <c r="F648">
        <v>65</v>
      </c>
      <c r="G648" t="s">
        <v>534</v>
      </c>
      <c r="H648" t="s">
        <v>17</v>
      </c>
      <c r="I648" t="s">
        <v>1232</v>
      </c>
      <c r="J648" t="s">
        <v>91</v>
      </c>
      <c r="K648" t="s">
        <v>60</v>
      </c>
      <c r="L648" t="s">
        <v>345</v>
      </c>
    </row>
    <row r="649" spans="1:12" x14ac:dyDescent="0.3">
      <c r="A649" t="s">
        <v>1715</v>
      </c>
      <c r="B649" t="s">
        <v>1607</v>
      </c>
      <c r="C649" t="s">
        <v>507</v>
      </c>
      <c r="D649" t="s">
        <v>25</v>
      </c>
      <c r="E649">
        <v>1</v>
      </c>
      <c r="F649">
        <v>55</v>
      </c>
      <c r="G649" t="s">
        <v>857</v>
      </c>
      <c r="H649" t="s">
        <v>70</v>
      </c>
      <c r="I649" t="s">
        <v>71</v>
      </c>
      <c r="J649" t="s">
        <v>72</v>
      </c>
      <c r="K649" t="s">
        <v>73</v>
      </c>
      <c r="L649" t="s">
        <v>21</v>
      </c>
    </row>
    <row r="650" spans="1:12" x14ac:dyDescent="0.3">
      <c r="A650" t="s">
        <v>1716</v>
      </c>
      <c r="B650" t="s">
        <v>1267</v>
      </c>
      <c r="C650" t="s">
        <v>1609</v>
      </c>
      <c r="D650" t="s">
        <v>94</v>
      </c>
      <c r="E650">
        <v>15</v>
      </c>
      <c r="F650">
        <v>68</v>
      </c>
      <c r="G650" t="s">
        <v>662</v>
      </c>
      <c r="H650" t="s">
        <v>37</v>
      </c>
      <c r="I650" t="s">
        <v>225</v>
      </c>
      <c r="J650" t="s">
        <v>226</v>
      </c>
      <c r="K650" t="s">
        <v>45</v>
      </c>
      <c r="L650" t="s">
        <v>31</v>
      </c>
    </row>
    <row r="651" spans="1:12" x14ac:dyDescent="0.3">
      <c r="A651" t="s">
        <v>1717</v>
      </c>
      <c r="B651" t="s">
        <v>1267</v>
      </c>
      <c r="C651" t="s">
        <v>1609</v>
      </c>
      <c r="D651" t="s">
        <v>94</v>
      </c>
      <c r="E651">
        <v>15</v>
      </c>
      <c r="F651">
        <v>68</v>
      </c>
      <c r="G651" t="s">
        <v>662</v>
      </c>
      <c r="H651" t="s">
        <v>37</v>
      </c>
      <c r="I651" t="s">
        <v>225</v>
      </c>
      <c r="J651" t="s">
        <v>226</v>
      </c>
      <c r="K651" t="s">
        <v>45</v>
      </c>
      <c r="L651" t="s">
        <v>31</v>
      </c>
    </row>
    <row r="652" spans="1:12" x14ac:dyDescent="0.3">
      <c r="A652" t="s">
        <v>1720</v>
      </c>
      <c r="B652" t="s">
        <v>1611</v>
      </c>
      <c r="C652" t="s">
        <v>1612</v>
      </c>
      <c r="D652" t="s">
        <v>922</v>
      </c>
      <c r="E652">
        <v>17</v>
      </c>
      <c r="F652">
        <v>85</v>
      </c>
      <c r="G652" t="s">
        <v>1105</v>
      </c>
      <c r="H652" t="s">
        <v>37</v>
      </c>
      <c r="I652" t="s">
        <v>38</v>
      </c>
      <c r="J652" t="s">
        <v>39</v>
      </c>
      <c r="K652" t="s">
        <v>30</v>
      </c>
      <c r="L652" t="s">
        <v>46</v>
      </c>
    </row>
    <row r="653" spans="1:12" x14ac:dyDescent="0.3">
      <c r="A653" t="s">
        <v>1722</v>
      </c>
      <c r="B653" t="s">
        <v>1614</v>
      </c>
      <c r="C653" t="s">
        <v>645</v>
      </c>
      <c r="D653" t="s">
        <v>1210</v>
      </c>
      <c r="E653">
        <v>16</v>
      </c>
      <c r="F653">
        <v>65</v>
      </c>
      <c r="G653" t="s">
        <v>388</v>
      </c>
      <c r="H653" t="s">
        <v>70</v>
      </c>
      <c r="I653" t="s">
        <v>71</v>
      </c>
      <c r="J653" t="s">
        <v>72</v>
      </c>
      <c r="K653" t="s">
        <v>73</v>
      </c>
      <c r="L653" t="s">
        <v>46</v>
      </c>
    </row>
    <row r="654" spans="1:12" x14ac:dyDescent="0.3">
      <c r="A654" t="s">
        <v>1724</v>
      </c>
      <c r="B654" t="s">
        <v>1616</v>
      </c>
      <c r="C654" t="s">
        <v>530</v>
      </c>
      <c r="D654" t="s">
        <v>19</v>
      </c>
      <c r="E654">
        <v>3</v>
      </c>
      <c r="F654">
        <v>90</v>
      </c>
      <c r="G654" t="s">
        <v>1437</v>
      </c>
      <c r="H654" t="s">
        <v>405</v>
      </c>
      <c r="I654" t="s">
        <v>18</v>
      </c>
      <c r="J654" t="s">
        <v>65</v>
      </c>
      <c r="K654" t="s">
        <v>30</v>
      </c>
      <c r="L654" t="s">
        <v>46</v>
      </c>
    </row>
    <row r="655" spans="1:12" x14ac:dyDescent="0.3">
      <c r="A655" t="s">
        <v>1726</v>
      </c>
      <c r="B655" t="s">
        <v>1618</v>
      </c>
      <c r="C655" t="s">
        <v>320</v>
      </c>
      <c r="D655" t="s">
        <v>50</v>
      </c>
      <c r="E655">
        <v>7</v>
      </c>
      <c r="F655">
        <v>70</v>
      </c>
      <c r="G655" t="s">
        <v>51</v>
      </c>
      <c r="H655" t="s">
        <v>27</v>
      </c>
      <c r="I655" t="s">
        <v>28</v>
      </c>
      <c r="J655" t="s">
        <v>79</v>
      </c>
      <c r="K655" t="s">
        <v>54</v>
      </c>
      <c r="L655" t="s">
        <v>19</v>
      </c>
    </row>
    <row r="656" spans="1:12" x14ac:dyDescent="0.3">
      <c r="A656" t="s">
        <v>1727</v>
      </c>
      <c r="B656" t="s">
        <v>1620</v>
      </c>
      <c r="C656" t="s">
        <v>570</v>
      </c>
      <c r="D656" t="s">
        <v>43</v>
      </c>
      <c r="E656">
        <v>3</v>
      </c>
      <c r="F656">
        <v>90</v>
      </c>
      <c r="G656" t="s">
        <v>1437</v>
      </c>
      <c r="H656" t="s">
        <v>17</v>
      </c>
      <c r="I656" t="s">
        <v>18</v>
      </c>
      <c r="J656" t="s">
        <v>65</v>
      </c>
      <c r="K656" t="s">
        <v>20</v>
      </c>
      <c r="L656" t="s">
        <v>46</v>
      </c>
    </row>
    <row r="657" spans="1:12" x14ac:dyDescent="0.3">
      <c r="A657" t="s">
        <v>1730</v>
      </c>
      <c r="B657" t="s">
        <v>823</v>
      </c>
      <c r="C657" t="s">
        <v>1622</v>
      </c>
      <c r="D657" t="s">
        <v>94</v>
      </c>
      <c r="E657">
        <v>8</v>
      </c>
      <c r="F657">
        <v>73</v>
      </c>
      <c r="G657" t="s">
        <v>1623</v>
      </c>
      <c r="H657" t="s">
        <v>27</v>
      </c>
      <c r="I657" t="s">
        <v>28</v>
      </c>
      <c r="J657" t="s">
        <v>19</v>
      </c>
      <c r="K657" t="s">
        <v>54</v>
      </c>
      <c r="L657" t="s">
        <v>46</v>
      </c>
    </row>
    <row r="658" spans="1:12" x14ac:dyDescent="0.3">
      <c r="A658" t="s">
        <v>1731</v>
      </c>
      <c r="B658" t="s">
        <v>1580</v>
      </c>
      <c r="C658" t="s">
        <v>766</v>
      </c>
      <c r="D658" t="s">
        <v>35</v>
      </c>
      <c r="E658">
        <v>2</v>
      </c>
      <c r="F658">
        <v>60</v>
      </c>
      <c r="G658" t="s">
        <v>78</v>
      </c>
      <c r="H658" t="s">
        <v>70</v>
      </c>
      <c r="I658" t="s">
        <v>71</v>
      </c>
      <c r="J658" t="s">
        <v>557</v>
      </c>
      <c r="K658" t="s">
        <v>73</v>
      </c>
      <c r="L658" t="s">
        <v>46</v>
      </c>
    </row>
    <row r="659" spans="1:12" x14ac:dyDescent="0.3">
      <c r="A659" t="s">
        <v>1733</v>
      </c>
      <c r="B659" t="s">
        <v>1626</v>
      </c>
      <c r="C659" t="s">
        <v>360</v>
      </c>
      <c r="D659" t="s">
        <v>169</v>
      </c>
      <c r="E659">
        <v>7</v>
      </c>
      <c r="F659">
        <v>85</v>
      </c>
      <c r="G659" t="s">
        <v>457</v>
      </c>
      <c r="H659" t="s">
        <v>27</v>
      </c>
      <c r="I659" t="s">
        <v>28</v>
      </c>
      <c r="J659" t="s">
        <v>29</v>
      </c>
      <c r="K659" t="s">
        <v>330</v>
      </c>
      <c r="L659" t="s">
        <v>345</v>
      </c>
    </row>
    <row r="660" spans="1:12" x14ac:dyDescent="0.3">
      <c r="A660" t="s">
        <v>2167</v>
      </c>
      <c r="B660" t="s">
        <v>1628</v>
      </c>
      <c r="C660" t="s">
        <v>24</v>
      </c>
      <c r="D660" t="s">
        <v>35</v>
      </c>
      <c r="E660">
        <v>17</v>
      </c>
      <c r="F660">
        <v>60</v>
      </c>
      <c r="G660" t="s">
        <v>662</v>
      </c>
      <c r="H660" t="s">
        <v>37</v>
      </c>
      <c r="I660" t="s">
        <v>38</v>
      </c>
      <c r="J660" t="s">
        <v>39</v>
      </c>
      <c r="K660" t="s">
        <v>66</v>
      </c>
      <c r="L660" t="s">
        <v>46</v>
      </c>
    </row>
    <row r="661" spans="1:12" x14ac:dyDescent="0.3">
      <c r="A661" t="s">
        <v>1737</v>
      </c>
      <c r="B661" t="s">
        <v>319</v>
      </c>
      <c r="C661" t="s">
        <v>966</v>
      </c>
      <c r="D661" t="s">
        <v>25</v>
      </c>
      <c r="E661">
        <v>18</v>
      </c>
      <c r="F661">
        <v>55</v>
      </c>
      <c r="G661" t="s">
        <v>1629</v>
      </c>
      <c r="H661" t="s">
        <v>70</v>
      </c>
      <c r="I661" t="s">
        <v>151</v>
      </c>
      <c r="J661" t="s">
        <v>152</v>
      </c>
      <c r="K661" t="s">
        <v>153</v>
      </c>
      <c r="L661" t="s">
        <v>46</v>
      </c>
    </row>
    <row r="662" spans="1:12" x14ac:dyDescent="0.3">
      <c r="A662" t="s">
        <v>1738</v>
      </c>
      <c r="B662" t="s">
        <v>1631</v>
      </c>
      <c r="C662" t="s">
        <v>259</v>
      </c>
      <c r="D662" t="s">
        <v>146</v>
      </c>
      <c r="E662">
        <v>18</v>
      </c>
      <c r="F662">
        <v>90</v>
      </c>
      <c r="G662" t="s">
        <v>1632</v>
      </c>
      <c r="H662" t="s">
        <v>27</v>
      </c>
      <c r="I662" t="s">
        <v>28</v>
      </c>
      <c r="J662" t="s">
        <v>29</v>
      </c>
      <c r="K662" t="s">
        <v>20</v>
      </c>
      <c r="L662" t="s">
        <v>21</v>
      </c>
    </row>
    <row r="663" spans="1:12" x14ac:dyDescent="0.3">
      <c r="A663" t="s">
        <v>1740</v>
      </c>
      <c r="B663" t="s">
        <v>1634</v>
      </c>
      <c r="C663" t="s">
        <v>310</v>
      </c>
      <c r="D663" t="s">
        <v>492</v>
      </c>
      <c r="E663">
        <v>12</v>
      </c>
      <c r="F663">
        <v>85</v>
      </c>
      <c r="G663" t="s">
        <v>662</v>
      </c>
      <c r="H663" t="s">
        <v>27</v>
      </c>
      <c r="I663" t="s">
        <v>28</v>
      </c>
      <c r="J663" t="s">
        <v>29</v>
      </c>
      <c r="K663" t="s">
        <v>45</v>
      </c>
      <c r="L663" t="s">
        <v>46</v>
      </c>
    </row>
    <row r="664" spans="1:12" x14ac:dyDescent="0.3">
      <c r="A664" t="s">
        <v>1742</v>
      </c>
      <c r="B664" t="s">
        <v>1636</v>
      </c>
      <c r="C664" t="s">
        <v>229</v>
      </c>
      <c r="D664" t="s">
        <v>146</v>
      </c>
      <c r="E664">
        <v>7</v>
      </c>
      <c r="F664">
        <v>80</v>
      </c>
      <c r="G664" t="s">
        <v>317</v>
      </c>
      <c r="H664" t="s">
        <v>17</v>
      </c>
      <c r="I664" t="s">
        <v>18</v>
      </c>
      <c r="J664" t="s">
        <v>65</v>
      </c>
      <c r="K664" t="s">
        <v>30</v>
      </c>
      <c r="L664" t="s">
        <v>31</v>
      </c>
    </row>
    <row r="665" spans="1:12" x14ac:dyDescent="0.3">
      <c r="A665" t="s">
        <v>1743</v>
      </c>
      <c r="B665" t="s">
        <v>1638</v>
      </c>
      <c r="C665" t="s">
        <v>77</v>
      </c>
      <c r="D665" t="s">
        <v>15</v>
      </c>
      <c r="E665">
        <v>2</v>
      </c>
      <c r="F665">
        <v>55</v>
      </c>
      <c r="G665" t="s">
        <v>795</v>
      </c>
      <c r="H665" t="s">
        <v>19</v>
      </c>
      <c r="I665" t="s">
        <v>28</v>
      </c>
      <c r="J665" t="s">
        <v>29</v>
      </c>
      <c r="K665" t="s">
        <v>66</v>
      </c>
      <c r="L665" t="s">
        <v>19</v>
      </c>
    </row>
    <row r="666" spans="1:12" x14ac:dyDescent="0.3">
      <c r="A666" t="s">
        <v>1745</v>
      </c>
      <c r="B666" t="s">
        <v>1584</v>
      </c>
      <c r="C666" t="s">
        <v>428</v>
      </c>
      <c r="D666" t="s">
        <v>25</v>
      </c>
      <c r="E666">
        <v>9</v>
      </c>
      <c r="F666">
        <v>50</v>
      </c>
      <c r="G666" t="s">
        <v>137</v>
      </c>
      <c r="H666" t="s">
        <v>405</v>
      </c>
      <c r="I666" t="s">
        <v>18</v>
      </c>
      <c r="J666" t="s">
        <v>65</v>
      </c>
      <c r="K666" t="s">
        <v>66</v>
      </c>
      <c r="L666" t="s">
        <v>46</v>
      </c>
    </row>
    <row r="667" spans="1:12" x14ac:dyDescent="0.3">
      <c r="A667" t="s">
        <v>1746</v>
      </c>
      <c r="B667" t="s">
        <v>1639</v>
      </c>
      <c r="C667" t="s">
        <v>168</v>
      </c>
      <c r="D667" t="s">
        <v>169</v>
      </c>
      <c r="E667">
        <v>5</v>
      </c>
      <c r="F667">
        <v>85</v>
      </c>
      <c r="G667" t="s">
        <v>493</v>
      </c>
      <c r="H667" t="s">
        <v>27</v>
      </c>
      <c r="I667" t="s">
        <v>100</v>
      </c>
      <c r="J667" t="s">
        <v>101</v>
      </c>
      <c r="K667" t="s">
        <v>30</v>
      </c>
      <c r="L667" t="s">
        <v>21</v>
      </c>
    </row>
    <row r="668" spans="1:12" x14ac:dyDescent="0.3">
      <c r="A668" t="s">
        <v>1748</v>
      </c>
      <c r="B668" t="s">
        <v>942</v>
      </c>
      <c r="C668" t="s">
        <v>1302</v>
      </c>
      <c r="D668" t="s">
        <v>15</v>
      </c>
      <c r="E668">
        <v>10</v>
      </c>
      <c r="F668">
        <v>55</v>
      </c>
      <c r="G668" t="s">
        <v>589</v>
      </c>
      <c r="H668" t="s">
        <v>846</v>
      </c>
      <c r="I668" t="s">
        <v>100</v>
      </c>
      <c r="J668" t="s">
        <v>101</v>
      </c>
      <c r="K668" t="s">
        <v>415</v>
      </c>
      <c r="L668" t="s">
        <v>345</v>
      </c>
    </row>
    <row r="669" spans="1:12" x14ac:dyDescent="0.3">
      <c r="A669" t="s">
        <v>1750</v>
      </c>
      <c r="B669" t="s">
        <v>19</v>
      </c>
      <c r="C669" t="s">
        <v>377</v>
      </c>
      <c r="D669" t="s">
        <v>43</v>
      </c>
      <c r="E669">
        <v>8</v>
      </c>
      <c r="F669">
        <v>90</v>
      </c>
      <c r="G669" t="s">
        <v>1599</v>
      </c>
      <c r="H669" t="s">
        <v>17</v>
      </c>
      <c r="I669" t="s">
        <v>18</v>
      </c>
      <c r="J669" t="s">
        <v>65</v>
      </c>
      <c r="K669" t="s">
        <v>20</v>
      </c>
      <c r="L669" t="s">
        <v>46</v>
      </c>
    </row>
    <row r="670" spans="1:12" x14ac:dyDescent="0.3">
      <c r="A670" t="s">
        <v>1752</v>
      </c>
      <c r="B670" t="s">
        <v>1368</v>
      </c>
      <c r="C670" t="s">
        <v>252</v>
      </c>
      <c r="D670" t="s">
        <v>676</v>
      </c>
      <c r="E670">
        <v>11</v>
      </c>
      <c r="F670">
        <v>95</v>
      </c>
      <c r="G670" t="s">
        <v>195</v>
      </c>
      <c r="H670" t="s">
        <v>70</v>
      </c>
      <c r="I670" t="s">
        <v>71</v>
      </c>
      <c r="J670" t="s">
        <v>72</v>
      </c>
      <c r="K670" t="s">
        <v>73</v>
      </c>
      <c r="L670" t="s">
        <v>31</v>
      </c>
    </row>
    <row r="671" spans="1:12" x14ac:dyDescent="0.3">
      <c r="A671" t="s">
        <v>1753</v>
      </c>
      <c r="B671" t="s">
        <v>1644</v>
      </c>
      <c r="C671" t="s">
        <v>374</v>
      </c>
      <c r="D671" t="s">
        <v>281</v>
      </c>
      <c r="E671">
        <v>6</v>
      </c>
      <c r="F671">
        <v>75</v>
      </c>
      <c r="G671" t="s">
        <v>1645</v>
      </c>
      <c r="H671" t="s">
        <v>27</v>
      </c>
      <c r="I671" t="s">
        <v>28</v>
      </c>
      <c r="J671" t="s">
        <v>29</v>
      </c>
      <c r="K671" t="s">
        <v>30</v>
      </c>
      <c r="L671" t="s">
        <v>74</v>
      </c>
    </row>
    <row r="672" spans="1:12" x14ac:dyDescent="0.3">
      <c r="A672" t="s">
        <v>1756</v>
      </c>
      <c r="B672" t="s">
        <v>1647</v>
      </c>
      <c r="C672" t="s">
        <v>145</v>
      </c>
      <c r="D672" t="s">
        <v>94</v>
      </c>
      <c r="E672">
        <v>12</v>
      </c>
      <c r="F672">
        <v>68</v>
      </c>
      <c r="G672" t="s">
        <v>425</v>
      </c>
      <c r="H672" t="s">
        <v>37</v>
      </c>
      <c r="I672" t="s">
        <v>225</v>
      </c>
      <c r="J672" t="s">
        <v>226</v>
      </c>
      <c r="K672" t="s">
        <v>20</v>
      </c>
      <c r="L672" t="s">
        <v>21</v>
      </c>
    </row>
    <row r="673" spans="1:12" x14ac:dyDescent="0.3">
      <c r="A673" t="s">
        <v>1757</v>
      </c>
      <c r="B673" t="s">
        <v>1649</v>
      </c>
      <c r="C673" t="s">
        <v>305</v>
      </c>
      <c r="D673" t="s">
        <v>94</v>
      </c>
      <c r="E673">
        <v>18</v>
      </c>
      <c r="F673">
        <v>63</v>
      </c>
      <c r="G673" t="s">
        <v>126</v>
      </c>
      <c r="H673" t="s">
        <v>17</v>
      </c>
      <c r="I673" t="s">
        <v>90</v>
      </c>
      <c r="J673" t="s">
        <v>91</v>
      </c>
      <c r="K673" t="s">
        <v>30</v>
      </c>
      <c r="L673" t="s">
        <v>46</v>
      </c>
    </row>
    <row r="674" spans="1:12" x14ac:dyDescent="0.3">
      <c r="A674" t="s">
        <v>1759</v>
      </c>
      <c r="B674" t="s">
        <v>1188</v>
      </c>
      <c r="C674" t="s">
        <v>1127</v>
      </c>
      <c r="D674" t="s">
        <v>146</v>
      </c>
      <c r="E674">
        <v>3</v>
      </c>
      <c r="F674">
        <v>80</v>
      </c>
      <c r="G674" t="s">
        <v>1019</v>
      </c>
      <c r="H674" t="s">
        <v>17</v>
      </c>
      <c r="I674" t="s">
        <v>18</v>
      </c>
      <c r="J674" t="s">
        <v>65</v>
      </c>
      <c r="K674" t="s">
        <v>20</v>
      </c>
      <c r="L674" t="s">
        <v>31</v>
      </c>
    </row>
    <row r="675" spans="1:12" x14ac:dyDescent="0.3">
      <c r="A675" t="s">
        <v>1761</v>
      </c>
      <c r="B675" t="s">
        <v>1652</v>
      </c>
      <c r="C675" t="s">
        <v>530</v>
      </c>
      <c r="D675" t="s">
        <v>25</v>
      </c>
      <c r="E675">
        <v>15</v>
      </c>
      <c r="F675">
        <v>55</v>
      </c>
      <c r="G675" t="s">
        <v>174</v>
      </c>
      <c r="H675" t="s">
        <v>37</v>
      </c>
      <c r="I675" t="s">
        <v>38</v>
      </c>
      <c r="J675" t="s">
        <v>39</v>
      </c>
      <c r="K675" t="s">
        <v>30</v>
      </c>
      <c r="L675" t="s">
        <v>21</v>
      </c>
    </row>
    <row r="676" spans="1:12" x14ac:dyDescent="0.3">
      <c r="A676" t="s">
        <v>1763</v>
      </c>
      <c r="B676" t="s">
        <v>1654</v>
      </c>
      <c r="C676" t="s">
        <v>285</v>
      </c>
      <c r="D676" t="s">
        <v>281</v>
      </c>
      <c r="E676">
        <v>18</v>
      </c>
      <c r="F676" t="s">
        <v>19</v>
      </c>
      <c r="G676" t="s">
        <v>760</v>
      </c>
      <c r="H676" t="s">
        <v>70</v>
      </c>
      <c r="I676" t="s">
        <v>71</v>
      </c>
      <c r="J676" t="s">
        <v>72</v>
      </c>
      <c r="K676" t="s">
        <v>73</v>
      </c>
      <c r="L676" t="s">
        <v>21</v>
      </c>
    </row>
    <row r="677" spans="1:12" x14ac:dyDescent="0.3">
      <c r="A677" t="s">
        <v>2168</v>
      </c>
      <c r="B677" t="s">
        <v>1656</v>
      </c>
      <c r="C677" t="s">
        <v>685</v>
      </c>
      <c r="D677" t="s">
        <v>169</v>
      </c>
      <c r="E677">
        <v>12</v>
      </c>
      <c r="F677">
        <v>80</v>
      </c>
      <c r="G677" t="s">
        <v>411</v>
      </c>
      <c r="H677" t="s">
        <v>70</v>
      </c>
      <c r="I677" t="s">
        <v>71</v>
      </c>
      <c r="J677" t="s">
        <v>72</v>
      </c>
      <c r="K677" t="s">
        <v>73</v>
      </c>
      <c r="L677" t="s">
        <v>19</v>
      </c>
    </row>
    <row r="678" spans="1:12" x14ac:dyDescent="0.3">
      <c r="A678" t="s">
        <v>1765</v>
      </c>
      <c r="B678" t="s">
        <v>1658</v>
      </c>
      <c r="C678" t="s">
        <v>305</v>
      </c>
      <c r="D678" t="s">
        <v>169</v>
      </c>
      <c r="E678">
        <v>4</v>
      </c>
      <c r="F678">
        <v>85</v>
      </c>
      <c r="G678" t="s">
        <v>1659</v>
      </c>
      <c r="H678" t="s">
        <v>27</v>
      </c>
      <c r="I678" t="s">
        <v>100</v>
      </c>
      <c r="J678" t="s">
        <v>101</v>
      </c>
      <c r="K678" t="s">
        <v>60</v>
      </c>
      <c r="L678" t="s">
        <v>46</v>
      </c>
    </row>
    <row r="679" spans="1:12" x14ac:dyDescent="0.3">
      <c r="A679" t="s">
        <v>1767</v>
      </c>
      <c r="B679" t="s">
        <v>1661</v>
      </c>
      <c r="C679" t="s">
        <v>1662</v>
      </c>
      <c r="D679" t="s">
        <v>25</v>
      </c>
      <c r="E679">
        <v>4</v>
      </c>
      <c r="F679" t="s">
        <v>19</v>
      </c>
      <c r="G679" t="s">
        <v>270</v>
      </c>
      <c r="H679" t="s">
        <v>70</v>
      </c>
      <c r="I679" t="s">
        <v>183</v>
      </c>
      <c r="J679" t="s">
        <v>184</v>
      </c>
      <c r="K679" t="s">
        <v>45</v>
      </c>
      <c r="L679" t="s">
        <v>31</v>
      </c>
    </row>
    <row r="680" spans="1:12" x14ac:dyDescent="0.3">
      <c r="A680" t="s">
        <v>1770</v>
      </c>
      <c r="B680" t="s">
        <v>1664</v>
      </c>
      <c r="C680" t="s">
        <v>583</v>
      </c>
      <c r="D680" t="s">
        <v>169</v>
      </c>
      <c r="E680">
        <v>10</v>
      </c>
      <c r="F680">
        <v>80</v>
      </c>
      <c r="G680" t="s">
        <v>253</v>
      </c>
      <c r="H680" t="s">
        <v>70</v>
      </c>
      <c r="I680" t="s">
        <v>151</v>
      </c>
      <c r="J680" t="s">
        <v>152</v>
      </c>
      <c r="K680" t="s">
        <v>153</v>
      </c>
      <c r="L680" t="s">
        <v>21</v>
      </c>
    </row>
    <row r="681" spans="1:12" x14ac:dyDescent="0.3">
      <c r="A681" t="s">
        <v>1773</v>
      </c>
      <c r="B681" t="s">
        <v>1666</v>
      </c>
      <c r="C681" t="s">
        <v>491</v>
      </c>
      <c r="D681" t="s">
        <v>15</v>
      </c>
      <c r="E681">
        <v>7</v>
      </c>
      <c r="F681">
        <v>50</v>
      </c>
      <c r="G681" t="s">
        <v>205</v>
      </c>
      <c r="H681" t="s">
        <v>231</v>
      </c>
      <c r="I681" t="s">
        <v>71</v>
      </c>
      <c r="J681" t="s">
        <v>72</v>
      </c>
      <c r="K681" t="s">
        <v>2190</v>
      </c>
      <c r="L681" t="s">
        <v>21</v>
      </c>
    </row>
    <row r="682" spans="1:12" x14ac:dyDescent="0.3">
      <c r="A682" t="s">
        <v>1775</v>
      </c>
      <c r="B682" t="s">
        <v>186</v>
      </c>
      <c r="C682" t="s">
        <v>259</v>
      </c>
      <c r="D682" t="s">
        <v>43</v>
      </c>
      <c r="E682">
        <v>1</v>
      </c>
      <c r="F682">
        <v>95</v>
      </c>
      <c r="G682" t="s">
        <v>1480</v>
      </c>
      <c r="H682" t="s">
        <v>37</v>
      </c>
      <c r="I682" t="s">
        <v>663</v>
      </c>
      <c r="J682" t="s">
        <v>84</v>
      </c>
      <c r="K682" t="s">
        <v>158</v>
      </c>
      <c r="L682" t="s">
        <v>46</v>
      </c>
    </row>
    <row r="683" spans="1:12" x14ac:dyDescent="0.3">
      <c r="A683" t="s">
        <v>1776</v>
      </c>
      <c r="B683" t="s">
        <v>1669</v>
      </c>
      <c r="C683" t="s">
        <v>808</v>
      </c>
      <c r="D683" t="s">
        <v>281</v>
      </c>
      <c r="E683">
        <v>1</v>
      </c>
      <c r="F683">
        <v>75</v>
      </c>
      <c r="G683" t="s">
        <v>1670</v>
      </c>
      <c r="H683" t="s">
        <v>27</v>
      </c>
      <c r="I683" t="s">
        <v>28</v>
      </c>
      <c r="J683" t="s">
        <v>53</v>
      </c>
      <c r="K683" t="s">
        <v>54</v>
      </c>
      <c r="L683" t="s">
        <v>46</v>
      </c>
    </row>
    <row r="684" spans="1:12" x14ac:dyDescent="0.3">
      <c r="A684" t="s">
        <v>1778</v>
      </c>
      <c r="B684" t="s">
        <v>1672</v>
      </c>
      <c r="C684" t="s">
        <v>129</v>
      </c>
      <c r="D684" t="s">
        <v>1210</v>
      </c>
      <c r="E684">
        <v>17</v>
      </c>
      <c r="F684">
        <v>70</v>
      </c>
      <c r="G684" t="s">
        <v>688</v>
      </c>
      <c r="H684" t="s">
        <v>19</v>
      </c>
      <c r="I684" t="s">
        <v>100</v>
      </c>
      <c r="J684" t="s">
        <v>101</v>
      </c>
      <c r="K684" t="s">
        <v>45</v>
      </c>
      <c r="L684" t="s">
        <v>31</v>
      </c>
    </row>
    <row r="685" spans="1:12" x14ac:dyDescent="0.3">
      <c r="A685" t="s">
        <v>1781</v>
      </c>
      <c r="B685" t="s">
        <v>19</v>
      </c>
      <c r="C685" t="s">
        <v>1248</v>
      </c>
      <c r="D685" t="s">
        <v>43</v>
      </c>
      <c r="E685">
        <v>7</v>
      </c>
      <c r="F685">
        <v>95</v>
      </c>
      <c r="G685" t="s">
        <v>639</v>
      </c>
      <c r="H685" t="s">
        <v>70</v>
      </c>
      <c r="I685" t="s">
        <v>183</v>
      </c>
      <c r="J685" t="s">
        <v>184</v>
      </c>
      <c r="K685" t="s">
        <v>66</v>
      </c>
      <c r="L685" t="s">
        <v>31</v>
      </c>
    </row>
    <row r="686" spans="1:12" x14ac:dyDescent="0.3">
      <c r="A686" t="s">
        <v>1783</v>
      </c>
      <c r="B686" t="s">
        <v>1674</v>
      </c>
      <c r="C686" t="s">
        <v>1248</v>
      </c>
      <c r="D686" t="s">
        <v>43</v>
      </c>
      <c r="E686">
        <v>7</v>
      </c>
      <c r="F686">
        <v>95</v>
      </c>
      <c r="G686" t="s">
        <v>639</v>
      </c>
      <c r="H686" t="s">
        <v>70</v>
      </c>
      <c r="I686" t="s">
        <v>183</v>
      </c>
      <c r="J686" t="s">
        <v>184</v>
      </c>
      <c r="K686" t="s">
        <v>66</v>
      </c>
      <c r="L686" t="s">
        <v>31</v>
      </c>
    </row>
    <row r="687" spans="1:12" x14ac:dyDescent="0.3">
      <c r="A687" t="s">
        <v>1785</v>
      </c>
      <c r="B687" t="s">
        <v>431</v>
      </c>
      <c r="C687" t="s">
        <v>638</v>
      </c>
      <c r="D687" t="s">
        <v>35</v>
      </c>
      <c r="E687">
        <v>12</v>
      </c>
      <c r="F687">
        <v>55</v>
      </c>
      <c r="G687" t="s">
        <v>161</v>
      </c>
      <c r="H687" t="s">
        <v>17</v>
      </c>
      <c r="I687" t="s">
        <v>18</v>
      </c>
      <c r="J687" t="s">
        <v>65</v>
      </c>
      <c r="K687" t="s">
        <v>20</v>
      </c>
      <c r="L687" t="s">
        <v>31</v>
      </c>
    </row>
    <row r="688" spans="1:12" x14ac:dyDescent="0.3">
      <c r="A688" t="s">
        <v>1787</v>
      </c>
      <c r="B688" t="s">
        <v>300</v>
      </c>
      <c r="C688" t="s">
        <v>280</v>
      </c>
      <c r="D688" t="s">
        <v>50</v>
      </c>
      <c r="E688">
        <v>18</v>
      </c>
      <c r="F688">
        <v>65</v>
      </c>
      <c r="G688" t="s">
        <v>610</v>
      </c>
      <c r="H688" t="s">
        <v>140</v>
      </c>
      <c r="I688" t="s">
        <v>38</v>
      </c>
      <c r="J688" t="s">
        <v>39</v>
      </c>
      <c r="K688" t="s">
        <v>20</v>
      </c>
      <c r="L688" t="s">
        <v>19</v>
      </c>
    </row>
    <row r="689" spans="1:12" x14ac:dyDescent="0.3">
      <c r="A689" t="s">
        <v>1788</v>
      </c>
      <c r="B689" t="s">
        <v>1678</v>
      </c>
      <c r="C689" t="s">
        <v>1282</v>
      </c>
      <c r="D689" t="s">
        <v>43</v>
      </c>
      <c r="E689">
        <v>4</v>
      </c>
      <c r="F689">
        <v>100</v>
      </c>
      <c r="G689" t="s">
        <v>293</v>
      </c>
      <c r="H689" t="s">
        <v>19</v>
      </c>
      <c r="I689" t="s">
        <v>28</v>
      </c>
      <c r="J689" t="s">
        <v>79</v>
      </c>
      <c r="K689" t="s">
        <v>54</v>
      </c>
      <c r="L689" t="s">
        <v>46</v>
      </c>
    </row>
    <row r="690" spans="1:12" x14ac:dyDescent="0.3">
      <c r="A690" t="s">
        <v>1790</v>
      </c>
      <c r="B690" t="s">
        <v>1680</v>
      </c>
      <c r="C690" t="s">
        <v>168</v>
      </c>
      <c r="D690" t="s">
        <v>25</v>
      </c>
      <c r="E690">
        <v>8</v>
      </c>
      <c r="F690">
        <v>60</v>
      </c>
      <c r="G690" t="s">
        <v>143</v>
      </c>
      <c r="H690" t="s">
        <v>27</v>
      </c>
      <c r="I690" t="s">
        <v>298</v>
      </c>
      <c r="J690" t="s">
        <v>101</v>
      </c>
      <c r="K690" t="s">
        <v>66</v>
      </c>
      <c r="L690" t="s">
        <v>46</v>
      </c>
    </row>
    <row r="691" spans="1:12" x14ac:dyDescent="0.3">
      <c r="A691" t="s">
        <v>1792</v>
      </c>
      <c r="B691" t="s">
        <v>1682</v>
      </c>
      <c r="C691" t="s">
        <v>1422</v>
      </c>
      <c r="D691" t="s">
        <v>19</v>
      </c>
      <c r="E691">
        <v>9</v>
      </c>
      <c r="F691">
        <v>80</v>
      </c>
      <c r="G691" t="s">
        <v>418</v>
      </c>
      <c r="H691" t="s">
        <v>37</v>
      </c>
      <c r="I691" t="s">
        <v>38</v>
      </c>
      <c r="J691" t="s">
        <v>19</v>
      </c>
      <c r="K691" t="s">
        <v>60</v>
      </c>
      <c r="L691" t="s">
        <v>21</v>
      </c>
    </row>
    <row r="692" spans="1:12" x14ac:dyDescent="0.3">
      <c r="A692" t="s">
        <v>1793</v>
      </c>
      <c r="B692" t="s">
        <v>1682</v>
      </c>
      <c r="C692" t="s">
        <v>1422</v>
      </c>
      <c r="D692" t="s">
        <v>169</v>
      </c>
      <c r="E692">
        <v>9</v>
      </c>
      <c r="F692">
        <v>80</v>
      </c>
      <c r="G692" t="s">
        <v>418</v>
      </c>
      <c r="H692" t="s">
        <v>37</v>
      </c>
      <c r="I692" t="s">
        <v>38</v>
      </c>
      <c r="J692" t="s">
        <v>39</v>
      </c>
      <c r="K692" t="s">
        <v>60</v>
      </c>
      <c r="L692" t="s">
        <v>21</v>
      </c>
    </row>
    <row r="693" spans="1:12" x14ac:dyDescent="0.3">
      <c r="A693" t="s">
        <v>1795</v>
      </c>
      <c r="B693" t="s">
        <v>1684</v>
      </c>
      <c r="C693" t="s">
        <v>791</v>
      </c>
      <c r="D693" t="s">
        <v>94</v>
      </c>
      <c r="E693" t="s">
        <v>19</v>
      </c>
      <c r="F693">
        <v>68</v>
      </c>
      <c r="G693" t="s">
        <v>354</v>
      </c>
      <c r="H693" t="s">
        <v>70</v>
      </c>
      <c r="I693" t="s">
        <v>151</v>
      </c>
      <c r="J693" t="s">
        <v>188</v>
      </c>
      <c r="K693" t="s">
        <v>140</v>
      </c>
      <c r="L693" t="s">
        <v>31</v>
      </c>
    </row>
    <row r="694" spans="1:12" x14ac:dyDescent="0.3">
      <c r="A694" t="s">
        <v>1796</v>
      </c>
      <c r="B694" t="s">
        <v>1186</v>
      </c>
      <c r="C694" t="s">
        <v>259</v>
      </c>
      <c r="D694" t="s">
        <v>169</v>
      </c>
      <c r="E694">
        <v>9</v>
      </c>
      <c r="F694">
        <v>80</v>
      </c>
      <c r="G694" t="s">
        <v>418</v>
      </c>
      <c r="H694" t="s">
        <v>70</v>
      </c>
      <c r="I694" t="s">
        <v>151</v>
      </c>
      <c r="J694" t="s">
        <v>152</v>
      </c>
      <c r="K694" t="s">
        <v>153</v>
      </c>
      <c r="L694" t="s">
        <v>21</v>
      </c>
    </row>
    <row r="695" spans="1:12" x14ac:dyDescent="0.3">
      <c r="A695" t="s">
        <v>2169</v>
      </c>
      <c r="B695" t="s">
        <v>1362</v>
      </c>
      <c r="C695" t="s">
        <v>759</v>
      </c>
      <c r="D695" t="s">
        <v>25</v>
      </c>
      <c r="E695">
        <v>7</v>
      </c>
      <c r="F695">
        <v>55</v>
      </c>
      <c r="G695" t="s">
        <v>584</v>
      </c>
      <c r="H695" t="s">
        <v>70</v>
      </c>
      <c r="I695" t="s">
        <v>71</v>
      </c>
      <c r="J695" t="s">
        <v>72</v>
      </c>
      <c r="K695" t="s">
        <v>73</v>
      </c>
      <c r="L695" t="s">
        <v>21</v>
      </c>
    </row>
    <row r="696" spans="1:12" x14ac:dyDescent="0.3">
      <c r="A696" t="s">
        <v>1798</v>
      </c>
      <c r="B696" t="s">
        <v>1688</v>
      </c>
      <c r="C696" t="s">
        <v>394</v>
      </c>
      <c r="D696" t="s">
        <v>25</v>
      </c>
      <c r="E696">
        <v>5</v>
      </c>
      <c r="F696">
        <v>55</v>
      </c>
      <c r="G696" t="s">
        <v>636</v>
      </c>
      <c r="H696" t="s">
        <v>37</v>
      </c>
      <c r="I696" t="s">
        <v>225</v>
      </c>
      <c r="J696" t="s">
        <v>226</v>
      </c>
      <c r="K696" t="s">
        <v>330</v>
      </c>
      <c r="L696" t="s">
        <v>140</v>
      </c>
    </row>
    <row r="697" spans="1:12" x14ac:dyDescent="0.3">
      <c r="A697" t="s">
        <v>1799</v>
      </c>
      <c r="B697" t="s">
        <v>1690</v>
      </c>
      <c r="C697" t="s">
        <v>442</v>
      </c>
      <c r="D697" t="s">
        <v>35</v>
      </c>
      <c r="E697">
        <v>3</v>
      </c>
      <c r="F697">
        <v>55</v>
      </c>
      <c r="G697" t="s">
        <v>1691</v>
      </c>
      <c r="H697" t="s">
        <v>405</v>
      </c>
      <c r="I697" t="s">
        <v>90</v>
      </c>
      <c r="J697" t="s">
        <v>91</v>
      </c>
      <c r="K697" t="s">
        <v>20</v>
      </c>
      <c r="L697" t="s">
        <v>21</v>
      </c>
    </row>
    <row r="698" spans="1:12" x14ac:dyDescent="0.3">
      <c r="A698" t="s">
        <v>1802</v>
      </c>
      <c r="B698" t="s">
        <v>1693</v>
      </c>
      <c r="C698" t="s">
        <v>496</v>
      </c>
      <c r="D698" t="s">
        <v>492</v>
      </c>
      <c r="E698">
        <v>11</v>
      </c>
      <c r="F698">
        <v>80</v>
      </c>
      <c r="G698" t="s">
        <v>710</v>
      </c>
      <c r="H698" t="s">
        <v>70</v>
      </c>
      <c r="I698" t="s">
        <v>151</v>
      </c>
      <c r="J698" t="s">
        <v>364</v>
      </c>
      <c r="K698" t="s">
        <v>153</v>
      </c>
      <c r="L698" t="s">
        <v>46</v>
      </c>
    </row>
    <row r="699" spans="1:12" x14ac:dyDescent="0.3">
      <c r="A699" t="s">
        <v>1805</v>
      </c>
      <c r="B699" t="s">
        <v>413</v>
      </c>
      <c r="C699" t="s">
        <v>1695</v>
      </c>
      <c r="D699" t="s">
        <v>35</v>
      </c>
      <c r="E699">
        <v>13</v>
      </c>
      <c r="F699">
        <v>65</v>
      </c>
      <c r="G699" t="s">
        <v>1319</v>
      </c>
      <c r="H699" t="s">
        <v>27</v>
      </c>
      <c r="I699" t="s">
        <v>28</v>
      </c>
      <c r="J699" t="s">
        <v>79</v>
      </c>
      <c r="K699" t="s">
        <v>54</v>
      </c>
      <c r="L699" t="s">
        <v>21</v>
      </c>
    </row>
    <row r="700" spans="1:12" x14ac:dyDescent="0.3">
      <c r="A700" t="s">
        <v>1807</v>
      </c>
      <c r="B700" t="s">
        <v>19</v>
      </c>
      <c r="C700" t="s">
        <v>120</v>
      </c>
      <c r="D700" t="s">
        <v>25</v>
      </c>
      <c r="E700">
        <v>1</v>
      </c>
      <c r="F700" t="s">
        <v>19</v>
      </c>
      <c r="G700" t="s">
        <v>531</v>
      </c>
      <c r="H700" t="s">
        <v>27</v>
      </c>
      <c r="I700" t="s">
        <v>100</v>
      </c>
      <c r="J700" t="s">
        <v>101</v>
      </c>
      <c r="K700" t="s">
        <v>30</v>
      </c>
      <c r="L700" t="s">
        <v>21</v>
      </c>
    </row>
    <row r="701" spans="1:12" x14ac:dyDescent="0.3">
      <c r="A701" t="s">
        <v>1809</v>
      </c>
      <c r="B701" t="s">
        <v>1698</v>
      </c>
      <c r="C701" t="s">
        <v>1526</v>
      </c>
      <c r="D701" t="s">
        <v>281</v>
      </c>
      <c r="E701">
        <v>13</v>
      </c>
      <c r="F701">
        <v>70</v>
      </c>
      <c r="G701" t="s">
        <v>333</v>
      </c>
      <c r="H701" t="s">
        <v>70</v>
      </c>
      <c r="I701" t="s">
        <v>183</v>
      </c>
      <c r="J701" t="s">
        <v>184</v>
      </c>
      <c r="K701" t="s">
        <v>30</v>
      </c>
      <c r="L701" t="s">
        <v>31</v>
      </c>
    </row>
    <row r="702" spans="1:12" x14ac:dyDescent="0.3">
      <c r="A702" t="s">
        <v>1811</v>
      </c>
      <c r="B702" t="s">
        <v>1700</v>
      </c>
      <c r="C702" t="s">
        <v>1701</v>
      </c>
      <c r="D702" t="s">
        <v>50</v>
      </c>
      <c r="E702">
        <v>13</v>
      </c>
      <c r="F702">
        <v>70</v>
      </c>
      <c r="G702" t="s">
        <v>333</v>
      </c>
      <c r="H702" t="s">
        <v>846</v>
      </c>
      <c r="I702" t="s">
        <v>28</v>
      </c>
      <c r="J702" t="s">
        <v>79</v>
      </c>
      <c r="K702" t="s">
        <v>54</v>
      </c>
      <c r="L702" t="s">
        <v>31</v>
      </c>
    </row>
    <row r="703" spans="1:12" x14ac:dyDescent="0.3">
      <c r="A703" t="s">
        <v>1813</v>
      </c>
      <c r="B703" t="s">
        <v>272</v>
      </c>
      <c r="C703" t="s">
        <v>140</v>
      </c>
      <c r="D703" t="s">
        <v>94</v>
      </c>
      <c r="E703">
        <v>11</v>
      </c>
      <c r="F703">
        <v>68</v>
      </c>
      <c r="G703" t="s">
        <v>811</v>
      </c>
      <c r="H703" t="s">
        <v>37</v>
      </c>
      <c r="I703" t="s">
        <v>38</v>
      </c>
      <c r="J703" t="s">
        <v>59</v>
      </c>
      <c r="K703" t="s">
        <v>66</v>
      </c>
      <c r="L703" t="s">
        <v>31</v>
      </c>
    </row>
    <row r="704" spans="1:12" x14ac:dyDescent="0.3">
      <c r="A704" t="s">
        <v>1814</v>
      </c>
      <c r="B704" t="s">
        <v>1704</v>
      </c>
      <c r="C704" t="s">
        <v>701</v>
      </c>
      <c r="D704" t="s">
        <v>43</v>
      </c>
      <c r="E704">
        <v>6</v>
      </c>
      <c r="F704">
        <v>95</v>
      </c>
      <c r="G704" t="s">
        <v>1426</v>
      </c>
      <c r="H704" t="s">
        <v>70</v>
      </c>
      <c r="I704" t="s">
        <v>71</v>
      </c>
      <c r="J704" t="s">
        <v>72</v>
      </c>
      <c r="K704" t="s">
        <v>73</v>
      </c>
      <c r="L704" t="s">
        <v>21</v>
      </c>
    </row>
    <row r="705" spans="1:12" x14ac:dyDescent="0.3">
      <c r="A705" t="s">
        <v>1816</v>
      </c>
      <c r="B705" t="s">
        <v>1620</v>
      </c>
      <c r="C705" t="s">
        <v>219</v>
      </c>
      <c r="D705" t="s">
        <v>125</v>
      </c>
      <c r="E705">
        <v>5</v>
      </c>
      <c r="F705">
        <v>58</v>
      </c>
      <c r="G705" t="s">
        <v>1306</v>
      </c>
      <c r="H705" t="s">
        <v>70</v>
      </c>
      <c r="I705" t="s">
        <v>183</v>
      </c>
      <c r="J705" t="s">
        <v>294</v>
      </c>
      <c r="K705" t="s">
        <v>30</v>
      </c>
      <c r="L705" t="s">
        <v>31</v>
      </c>
    </row>
    <row r="706" spans="1:12" x14ac:dyDescent="0.3">
      <c r="A706" t="s">
        <v>1819</v>
      </c>
      <c r="B706" t="s">
        <v>19</v>
      </c>
      <c r="C706" t="s">
        <v>1622</v>
      </c>
      <c r="D706" t="s">
        <v>169</v>
      </c>
      <c r="E706">
        <v>12</v>
      </c>
      <c r="F706">
        <v>75</v>
      </c>
      <c r="G706" t="s">
        <v>36</v>
      </c>
      <c r="H706" t="s">
        <v>17</v>
      </c>
      <c r="I706" t="s">
        <v>90</v>
      </c>
      <c r="J706" t="s">
        <v>91</v>
      </c>
      <c r="K706" t="s">
        <v>66</v>
      </c>
      <c r="L706" t="s">
        <v>21</v>
      </c>
    </row>
    <row r="707" spans="1:12" x14ac:dyDescent="0.3">
      <c r="A707" t="s">
        <v>1821</v>
      </c>
      <c r="B707" t="s">
        <v>1708</v>
      </c>
      <c r="C707" t="s">
        <v>658</v>
      </c>
      <c r="D707" t="s">
        <v>43</v>
      </c>
      <c r="E707">
        <v>8</v>
      </c>
      <c r="F707">
        <v>95</v>
      </c>
      <c r="G707" t="s">
        <v>564</v>
      </c>
      <c r="H707" t="s">
        <v>70</v>
      </c>
      <c r="I707" t="s">
        <v>71</v>
      </c>
      <c r="J707" t="s">
        <v>72</v>
      </c>
      <c r="K707" t="s">
        <v>73</v>
      </c>
      <c r="L707" t="s">
        <v>46</v>
      </c>
    </row>
    <row r="708" spans="1:12" x14ac:dyDescent="0.3">
      <c r="A708" t="s">
        <v>1823</v>
      </c>
      <c r="B708" t="s">
        <v>1709</v>
      </c>
      <c r="C708" t="s">
        <v>794</v>
      </c>
      <c r="D708" t="s">
        <v>1710</v>
      </c>
      <c r="E708">
        <v>13</v>
      </c>
      <c r="F708">
        <v>70</v>
      </c>
      <c r="G708" t="s">
        <v>333</v>
      </c>
      <c r="H708" t="s">
        <v>70</v>
      </c>
      <c r="I708" t="s">
        <v>19</v>
      </c>
      <c r="J708" t="s">
        <v>184</v>
      </c>
      <c r="K708" t="s">
        <v>30</v>
      </c>
      <c r="L708" t="s">
        <v>31</v>
      </c>
    </row>
    <row r="709" spans="1:12" x14ac:dyDescent="0.3">
      <c r="A709" t="s">
        <v>1824</v>
      </c>
      <c r="B709" t="s">
        <v>1712</v>
      </c>
      <c r="C709" t="s">
        <v>1278</v>
      </c>
      <c r="D709" t="s">
        <v>94</v>
      </c>
      <c r="E709">
        <v>9</v>
      </c>
      <c r="F709">
        <v>73</v>
      </c>
      <c r="G709" t="s">
        <v>1713</v>
      </c>
      <c r="H709" t="s">
        <v>27</v>
      </c>
      <c r="I709" t="s">
        <v>28</v>
      </c>
      <c r="J709" t="s">
        <v>79</v>
      </c>
      <c r="K709" t="s">
        <v>54</v>
      </c>
      <c r="L709" t="s">
        <v>21</v>
      </c>
    </row>
    <row r="710" spans="1:12" x14ac:dyDescent="0.3">
      <c r="A710" t="s">
        <v>1826</v>
      </c>
      <c r="B710" t="s">
        <v>644</v>
      </c>
      <c r="C710" t="s">
        <v>1609</v>
      </c>
      <c r="D710" t="s">
        <v>19</v>
      </c>
      <c r="E710">
        <v>2</v>
      </c>
      <c r="F710">
        <v>95</v>
      </c>
      <c r="G710" t="s">
        <v>518</v>
      </c>
      <c r="H710" t="s">
        <v>37</v>
      </c>
      <c r="I710" t="s">
        <v>83</v>
      </c>
      <c r="J710" t="s">
        <v>84</v>
      </c>
      <c r="K710" t="s">
        <v>158</v>
      </c>
      <c r="L710" t="s">
        <v>345</v>
      </c>
    </row>
    <row r="711" spans="1:12" x14ac:dyDescent="0.3">
      <c r="A711" t="s">
        <v>1828</v>
      </c>
      <c r="B711" t="s">
        <v>1611</v>
      </c>
      <c r="C711" t="s">
        <v>902</v>
      </c>
      <c r="D711" t="s">
        <v>94</v>
      </c>
      <c r="E711">
        <v>8</v>
      </c>
      <c r="F711">
        <v>63</v>
      </c>
      <c r="G711" t="s">
        <v>876</v>
      </c>
      <c r="H711" t="s">
        <v>17</v>
      </c>
      <c r="I711" t="s">
        <v>90</v>
      </c>
      <c r="J711" t="s">
        <v>19</v>
      </c>
      <c r="K711" t="s">
        <v>139</v>
      </c>
      <c r="L711" t="s">
        <v>21</v>
      </c>
    </row>
    <row r="712" spans="1:12" x14ac:dyDescent="0.3">
      <c r="A712" t="s">
        <v>1829</v>
      </c>
      <c r="B712" t="s">
        <v>1188</v>
      </c>
      <c r="C712" t="s">
        <v>201</v>
      </c>
      <c r="D712" t="s">
        <v>146</v>
      </c>
      <c r="E712">
        <v>17</v>
      </c>
      <c r="F712">
        <v>85</v>
      </c>
      <c r="G712" t="s">
        <v>1105</v>
      </c>
      <c r="H712" t="s">
        <v>585</v>
      </c>
      <c r="I712" t="s">
        <v>225</v>
      </c>
      <c r="J712" t="s">
        <v>226</v>
      </c>
      <c r="K712" t="s">
        <v>30</v>
      </c>
      <c r="L712" t="s">
        <v>46</v>
      </c>
    </row>
    <row r="713" spans="1:12" x14ac:dyDescent="0.3">
      <c r="A713" t="s">
        <v>1831</v>
      </c>
      <c r="B713" t="s">
        <v>1718</v>
      </c>
      <c r="C713" t="s">
        <v>1719</v>
      </c>
      <c r="D713" t="s">
        <v>35</v>
      </c>
      <c r="E713">
        <v>6</v>
      </c>
      <c r="F713">
        <v>65</v>
      </c>
      <c r="G713" t="s">
        <v>503</v>
      </c>
      <c r="H713" t="s">
        <v>27</v>
      </c>
      <c r="I713" t="s">
        <v>100</v>
      </c>
      <c r="J713" t="s">
        <v>101</v>
      </c>
      <c r="K713" t="s">
        <v>45</v>
      </c>
      <c r="L713" t="s">
        <v>46</v>
      </c>
    </row>
    <row r="714" spans="1:12" x14ac:dyDescent="0.3">
      <c r="A714" t="s">
        <v>1834</v>
      </c>
      <c r="B714" t="s">
        <v>1721</v>
      </c>
      <c r="C714" t="s">
        <v>845</v>
      </c>
      <c r="D714" t="s">
        <v>35</v>
      </c>
      <c r="E714">
        <v>13</v>
      </c>
      <c r="F714">
        <v>60</v>
      </c>
      <c r="G714" t="s">
        <v>574</v>
      </c>
      <c r="H714" t="s">
        <v>37</v>
      </c>
      <c r="I714" t="s">
        <v>225</v>
      </c>
      <c r="J714" t="s">
        <v>226</v>
      </c>
      <c r="K714" t="s">
        <v>45</v>
      </c>
      <c r="L714" t="s">
        <v>31</v>
      </c>
    </row>
    <row r="715" spans="1:12" x14ac:dyDescent="0.3">
      <c r="A715" t="s">
        <v>1836</v>
      </c>
      <c r="B715" t="s">
        <v>1723</v>
      </c>
      <c r="C715" t="s">
        <v>1719</v>
      </c>
      <c r="D715" t="s">
        <v>125</v>
      </c>
      <c r="E715">
        <v>16</v>
      </c>
      <c r="F715">
        <v>58</v>
      </c>
      <c r="G715" t="s">
        <v>19</v>
      </c>
      <c r="H715" t="s">
        <v>37</v>
      </c>
      <c r="I715" t="s">
        <v>83</v>
      </c>
      <c r="J715" t="s">
        <v>84</v>
      </c>
      <c r="K715" t="s">
        <v>158</v>
      </c>
      <c r="L715" t="s">
        <v>21</v>
      </c>
    </row>
    <row r="716" spans="1:12" x14ac:dyDescent="0.3">
      <c r="A716" t="s">
        <v>1839</v>
      </c>
      <c r="B716" t="s">
        <v>1725</v>
      </c>
      <c r="C716" t="s">
        <v>515</v>
      </c>
      <c r="D716" t="s">
        <v>25</v>
      </c>
      <c r="E716">
        <v>18</v>
      </c>
      <c r="F716">
        <v>55</v>
      </c>
      <c r="G716" t="s">
        <v>1629</v>
      </c>
      <c r="H716" t="s">
        <v>37</v>
      </c>
      <c r="I716" t="s">
        <v>83</v>
      </c>
      <c r="J716" t="s">
        <v>84</v>
      </c>
      <c r="K716" t="s">
        <v>85</v>
      </c>
      <c r="L716" t="s">
        <v>21</v>
      </c>
    </row>
    <row r="717" spans="1:12" x14ac:dyDescent="0.3">
      <c r="A717" t="s">
        <v>1842</v>
      </c>
      <c r="B717" t="s">
        <v>747</v>
      </c>
      <c r="C717" t="s">
        <v>468</v>
      </c>
      <c r="D717" t="s">
        <v>25</v>
      </c>
      <c r="E717">
        <v>12</v>
      </c>
      <c r="F717">
        <v>55</v>
      </c>
      <c r="G717" t="s">
        <v>161</v>
      </c>
      <c r="H717" t="s">
        <v>70</v>
      </c>
      <c r="I717" t="s">
        <v>71</v>
      </c>
      <c r="J717" t="s">
        <v>72</v>
      </c>
      <c r="K717" t="s">
        <v>73</v>
      </c>
      <c r="L717" t="s">
        <v>46</v>
      </c>
    </row>
    <row r="718" spans="1:12" x14ac:dyDescent="0.3">
      <c r="A718" t="s">
        <v>1844</v>
      </c>
      <c r="B718" t="s">
        <v>1375</v>
      </c>
      <c r="C718" t="s">
        <v>1728</v>
      </c>
      <c r="D718" t="s">
        <v>125</v>
      </c>
      <c r="E718">
        <v>14</v>
      </c>
      <c r="F718">
        <v>58</v>
      </c>
      <c r="G718" t="s">
        <v>1729</v>
      </c>
      <c r="H718" t="s">
        <v>70</v>
      </c>
      <c r="I718" t="s">
        <v>1191</v>
      </c>
      <c r="J718" t="s">
        <v>152</v>
      </c>
      <c r="K718" t="s">
        <v>153</v>
      </c>
      <c r="L718" t="s">
        <v>140</v>
      </c>
    </row>
    <row r="719" spans="1:12" x14ac:dyDescent="0.3">
      <c r="A719" t="s">
        <v>1846</v>
      </c>
      <c r="B719" t="s">
        <v>1158</v>
      </c>
      <c r="C719" t="s">
        <v>766</v>
      </c>
      <c r="D719" t="s">
        <v>15</v>
      </c>
      <c r="E719">
        <v>5</v>
      </c>
      <c r="F719">
        <v>50</v>
      </c>
      <c r="G719" t="s">
        <v>836</v>
      </c>
      <c r="H719" t="s">
        <v>37</v>
      </c>
      <c r="I719" t="s">
        <v>465</v>
      </c>
      <c r="J719" t="s">
        <v>39</v>
      </c>
      <c r="K719" t="s">
        <v>66</v>
      </c>
      <c r="L719" t="s">
        <v>21</v>
      </c>
    </row>
    <row r="720" spans="1:12" x14ac:dyDescent="0.3">
      <c r="A720" t="s">
        <v>1848</v>
      </c>
      <c r="B720" t="s">
        <v>1732</v>
      </c>
      <c r="C720" t="s">
        <v>312</v>
      </c>
      <c r="D720" t="s">
        <v>125</v>
      </c>
      <c r="E720">
        <v>19</v>
      </c>
      <c r="F720">
        <v>58</v>
      </c>
      <c r="G720" t="s">
        <v>19</v>
      </c>
      <c r="H720" t="s">
        <v>37</v>
      </c>
      <c r="I720" t="s">
        <v>83</v>
      </c>
      <c r="J720" t="s">
        <v>84</v>
      </c>
      <c r="K720" t="s">
        <v>158</v>
      </c>
      <c r="L720" t="s">
        <v>421</v>
      </c>
    </row>
    <row r="721" spans="1:12" x14ac:dyDescent="0.3">
      <c r="A721" t="s">
        <v>1850</v>
      </c>
      <c r="B721" t="s">
        <v>1734</v>
      </c>
      <c r="C721" t="s">
        <v>329</v>
      </c>
      <c r="D721" t="s">
        <v>43</v>
      </c>
      <c r="E721">
        <v>20</v>
      </c>
      <c r="F721">
        <v>90</v>
      </c>
      <c r="G721" t="s">
        <v>809</v>
      </c>
      <c r="H721" t="s">
        <v>19</v>
      </c>
      <c r="I721" t="s">
        <v>1232</v>
      </c>
      <c r="J721" t="s">
        <v>91</v>
      </c>
      <c r="K721" t="s">
        <v>45</v>
      </c>
      <c r="L721" t="s">
        <v>21</v>
      </c>
    </row>
    <row r="722" spans="1:12" x14ac:dyDescent="0.3">
      <c r="A722" t="s">
        <v>1852</v>
      </c>
      <c r="B722" t="s">
        <v>1735</v>
      </c>
      <c r="C722" t="s">
        <v>969</v>
      </c>
      <c r="D722" t="s">
        <v>146</v>
      </c>
      <c r="E722">
        <v>18</v>
      </c>
      <c r="F722">
        <v>85</v>
      </c>
      <c r="G722" t="s">
        <v>1234</v>
      </c>
      <c r="H722" t="s">
        <v>70</v>
      </c>
      <c r="I722" t="s">
        <v>71</v>
      </c>
      <c r="J722" t="s">
        <v>72</v>
      </c>
      <c r="K722" t="s">
        <v>73</v>
      </c>
      <c r="L722" t="s">
        <v>31</v>
      </c>
    </row>
    <row r="723" spans="1:12" x14ac:dyDescent="0.3">
      <c r="A723" t="s">
        <v>1854</v>
      </c>
      <c r="B723" t="s">
        <v>1736</v>
      </c>
      <c r="C723" t="s">
        <v>853</v>
      </c>
      <c r="D723" t="s">
        <v>50</v>
      </c>
      <c r="E723">
        <v>17</v>
      </c>
      <c r="F723">
        <v>70</v>
      </c>
      <c r="G723" t="s">
        <v>688</v>
      </c>
      <c r="H723" t="s">
        <v>27</v>
      </c>
      <c r="I723" t="s">
        <v>28</v>
      </c>
      <c r="J723" t="s">
        <v>29</v>
      </c>
      <c r="K723" t="s">
        <v>30</v>
      </c>
      <c r="L723" t="s">
        <v>46</v>
      </c>
    </row>
    <row r="724" spans="1:12" x14ac:dyDescent="0.3">
      <c r="A724" t="s">
        <v>1856</v>
      </c>
      <c r="B724" t="s">
        <v>1291</v>
      </c>
      <c r="C724" t="s">
        <v>583</v>
      </c>
      <c r="D724" t="s">
        <v>281</v>
      </c>
      <c r="E724">
        <v>20</v>
      </c>
      <c r="F724">
        <v>75</v>
      </c>
      <c r="G724" t="s">
        <v>1217</v>
      </c>
      <c r="H724" t="s">
        <v>27</v>
      </c>
      <c r="I724" t="s">
        <v>28</v>
      </c>
      <c r="J724" t="s">
        <v>79</v>
      </c>
      <c r="K724" t="s">
        <v>54</v>
      </c>
      <c r="L724" t="s">
        <v>74</v>
      </c>
    </row>
    <row r="725" spans="1:12" x14ac:dyDescent="0.3">
      <c r="A725" t="s">
        <v>2170</v>
      </c>
      <c r="B725" t="s">
        <v>1739</v>
      </c>
      <c r="C725" t="s">
        <v>791</v>
      </c>
      <c r="D725" t="s">
        <v>15</v>
      </c>
      <c r="E725">
        <v>4</v>
      </c>
      <c r="F725">
        <v>50</v>
      </c>
      <c r="G725" t="s">
        <v>1060</v>
      </c>
      <c r="H725" t="s">
        <v>70</v>
      </c>
      <c r="I725" t="s">
        <v>183</v>
      </c>
      <c r="J725" t="s">
        <v>184</v>
      </c>
      <c r="K725" t="s">
        <v>45</v>
      </c>
      <c r="L725" t="s">
        <v>21</v>
      </c>
    </row>
    <row r="726" spans="1:12" x14ac:dyDescent="0.3">
      <c r="A726" t="s">
        <v>1858</v>
      </c>
      <c r="B726" t="s">
        <v>1739</v>
      </c>
      <c r="C726" t="s">
        <v>791</v>
      </c>
      <c r="D726" t="s">
        <v>15</v>
      </c>
      <c r="E726">
        <v>4</v>
      </c>
      <c r="F726">
        <v>50</v>
      </c>
      <c r="G726" t="s">
        <v>1060</v>
      </c>
      <c r="H726" t="s">
        <v>70</v>
      </c>
      <c r="I726" t="s">
        <v>183</v>
      </c>
      <c r="J726" t="s">
        <v>184</v>
      </c>
      <c r="K726" t="s">
        <v>45</v>
      </c>
      <c r="L726" t="s">
        <v>21</v>
      </c>
    </row>
    <row r="727" spans="1:12" x14ac:dyDescent="0.3">
      <c r="A727" t="s">
        <v>1860</v>
      </c>
      <c r="B727" t="s">
        <v>1741</v>
      </c>
      <c r="C727" t="s">
        <v>219</v>
      </c>
      <c r="D727" t="s">
        <v>169</v>
      </c>
      <c r="E727">
        <v>7</v>
      </c>
      <c r="F727" t="s">
        <v>19</v>
      </c>
      <c r="G727" t="s">
        <v>317</v>
      </c>
      <c r="H727" t="s">
        <v>37</v>
      </c>
      <c r="I727" t="s">
        <v>38</v>
      </c>
      <c r="J727" t="s">
        <v>39</v>
      </c>
      <c r="K727" t="s">
        <v>20</v>
      </c>
      <c r="L727" t="s">
        <v>46</v>
      </c>
    </row>
    <row r="728" spans="1:12" x14ac:dyDescent="0.3">
      <c r="A728" t="s">
        <v>1862</v>
      </c>
      <c r="B728" t="s">
        <v>940</v>
      </c>
      <c r="C728" t="s">
        <v>570</v>
      </c>
      <c r="D728" t="s">
        <v>922</v>
      </c>
      <c r="E728">
        <v>8</v>
      </c>
      <c r="F728">
        <v>85</v>
      </c>
      <c r="G728" t="s">
        <v>354</v>
      </c>
      <c r="H728" t="s">
        <v>37</v>
      </c>
      <c r="I728" t="s">
        <v>83</v>
      </c>
      <c r="J728" t="s">
        <v>84</v>
      </c>
      <c r="K728" t="s">
        <v>2190</v>
      </c>
      <c r="L728" t="s">
        <v>21</v>
      </c>
    </row>
    <row r="729" spans="1:12" x14ac:dyDescent="0.3">
      <c r="A729" t="s">
        <v>1864</v>
      </c>
      <c r="B729" t="s">
        <v>1744</v>
      </c>
      <c r="C729" t="s">
        <v>709</v>
      </c>
      <c r="D729" t="s">
        <v>146</v>
      </c>
      <c r="E729">
        <v>20</v>
      </c>
      <c r="F729">
        <v>85</v>
      </c>
      <c r="G729" t="s">
        <v>470</v>
      </c>
      <c r="H729" t="s">
        <v>70</v>
      </c>
      <c r="I729" t="s">
        <v>151</v>
      </c>
      <c r="J729" t="s">
        <v>152</v>
      </c>
      <c r="K729" t="s">
        <v>153</v>
      </c>
      <c r="L729" t="s">
        <v>21</v>
      </c>
    </row>
    <row r="730" spans="1:12" x14ac:dyDescent="0.3">
      <c r="A730" t="s">
        <v>1865</v>
      </c>
      <c r="B730" t="s">
        <v>1203</v>
      </c>
      <c r="C730" t="s">
        <v>82</v>
      </c>
      <c r="D730" t="s">
        <v>169</v>
      </c>
      <c r="E730">
        <v>3</v>
      </c>
      <c r="F730">
        <v>80</v>
      </c>
      <c r="G730" t="s">
        <v>1019</v>
      </c>
      <c r="H730" t="s">
        <v>70</v>
      </c>
      <c r="I730" t="s">
        <v>151</v>
      </c>
      <c r="J730" t="s">
        <v>188</v>
      </c>
      <c r="K730" t="s">
        <v>45</v>
      </c>
      <c r="L730" t="s">
        <v>31</v>
      </c>
    </row>
    <row r="731" spans="1:12" x14ac:dyDescent="0.3">
      <c r="A731" t="s">
        <v>1868</v>
      </c>
      <c r="B731" t="s">
        <v>1747</v>
      </c>
      <c r="C731" t="s">
        <v>432</v>
      </c>
      <c r="D731" t="s">
        <v>281</v>
      </c>
      <c r="E731">
        <v>17</v>
      </c>
      <c r="F731">
        <v>70</v>
      </c>
      <c r="G731" t="s">
        <v>688</v>
      </c>
      <c r="H731" t="s">
        <v>70</v>
      </c>
      <c r="I731" t="s">
        <v>151</v>
      </c>
      <c r="J731" t="s">
        <v>152</v>
      </c>
      <c r="K731" t="s">
        <v>153</v>
      </c>
      <c r="L731" t="s">
        <v>46</v>
      </c>
    </row>
    <row r="732" spans="1:12" x14ac:dyDescent="0.3">
      <c r="A732" t="s">
        <v>1871</v>
      </c>
      <c r="B732" t="s">
        <v>1749</v>
      </c>
      <c r="C732" t="s">
        <v>445</v>
      </c>
      <c r="D732" t="s">
        <v>25</v>
      </c>
      <c r="E732">
        <v>8</v>
      </c>
      <c r="F732">
        <v>55</v>
      </c>
      <c r="G732" t="s">
        <v>604</v>
      </c>
      <c r="H732" t="s">
        <v>70</v>
      </c>
      <c r="I732" t="s">
        <v>71</v>
      </c>
      <c r="J732" t="s">
        <v>72</v>
      </c>
      <c r="K732" t="s">
        <v>73</v>
      </c>
      <c r="L732" t="s">
        <v>46</v>
      </c>
    </row>
    <row r="733" spans="1:12" x14ac:dyDescent="0.3">
      <c r="A733" t="s">
        <v>1873</v>
      </c>
      <c r="B733" t="s">
        <v>1751</v>
      </c>
      <c r="C733" t="s">
        <v>850</v>
      </c>
      <c r="D733" t="s">
        <v>15</v>
      </c>
      <c r="E733">
        <v>7</v>
      </c>
      <c r="F733">
        <v>55</v>
      </c>
      <c r="G733" t="s">
        <v>584</v>
      </c>
      <c r="H733" t="s">
        <v>27</v>
      </c>
      <c r="I733" t="s">
        <v>100</v>
      </c>
      <c r="J733" t="s">
        <v>101</v>
      </c>
      <c r="K733" t="s">
        <v>20</v>
      </c>
      <c r="L733" t="s">
        <v>21</v>
      </c>
    </row>
    <row r="734" spans="1:12" x14ac:dyDescent="0.3">
      <c r="A734" t="s">
        <v>1876</v>
      </c>
      <c r="B734" t="s">
        <v>661</v>
      </c>
      <c r="C734" t="s">
        <v>394</v>
      </c>
      <c r="D734" t="s">
        <v>19</v>
      </c>
      <c r="E734">
        <v>5</v>
      </c>
      <c r="F734">
        <v>60</v>
      </c>
      <c r="G734" t="s">
        <v>446</v>
      </c>
      <c r="H734" t="s">
        <v>37</v>
      </c>
      <c r="I734" t="s">
        <v>38</v>
      </c>
      <c r="J734" t="s">
        <v>39</v>
      </c>
      <c r="K734" t="s">
        <v>66</v>
      </c>
      <c r="L734" t="s">
        <v>46</v>
      </c>
    </row>
    <row r="735" spans="1:12" x14ac:dyDescent="0.3">
      <c r="A735" t="s">
        <v>1879</v>
      </c>
      <c r="B735" t="s">
        <v>524</v>
      </c>
      <c r="C735" t="s">
        <v>460</v>
      </c>
      <c r="D735" t="s">
        <v>125</v>
      </c>
      <c r="E735">
        <v>18</v>
      </c>
      <c r="F735">
        <v>63</v>
      </c>
      <c r="G735" t="s">
        <v>126</v>
      </c>
      <c r="H735" t="s">
        <v>27</v>
      </c>
      <c r="I735" t="s">
        <v>100</v>
      </c>
      <c r="J735" t="s">
        <v>101</v>
      </c>
      <c r="K735" t="s">
        <v>60</v>
      </c>
      <c r="L735" t="s">
        <v>31</v>
      </c>
    </row>
    <row r="736" spans="1:12" x14ac:dyDescent="0.3">
      <c r="A736" t="s">
        <v>1880</v>
      </c>
      <c r="B736" t="s">
        <v>1754</v>
      </c>
      <c r="C736" t="s">
        <v>962</v>
      </c>
      <c r="D736" t="s">
        <v>125</v>
      </c>
      <c r="E736">
        <v>13</v>
      </c>
      <c r="F736">
        <v>63</v>
      </c>
      <c r="G736" t="s">
        <v>1755</v>
      </c>
      <c r="H736" t="s">
        <v>27</v>
      </c>
      <c r="I736" t="s">
        <v>28</v>
      </c>
      <c r="J736" t="s">
        <v>29</v>
      </c>
      <c r="K736" t="s">
        <v>66</v>
      </c>
      <c r="L736" t="s">
        <v>21</v>
      </c>
    </row>
    <row r="737" spans="1:12" x14ac:dyDescent="0.3">
      <c r="A737" t="s">
        <v>1881</v>
      </c>
      <c r="B737" t="s">
        <v>1754</v>
      </c>
      <c r="C737" t="s">
        <v>962</v>
      </c>
      <c r="D737" t="s">
        <v>125</v>
      </c>
      <c r="E737">
        <v>13</v>
      </c>
      <c r="F737">
        <v>63</v>
      </c>
      <c r="G737" t="s">
        <v>1755</v>
      </c>
      <c r="H737" t="s">
        <v>27</v>
      </c>
      <c r="I737" t="s">
        <v>28</v>
      </c>
      <c r="J737" t="s">
        <v>29</v>
      </c>
      <c r="K737" t="s">
        <v>66</v>
      </c>
      <c r="L737" t="s">
        <v>21</v>
      </c>
    </row>
    <row r="738" spans="1:12" x14ac:dyDescent="0.3">
      <c r="A738" t="s">
        <v>1883</v>
      </c>
      <c r="B738" t="s">
        <v>1758</v>
      </c>
      <c r="C738" t="s">
        <v>289</v>
      </c>
      <c r="D738" t="s">
        <v>146</v>
      </c>
      <c r="E738">
        <v>2</v>
      </c>
      <c r="F738">
        <v>80</v>
      </c>
      <c r="G738" t="s">
        <v>1176</v>
      </c>
      <c r="H738" t="s">
        <v>17</v>
      </c>
      <c r="I738" t="s">
        <v>1232</v>
      </c>
      <c r="J738" t="s">
        <v>91</v>
      </c>
      <c r="K738" t="s">
        <v>45</v>
      </c>
      <c r="L738" t="s">
        <v>21</v>
      </c>
    </row>
    <row r="739" spans="1:12" x14ac:dyDescent="0.3">
      <c r="A739" t="s">
        <v>1885</v>
      </c>
      <c r="B739" t="s">
        <v>1760</v>
      </c>
      <c r="C739" t="s">
        <v>563</v>
      </c>
      <c r="D739" t="s">
        <v>281</v>
      </c>
      <c r="E739">
        <v>4</v>
      </c>
      <c r="F739">
        <v>65</v>
      </c>
      <c r="G739" t="s">
        <v>534</v>
      </c>
      <c r="H739" t="s">
        <v>17</v>
      </c>
      <c r="I739" t="s">
        <v>140</v>
      </c>
      <c r="J739" t="s">
        <v>91</v>
      </c>
      <c r="K739" t="s">
        <v>60</v>
      </c>
      <c r="L739" t="s">
        <v>21</v>
      </c>
    </row>
    <row r="740" spans="1:12" x14ac:dyDescent="0.3">
      <c r="A740" t="s">
        <v>1886</v>
      </c>
      <c r="B740" t="s">
        <v>1762</v>
      </c>
      <c r="C740" t="s">
        <v>140</v>
      </c>
      <c r="D740" t="s">
        <v>43</v>
      </c>
      <c r="E740">
        <v>5</v>
      </c>
      <c r="F740">
        <v>100</v>
      </c>
      <c r="G740" t="s">
        <v>854</v>
      </c>
      <c r="H740" t="s">
        <v>27</v>
      </c>
      <c r="I740" t="s">
        <v>28</v>
      </c>
      <c r="J740" t="s">
        <v>29</v>
      </c>
      <c r="K740" t="s">
        <v>60</v>
      </c>
      <c r="L740" t="s">
        <v>46</v>
      </c>
    </row>
    <row r="741" spans="1:12" x14ac:dyDescent="0.3">
      <c r="A741" t="s">
        <v>2171</v>
      </c>
      <c r="B741" t="s">
        <v>1764</v>
      </c>
      <c r="C741" t="s">
        <v>1092</v>
      </c>
      <c r="D741" t="s">
        <v>35</v>
      </c>
      <c r="E741">
        <v>4</v>
      </c>
      <c r="F741">
        <v>60</v>
      </c>
      <c r="G741" t="s">
        <v>1019</v>
      </c>
      <c r="H741" t="s">
        <v>70</v>
      </c>
      <c r="I741" t="s">
        <v>183</v>
      </c>
      <c r="J741" t="s">
        <v>184</v>
      </c>
      <c r="K741" t="s">
        <v>20</v>
      </c>
      <c r="L741" t="s">
        <v>345</v>
      </c>
    </row>
    <row r="742" spans="1:12" x14ac:dyDescent="0.3">
      <c r="A742" t="s">
        <v>1890</v>
      </c>
      <c r="B742" t="s">
        <v>19</v>
      </c>
      <c r="C742" t="s">
        <v>1293</v>
      </c>
      <c r="D742" t="s">
        <v>35</v>
      </c>
      <c r="E742">
        <v>19</v>
      </c>
      <c r="F742">
        <v>60</v>
      </c>
      <c r="G742" t="s">
        <v>340</v>
      </c>
      <c r="H742" t="s">
        <v>37</v>
      </c>
      <c r="I742" t="s">
        <v>225</v>
      </c>
      <c r="J742" t="s">
        <v>226</v>
      </c>
      <c r="K742" t="s">
        <v>30</v>
      </c>
      <c r="L742" t="s">
        <v>21</v>
      </c>
    </row>
    <row r="743" spans="1:12" x14ac:dyDescent="0.3">
      <c r="A743" t="s">
        <v>2172</v>
      </c>
      <c r="B743" t="s">
        <v>1766</v>
      </c>
      <c r="C743" t="s">
        <v>600</v>
      </c>
      <c r="D743" t="s">
        <v>281</v>
      </c>
      <c r="E743">
        <v>2</v>
      </c>
      <c r="F743">
        <v>65</v>
      </c>
      <c r="G743" t="s">
        <v>1153</v>
      </c>
      <c r="H743" t="s">
        <v>17</v>
      </c>
      <c r="I743" t="s">
        <v>18</v>
      </c>
      <c r="J743" t="s">
        <v>65</v>
      </c>
      <c r="K743" t="s">
        <v>30</v>
      </c>
      <c r="L743" t="s">
        <v>46</v>
      </c>
    </row>
    <row r="744" spans="1:12" x14ac:dyDescent="0.3">
      <c r="A744" t="s">
        <v>1894</v>
      </c>
      <c r="B744" t="s">
        <v>1768</v>
      </c>
      <c r="C744" t="s">
        <v>1769</v>
      </c>
      <c r="D744" t="s">
        <v>25</v>
      </c>
      <c r="E744">
        <v>4</v>
      </c>
      <c r="F744">
        <v>50</v>
      </c>
      <c r="G744" t="s">
        <v>1060</v>
      </c>
      <c r="H744" t="s">
        <v>17</v>
      </c>
      <c r="I744" t="s">
        <v>18</v>
      </c>
      <c r="J744" t="s">
        <v>65</v>
      </c>
      <c r="K744" t="s">
        <v>30</v>
      </c>
      <c r="L744" t="s">
        <v>31</v>
      </c>
    </row>
    <row r="745" spans="1:12" x14ac:dyDescent="0.3">
      <c r="A745" t="s">
        <v>1896</v>
      </c>
      <c r="B745" t="s">
        <v>1768</v>
      </c>
      <c r="C745" t="s">
        <v>1769</v>
      </c>
      <c r="D745" t="s">
        <v>25</v>
      </c>
      <c r="E745">
        <v>4</v>
      </c>
      <c r="F745">
        <v>50</v>
      </c>
      <c r="G745" t="s">
        <v>1060</v>
      </c>
      <c r="H745" t="s">
        <v>17</v>
      </c>
      <c r="I745" t="s">
        <v>18</v>
      </c>
      <c r="J745" t="s">
        <v>65</v>
      </c>
      <c r="K745" t="s">
        <v>30</v>
      </c>
      <c r="L745" t="s">
        <v>31</v>
      </c>
    </row>
    <row r="746" spans="1:12" x14ac:dyDescent="0.3">
      <c r="A746" t="s">
        <v>1897</v>
      </c>
      <c r="B746" t="s">
        <v>1771</v>
      </c>
      <c r="C746" t="s">
        <v>824</v>
      </c>
      <c r="D746" t="s">
        <v>125</v>
      </c>
      <c r="E746">
        <v>17</v>
      </c>
      <c r="F746">
        <v>58</v>
      </c>
      <c r="G746" t="s">
        <v>1772</v>
      </c>
      <c r="H746" t="s">
        <v>70</v>
      </c>
      <c r="I746" t="s">
        <v>151</v>
      </c>
      <c r="J746" t="s">
        <v>188</v>
      </c>
      <c r="K746" t="s">
        <v>30</v>
      </c>
      <c r="L746" t="s">
        <v>31</v>
      </c>
    </row>
    <row r="747" spans="1:12" x14ac:dyDescent="0.3">
      <c r="A747" t="s">
        <v>1898</v>
      </c>
      <c r="B747" t="s">
        <v>140</v>
      </c>
      <c r="C747" t="s">
        <v>1774</v>
      </c>
      <c r="D747" t="s">
        <v>43</v>
      </c>
      <c r="E747">
        <v>20</v>
      </c>
      <c r="F747">
        <v>95</v>
      </c>
      <c r="G747" t="s">
        <v>302</v>
      </c>
      <c r="H747" t="s">
        <v>37</v>
      </c>
      <c r="I747" t="s">
        <v>225</v>
      </c>
      <c r="J747" t="s">
        <v>226</v>
      </c>
      <c r="K747" t="s">
        <v>20</v>
      </c>
      <c r="L747" t="s">
        <v>46</v>
      </c>
    </row>
    <row r="748" spans="1:12" x14ac:dyDescent="0.3">
      <c r="A748" t="s">
        <v>1900</v>
      </c>
      <c r="B748" t="s">
        <v>849</v>
      </c>
      <c r="C748" t="s">
        <v>902</v>
      </c>
      <c r="D748" t="s">
        <v>146</v>
      </c>
      <c r="E748">
        <v>20</v>
      </c>
      <c r="F748">
        <v>80</v>
      </c>
      <c r="G748" t="s">
        <v>671</v>
      </c>
      <c r="H748" t="s">
        <v>17</v>
      </c>
      <c r="I748" t="s">
        <v>90</v>
      </c>
      <c r="J748" t="s">
        <v>91</v>
      </c>
      <c r="K748" t="s">
        <v>2190</v>
      </c>
      <c r="L748" t="s">
        <v>31</v>
      </c>
    </row>
    <row r="749" spans="1:12" x14ac:dyDescent="0.3">
      <c r="A749" t="s">
        <v>1902</v>
      </c>
      <c r="B749" t="s">
        <v>1777</v>
      </c>
      <c r="C749" t="s">
        <v>301</v>
      </c>
      <c r="D749" t="s">
        <v>25</v>
      </c>
      <c r="E749">
        <v>10</v>
      </c>
      <c r="F749" t="s">
        <v>19</v>
      </c>
      <c r="G749" t="s">
        <v>589</v>
      </c>
      <c r="H749" t="s">
        <v>70</v>
      </c>
      <c r="I749" t="s">
        <v>151</v>
      </c>
      <c r="J749" t="s">
        <v>19</v>
      </c>
      <c r="K749" t="s">
        <v>153</v>
      </c>
      <c r="L749" t="s">
        <v>19</v>
      </c>
    </row>
    <row r="750" spans="1:12" x14ac:dyDescent="0.3">
      <c r="A750" t="s">
        <v>1903</v>
      </c>
      <c r="B750" t="s">
        <v>1779</v>
      </c>
      <c r="C750" t="s">
        <v>588</v>
      </c>
      <c r="D750" t="s">
        <v>35</v>
      </c>
      <c r="E750">
        <v>10</v>
      </c>
      <c r="F750">
        <v>55</v>
      </c>
      <c r="G750" t="s">
        <v>589</v>
      </c>
      <c r="H750" t="s">
        <v>17</v>
      </c>
      <c r="I750" t="s">
        <v>90</v>
      </c>
      <c r="J750" t="s">
        <v>91</v>
      </c>
      <c r="K750" t="s">
        <v>2190</v>
      </c>
      <c r="L750" t="s">
        <v>31</v>
      </c>
    </row>
    <row r="751" spans="1:12" x14ac:dyDescent="0.3">
      <c r="A751" t="s">
        <v>1905</v>
      </c>
      <c r="B751" t="s">
        <v>1780</v>
      </c>
      <c r="C751" t="s">
        <v>954</v>
      </c>
      <c r="D751" t="s">
        <v>19</v>
      </c>
      <c r="E751">
        <v>9</v>
      </c>
      <c r="F751">
        <v>55</v>
      </c>
      <c r="G751" t="s">
        <v>114</v>
      </c>
      <c r="H751" t="s">
        <v>70</v>
      </c>
      <c r="I751" t="s">
        <v>151</v>
      </c>
      <c r="J751" t="s">
        <v>152</v>
      </c>
      <c r="K751" t="s">
        <v>153</v>
      </c>
      <c r="L751" t="s">
        <v>21</v>
      </c>
    </row>
    <row r="752" spans="1:12" x14ac:dyDescent="0.3">
      <c r="A752" t="s">
        <v>1907</v>
      </c>
      <c r="B752" t="s">
        <v>1782</v>
      </c>
      <c r="C752" t="s">
        <v>256</v>
      </c>
      <c r="D752" t="s">
        <v>50</v>
      </c>
      <c r="E752">
        <v>14</v>
      </c>
      <c r="F752">
        <v>70</v>
      </c>
      <c r="G752" t="s">
        <v>890</v>
      </c>
      <c r="H752" t="s">
        <v>27</v>
      </c>
      <c r="I752" t="s">
        <v>28</v>
      </c>
      <c r="J752" t="s">
        <v>79</v>
      </c>
      <c r="K752" t="s">
        <v>54</v>
      </c>
      <c r="L752" t="s">
        <v>31</v>
      </c>
    </row>
    <row r="753" spans="1:12" x14ac:dyDescent="0.3">
      <c r="A753" t="s">
        <v>1908</v>
      </c>
      <c r="B753" t="s">
        <v>1784</v>
      </c>
      <c r="C753" t="s">
        <v>650</v>
      </c>
      <c r="D753" t="s">
        <v>50</v>
      </c>
      <c r="E753">
        <v>17</v>
      </c>
      <c r="F753">
        <v>65</v>
      </c>
      <c r="G753" t="s">
        <v>202</v>
      </c>
      <c r="H753" t="s">
        <v>70</v>
      </c>
      <c r="I753" t="s">
        <v>71</v>
      </c>
      <c r="J753" t="s">
        <v>72</v>
      </c>
      <c r="K753" t="s">
        <v>73</v>
      </c>
      <c r="L753" t="s">
        <v>31</v>
      </c>
    </row>
    <row r="754" spans="1:12" x14ac:dyDescent="0.3">
      <c r="A754" t="s">
        <v>1910</v>
      </c>
      <c r="B754" t="s">
        <v>1786</v>
      </c>
      <c r="C754" t="s">
        <v>145</v>
      </c>
      <c r="D754" t="s">
        <v>125</v>
      </c>
      <c r="E754">
        <v>13</v>
      </c>
      <c r="F754">
        <v>58</v>
      </c>
      <c r="G754" t="s">
        <v>351</v>
      </c>
      <c r="H754" t="s">
        <v>70</v>
      </c>
      <c r="I754" t="s">
        <v>151</v>
      </c>
      <c r="J754" t="s">
        <v>188</v>
      </c>
      <c r="K754" t="s">
        <v>20</v>
      </c>
      <c r="L754" t="s">
        <v>46</v>
      </c>
    </row>
    <row r="755" spans="1:12" x14ac:dyDescent="0.3">
      <c r="A755" t="s">
        <v>1912</v>
      </c>
      <c r="B755" t="s">
        <v>1786</v>
      </c>
      <c r="C755" t="s">
        <v>145</v>
      </c>
      <c r="D755" t="s">
        <v>125</v>
      </c>
      <c r="E755">
        <v>13</v>
      </c>
      <c r="F755">
        <v>58</v>
      </c>
      <c r="G755" t="s">
        <v>351</v>
      </c>
      <c r="H755" t="s">
        <v>70</v>
      </c>
      <c r="I755" t="s">
        <v>151</v>
      </c>
      <c r="J755" t="s">
        <v>188</v>
      </c>
      <c r="K755" t="s">
        <v>20</v>
      </c>
      <c r="L755" t="s">
        <v>46</v>
      </c>
    </row>
    <row r="756" spans="1:12" x14ac:dyDescent="0.3">
      <c r="A756" t="s">
        <v>1914</v>
      </c>
      <c r="B756" t="s">
        <v>958</v>
      </c>
      <c r="C756" t="s">
        <v>567</v>
      </c>
      <c r="D756" t="s">
        <v>43</v>
      </c>
      <c r="E756">
        <v>17</v>
      </c>
      <c r="F756">
        <v>90</v>
      </c>
      <c r="G756" t="s">
        <v>1234</v>
      </c>
      <c r="H756" t="s">
        <v>17</v>
      </c>
      <c r="I756" t="s">
        <v>18</v>
      </c>
      <c r="J756" t="s">
        <v>65</v>
      </c>
      <c r="K756" t="s">
        <v>66</v>
      </c>
      <c r="L756" t="s">
        <v>46</v>
      </c>
    </row>
    <row r="757" spans="1:12" x14ac:dyDescent="0.3">
      <c r="A757" t="s">
        <v>2173</v>
      </c>
      <c r="B757" t="s">
        <v>1789</v>
      </c>
      <c r="C757" t="s">
        <v>156</v>
      </c>
      <c r="D757" t="s">
        <v>140</v>
      </c>
      <c r="E757">
        <v>2</v>
      </c>
      <c r="F757" t="s">
        <v>19</v>
      </c>
      <c r="G757" t="s">
        <v>1410</v>
      </c>
      <c r="H757" t="s">
        <v>846</v>
      </c>
      <c r="I757" t="s">
        <v>28</v>
      </c>
      <c r="J757" t="s">
        <v>79</v>
      </c>
      <c r="K757" t="s">
        <v>54</v>
      </c>
      <c r="L757" t="s">
        <v>31</v>
      </c>
    </row>
    <row r="758" spans="1:12" x14ac:dyDescent="0.3">
      <c r="A758" t="s">
        <v>1917</v>
      </c>
      <c r="B758" t="s">
        <v>155</v>
      </c>
      <c r="C758" t="s">
        <v>1791</v>
      </c>
      <c r="D758" t="s">
        <v>35</v>
      </c>
      <c r="E758">
        <v>4</v>
      </c>
      <c r="F758">
        <v>55</v>
      </c>
      <c r="G758" t="s">
        <v>270</v>
      </c>
      <c r="H758" t="s">
        <v>17</v>
      </c>
      <c r="I758" t="s">
        <v>18</v>
      </c>
      <c r="J758" t="s">
        <v>260</v>
      </c>
      <c r="K758" t="s">
        <v>20</v>
      </c>
      <c r="L758" t="s">
        <v>31</v>
      </c>
    </row>
    <row r="759" spans="1:12" x14ac:dyDescent="0.3">
      <c r="A759" t="s">
        <v>1919</v>
      </c>
      <c r="B759" t="s">
        <v>1194</v>
      </c>
      <c r="C759" t="s">
        <v>403</v>
      </c>
      <c r="D759" t="s">
        <v>15</v>
      </c>
      <c r="E759">
        <v>3</v>
      </c>
      <c r="F759">
        <v>50</v>
      </c>
      <c r="G759" t="s">
        <v>150</v>
      </c>
      <c r="H759" t="s">
        <v>70</v>
      </c>
      <c r="I759" t="s">
        <v>71</v>
      </c>
      <c r="J759" t="s">
        <v>72</v>
      </c>
      <c r="K759" t="s">
        <v>73</v>
      </c>
      <c r="L759" t="s">
        <v>31</v>
      </c>
    </row>
    <row r="760" spans="1:12" x14ac:dyDescent="0.3">
      <c r="A760" t="s">
        <v>1921</v>
      </c>
      <c r="B760" t="s">
        <v>1794</v>
      </c>
      <c r="C760" t="s">
        <v>252</v>
      </c>
      <c r="D760" t="s">
        <v>94</v>
      </c>
      <c r="E760">
        <v>18</v>
      </c>
      <c r="F760">
        <v>73</v>
      </c>
      <c r="G760" t="s">
        <v>19</v>
      </c>
      <c r="H760" t="s">
        <v>27</v>
      </c>
      <c r="I760" t="s">
        <v>100</v>
      </c>
      <c r="J760" t="s">
        <v>101</v>
      </c>
      <c r="K760" t="s">
        <v>30</v>
      </c>
      <c r="L760" t="s">
        <v>46</v>
      </c>
    </row>
    <row r="761" spans="1:12" x14ac:dyDescent="0.3">
      <c r="A761" t="s">
        <v>2174</v>
      </c>
      <c r="B761" t="s">
        <v>197</v>
      </c>
      <c r="C761" t="s">
        <v>504</v>
      </c>
      <c r="D761" t="s">
        <v>169</v>
      </c>
      <c r="E761">
        <v>18</v>
      </c>
      <c r="F761">
        <v>80</v>
      </c>
      <c r="G761" t="s">
        <v>523</v>
      </c>
      <c r="H761" t="s">
        <v>70</v>
      </c>
      <c r="I761" t="s">
        <v>151</v>
      </c>
      <c r="J761" t="s">
        <v>1201</v>
      </c>
      <c r="K761" t="s">
        <v>66</v>
      </c>
      <c r="L761" t="s">
        <v>46</v>
      </c>
    </row>
    <row r="762" spans="1:12" x14ac:dyDescent="0.3">
      <c r="A762" t="s">
        <v>1925</v>
      </c>
      <c r="B762" t="s">
        <v>1797</v>
      </c>
      <c r="C762" t="s">
        <v>292</v>
      </c>
      <c r="D762" t="s">
        <v>125</v>
      </c>
      <c r="E762">
        <v>16</v>
      </c>
      <c r="F762">
        <v>63</v>
      </c>
      <c r="G762" t="s">
        <v>929</v>
      </c>
      <c r="H762" t="s">
        <v>27</v>
      </c>
      <c r="I762" t="s">
        <v>28</v>
      </c>
      <c r="J762" t="s">
        <v>79</v>
      </c>
      <c r="K762" t="s">
        <v>54</v>
      </c>
      <c r="L762" t="s">
        <v>31</v>
      </c>
    </row>
    <row r="763" spans="1:12" x14ac:dyDescent="0.3">
      <c r="A763" t="s">
        <v>1926</v>
      </c>
      <c r="B763" t="s">
        <v>1421</v>
      </c>
      <c r="C763" t="s">
        <v>808</v>
      </c>
      <c r="D763" t="s">
        <v>50</v>
      </c>
      <c r="E763">
        <v>20</v>
      </c>
      <c r="F763">
        <v>60</v>
      </c>
      <c r="G763" t="s">
        <v>182</v>
      </c>
      <c r="H763" t="s">
        <v>17</v>
      </c>
      <c r="I763" t="s">
        <v>18</v>
      </c>
      <c r="J763" t="s">
        <v>65</v>
      </c>
      <c r="K763" t="s">
        <v>66</v>
      </c>
      <c r="L763" t="s">
        <v>74</v>
      </c>
    </row>
    <row r="764" spans="1:12" x14ac:dyDescent="0.3">
      <c r="A764" t="s">
        <v>1928</v>
      </c>
      <c r="B764" t="s">
        <v>407</v>
      </c>
      <c r="C764" t="s">
        <v>190</v>
      </c>
      <c r="D764" t="s">
        <v>94</v>
      </c>
      <c r="E764">
        <v>8</v>
      </c>
      <c r="F764">
        <v>68</v>
      </c>
      <c r="G764" t="s">
        <v>19</v>
      </c>
      <c r="H764" t="s">
        <v>37</v>
      </c>
      <c r="I764" t="s">
        <v>83</v>
      </c>
      <c r="J764" t="s">
        <v>84</v>
      </c>
      <c r="K764" t="s">
        <v>158</v>
      </c>
      <c r="L764" t="s">
        <v>21</v>
      </c>
    </row>
    <row r="765" spans="1:12" x14ac:dyDescent="0.3">
      <c r="A765" t="s">
        <v>1931</v>
      </c>
      <c r="B765" t="s">
        <v>1800</v>
      </c>
      <c r="C765" t="s">
        <v>1801</v>
      </c>
      <c r="D765" t="s">
        <v>94</v>
      </c>
      <c r="E765">
        <v>7</v>
      </c>
      <c r="F765">
        <v>63</v>
      </c>
      <c r="G765" t="s">
        <v>95</v>
      </c>
      <c r="H765" t="s">
        <v>17</v>
      </c>
      <c r="I765" t="s">
        <v>18</v>
      </c>
      <c r="J765" t="s">
        <v>65</v>
      </c>
      <c r="K765" t="s">
        <v>20</v>
      </c>
      <c r="L765" t="s">
        <v>31</v>
      </c>
    </row>
    <row r="766" spans="1:12" x14ac:dyDescent="0.3">
      <c r="A766" t="s">
        <v>1933</v>
      </c>
      <c r="B766" t="s">
        <v>1803</v>
      </c>
      <c r="C766" t="s">
        <v>1804</v>
      </c>
      <c r="D766" t="s">
        <v>94</v>
      </c>
      <c r="E766">
        <v>10</v>
      </c>
      <c r="F766">
        <v>63</v>
      </c>
      <c r="G766" t="s">
        <v>140</v>
      </c>
      <c r="H766" t="s">
        <v>17</v>
      </c>
      <c r="I766" t="s">
        <v>19</v>
      </c>
      <c r="J766" t="s">
        <v>65</v>
      </c>
      <c r="K766" t="s">
        <v>20</v>
      </c>
      <c r="L766" t="s">
        <v>46</v>
      </c>
    </row>
    <row r="767" spans="1:12" x14ac:dyDescent="0.3">
      <c r="A767" t="s">
        <v>1935</v>
      </c>
      <c r="B767" t="s">
        <v>1806</v>
      </c>
      <c r="C767" t="s">
        <v>414</v>
      </c>
      <c r="D767" t="s">
        <v>19</v>
      </c>
      <c r="E767">
        <v>19</v>
      </c>
      <c r="F767">
        <v>68</v>
      </c>
      <c r="G767" t="s">
        <v>540</v>
      </c>
      <c r="H767" t="s">
        <v>37</v>
      </c>
      <c r="I767" t="s">
        <v>83</v>
      </c>
      <c r="J767" t="s">
        <v>19</v>
      </c>
      <c r="K767" t="s">
        <v>158</v>
      </c>
      <c r="L767" t="s">
        <v>46</v>
      </c>
    </row>
    <row r="768" spans="1:12" x14ac:dyDescent="0.3">
      <c r="A768" t="s">
        <v>1937</v>
      </c>
      <c r="B768" t="s">
        <v>1808</v>
      </c>
      <c r="C768" t="s">
        <v>504</v>
      </c>
      <c r="D768" t="s">
        <v>50</v>
      </c>
      <c r="E768">
        <v>18</v>
      </c>
      <c r="F768" t="s">
        <v>19</v>
      </c>
      <c r="G768" t="s">
        <v>610</v>
      </c>
      <c r="H768" t="s">
        <v>37</v>
      </c>
      <c r="I768" t="s">
        <v>225</v>
      </c>
      <c r="J768" t="s">
        <v>226</v>
      </c>
      <c r="K768" t="s">
        <v>30</v>
      </c>
      <c r="L768" t="s">
        <v>31</v>
      </c>
    </row>
    <row r="769" spans="1:12" x14ac:dyDescent="0.3">
      <c r="A769" t="s">
        <v>1938</v>
      </c>
      <c r="B769" t="s">
        <v>1810</v>
      </c>
      <c r="C769" t="s">
        <v>791</v>
      </c>
      <c r="D769" t="s">
        <v>50</v>
      </c>
      <c r="E769">
        <v>1</v>
      </c>
      <c r="F769">
        <v>60</v>
      </c>
      <c r="G769" t="s">
        <v>531</v>
      </c>
      <c r="H769" t="s">
        <v>17</v>
      </c>
      <c r="I769" t="s">
        <v>90</v>
      </c>
      <c r="J769" t="s">
        <v>138</v>
      </c>
      <c r="K769" t="s">
        <v>30</v>
      </c>
      <c r="L769" t="s">
        <v>21</v>
      </c>
    </row>
    <row r="770" spans="1:12" x14ac:dyDescent="0.3">
      <c r="A770" t="s">
        <v>1939</v>
      </c>
      <c r="B770" t="s">
        <v>1812</v>
      </c>
      <c r="C770" t="s">
        <v>1526</v>
      </c>
      <c r="D770" t="s">
        <v>43</v>
      </c>
      <c r="E770">
        <v>10</v>
      </c>
      <c r="F770">
        <v>100</v>
      </c>
      <c r="G770" t="s">
        <v>19</v>
      </c>
      <c r="H770" t="s">
        <v>27</v>
      </c>
      <c r="I770" t="s">
        <v>100</v>
      </c>
      <c r="J770" t="s">
        <v>101</v>
      </c>
      <c r="K770" t="s">
        <v>436</v>
      </c>
      <c r="L770" t="s">
        <v>31</v>
      </c>
    </row>
    <row r="771" spans="1:12" x14ac:dyDescent="0.3">
      <c r="A771" t="s">
        <v>1941</v>
      </c>
      <c r="B771" t="s">
        <v>255</v>
      </c>
      <c r="C771" t="s">
        <v>515</v>
      </c>
      <c r="D771" t="s">
        <v>35</v>
      </c>
      <c r="E771">
        <v>6</v>
      </c>
      <c r="F771">
        <v>60</v>
      </c>
      <c r="G771" t="s">
        <v>247</v>
      </c>
      <c r="H771" t="s">
        <v>70</v>
      </c>
      <c r="I771" t="s">
        <v>71</v>
      </c>
      <c r="J771" t="s">
        <v>72</v>
      </c>
      <c r="K771" t="s">
        <v>73</v>
      </c>
      <c r="L771" t="s">
        <v>21</v>
      </c>
    </row>
    <row r="772" spans="1:12" x14ac:dyDescent="0.3">
      <c r="A772" t="s">
        <v>1942</v>
      </c>
      <c r="B772" t="s">
        <v>1815</v>
      </c>
      <c r="C772" t="s">
        <v>256</v>
      </c>
      <c r="D772" t="s">
        <v>146</v>
      </c>
      <c r="E772">
        <v>16</v>
      </c>
      <c r="F772">
        <v>80</v>
      </c>
      <c r="G772" t="s">
        <v>344</v>
      </c>
      <c r="H772" t="s">
        <v>17</v>
      </c>
      <c r="I772" t="s">
        <v>90</v>
      </c>
      <c r="J772" t="s">
        <v>91</v>
      </c>
      <c r="K772" t="s">
        <v>45</v>
      </c>
      <c r="L772" t="s">
        <v>21</v>
      </c>
    </row>
    <row r="773" spans="1:12" x14ac:dyDescent="0.3">
      <c r="A773" t="s">
        <v>1944</v>
      </c>
      <c r="B773" t="s">
        <v>1817</v>
      </c>
      <c r="C773" t="s">
        <v>981</v>
      </c>
      <c r="D773" t="s">
        <v>43</v>
      </c>
      <c r="E773">
        <v>9</v>
      </c>
      <c r="F773">
        <v>95</v>
      </c>
      <c r="G773" t="s">
        <v>1818</v>
      </c>
      <c r="H773" t="s">
        <v>70</v>
      </c>
      <c r="I773" t="s">
        <v>71</v>
      </c>
      <c r="J773" t="s">
        <v>72</v>
      </c>
      <c r="K773" t="s">
        <v>73</v>
      </c>
      <c r="L773" t="s">
        <v>46</v>
      </c>
    </row>
    <row r="774" spans="1:12" x14ac:dyDescent="0.3">
      <c r="A774" t="s">
        <v>1946</v>
      </c>
      <c r="B774" t="s">
        <v>1820</v>
      </c>
      <c r="C774" t="s">
        <v>507</v>
      </c>
      <c r="D774" t="s">
        <v>281</v>
      </c>
      <c r="E774">
        <v>14</v>
      </c>
      <c r="F774">
        <v>65</v>
      </c>
      <c r="G774" t="s">
        <v>333</v>
      </c>
      <c r="H774" t="s">
        <v>17</v>
      </c>
      <c r="I774" t="s">
        <v>18</v>
      </c>
      <c r="J774" t="s">
        <v>65</v>
      </c>
      <c r="K774" t="s">
        <v>30</v>
      </c>
      <c r="L774" t="s">
        <v>345</v>
      </c>
    </row>
    <row r="775" spans="1:12" x14ac:dyDescent="0.3">
      <c r="A775" t="s">
        <v>1947</v>
      </c>
      <c r="B775" t="s">
        <v>1822</v>
      </c>
      <c r="C775" t="s">
        <v>701</v>
      </c>
      <c r="D775" t="s">
        <v>125</v>
      </c>
      <c r="E775">
        <v>8</v>
      </c>
      <c r="F775">
        <v>58</v>
      </c>
      <c r="G775" t="s">
        <v>165</v>
      </c>
      <c r="H775" t="s">
        <v>37</v>
      </c>
      <c r="I775" t="s">
        <v>83</v>
      </c>
      <c r="J775" t="s">
        <v>84</v>
      </c>
      <c r="K775" t="s">
        <v>158</v>
      </c>
      <c r="L775" t="s">
        <v>21</v>
      </c>
    </row>
    <row r="776" spans="1:12" x14ac:dyDescent="0.3">
      <c r="A776" t="s">
        <v>1949</v>
      </c>
      <c r="B776" t="s">
        <v>587</v>
      </c>
      <c r="C776" t="s">
        <v>709</v>
      </c>
      <c r="D776" t="s">
        <v>146</v>
      </c>
      <c r="E776">
        <v>20</v>
      </c>
      <c r="F776">
        <v>90</v>
      </c>
      <c r="G776" t="s">
        <v>809</v>
      </c>
      <c r="H776" t="s">
        <v>27</v>
      </c>
      <c r="I776" t="s">
        <v>28</v>
      </c>
      <c r="J776" t="s">
        <v>29</v>
      </c>
      <c r="K776" t="s">
        <v>30</v>
      </c>
      <c r="L776" t="s">
        <v>21</v>
      </c>
    </row>
    <row r="777" spans="1:12" x14ac:dyDescent="0.3">
      <c r="A777" t="s">
        <v>1951</v>
      </c>
      <c r="B777" t="s">
        <v>1825</v>
      </c>
      <c r="C777" t="s">
        <v>887</v>
      </c>
      <c r="D777" t="s">
        <v>15</v>
      </c>
      <c r="E777">
        <v>1</v>
      </c>
      <c r="F777">
        <v>45</v>
      </c>
      <c r="G777" t="s">
        <v>140</v>
      </c>
      <c r="H777" t="s">
        <v>17</v>
      </c>
      <c r="I777" t="s">
        <v>18</v>
      </c>
      <c r="J777" t="s">
        <v>65</v>
      </c>
      <c r="K777" t="s">
        <v>45</v>
      </c>
      <c r="L777" t="s">
        <v>31</v>
      </c>
    </row>
    <row r="778" spans="1:12" x14ac:dyDescent="0.3">
      <c r="A778" t="s">
        <v>1954</v>
      </c>
      <c r="B778" t="s">
        <v>1827</v>
      </c>
      <c r="C778" t="s">
        <v>463</v>
      </c>
      <c r="D778" t="s">
        <v>15</v>
      </c>
      <c r="E778">
        <v>9</v>
      </c>
      <c r="F778">
        <v>50</v>
      </c>
      <c r="G778" t="s">
        <v>137</v>
      </c>
      <c r="H778" t="s">
        <v>70</v>
      </c>
      <c r="I778" t="s">
        <v>151</v>
      </c>
      <c r="J778" t="s">
        <v>188</v>
      </c>
      <c r="K778" t="s">
        <v>66</v>
      </c>
      <c r="L778" t="s">
        <v>31</v>
      </c>
    </row>
    <row r="779" spans="1:12" x14ac:dyDescent="0.3">
      <c r="A779" t="s">
        <v>1956</v>
      </c>
      <c r="B779" t="s">
        <v>755</v>
      </c>
      <c r="C779" t="s">
        <v>650</v>
      </c>
      <c r="D779" t="s">
        <v>429</v>
      </c>
      <c r="E779">
        <v>17</v>
      </c>
      <c r="F779">
        <v>58</v>
      </c>
      <c r="G779" t="s">
        <v>1772</v>
      </c>
      <c r="H779" t="s">
        <v>70</v>
      </c>
      <c r="I779" t="s">
        <v>71</v>
      </c>
      <c r="J779" t="s">
        <v>72</v>
      </c>
      <c r="K779" t="s">
        <v>73</v>
      </c>
      <c r="L779" t="s">
        <v>31</v>
      </c>
    </row>
    <row r="780" spans="1:12" x14ac:dyDescent="0.3">
      <c r="A780" t="s">
        <v>1958</v>
      </c>
      <c r="B780" t="s">
        <v>255</v>
      </c>
      <c r="C780" t="s">
        <v>219</v>
      </c>
      <c r="D780" t="s">
        <v>15</v>
      </c>
      <c r="E780">
        <v>5</v>
      </c>
      <c r="F780">
        <v>50</v>
      </c>
      <c r="G780" t="s">
        <v>1830</v>
      </c>
      <c r="H780" t="s">
        <v>140</v>
      </c>
      <c r="I780" t="s">
        <v>225</v>
      </c>
      <c r="J780" t="s">
        <v>226</v>
      </c>
      <c r="K780" t="s">
        <v>45</v>
      </c>
      <c r="L780" t="s">
        <v>21</v>
      </c>
    </row>
    <row r="781" spans="1:12" x14ac:dyDescent="0.3">
      <c r="A781" t="s">
        <v>1959</v>
      </c>
      <c r="B781" t="s">
        <v>1832</v>
      </c>
      <c r="C781" t="s">
        <v>1728</v>
      </c>
      <c r="D781" t="s">
        <v>125</v>
      </c>
      <c r="E781">
        <v>3</v>
      </c>
      <c r="F781">
        <v>53</v>
      </c>
      <c r="G781" t="s">
        <v>1833</v>
      </c>
      <c r="H781" t="s">
        <v>17</v>
      </c>
      <c r="I781" t="s">
        <v>18</v>
      </c>
      <c r="J781" t="s">
        <v>65</v>
      </c>
      <c r="K781" t="s">
        <v>66</v>
      </c>
      <c r="L781" t="s">
        <v>31</v>
      </c>
    </row>
    <row r="782" spans="1:12" x14ac:dyDescent="0.3">
      <c r="A782" t="s">
        <v>1961</v>
      </c>
      <c r="B782" t="s">
        <v>1835</v>
      </c>
      <c r="C782" t="s">
        <v>285</v>
      </c>
      <c r="D782" t="s">
        <v>94</v>
      </c>
      <c r="E782" t="s">
        <v>19</v>
      </c>
      <c r="F782">
        <v>73</v>
      </c>
      <c r="G782" t="s">
        <v>1016</v>
      </c>
      <c r="H782" t="s">
        <v>27</v>
      </c>
      <c r="I782" t="s">
        <v>28</v>
      </c>
      <c r="J782" t="s">
        <v>79</v>
      </c>
      <c r="K782" t="s">
        <v>54</v>
      </c>
      <c r="L782" t="s">
        <v>31</v>
      </c>
    </row>
    <row r="783" spans="1:12" x14ac:dyDescent="0.3">
      <c r="A783" t="s">
        <v>1963</v>
      </c>
      <c r="B783" t="s">
        <v>1837</v>
      </c>
      <c r="C783" t="s">
        <v>113</v>
      </c>
      <c r="D783" t="s">
        <v>50</v>
      </c>
      <c r="E783">
        <v>19</v>
      </c>
      <c r="F783">
        <v>60</v>
      </c>
      <c r="G783" t="s">
        <v>1838</v>
      </c>
      <c r="H783" t="s">
        <v>17</v>
      </c>
      <c r="I783" t="s">
        <v>90</v>
      </c>
      <c r="J783" t="s">
        <v>91</v>
      </c>
      <c r="K783" t="s">
        <v>60</v>
      </c>
      <c r="L783" t="s">
        <v>46</v>
      </c>
    </row>
    <row r="784" spans="1:12" x14ac:dyDescent="0.3">
      <c r="A784" t="s">
        <v>1965</v>
      </c>
      <c r="B784" t="s">
        <v>1840</v>
      </c>
      <c r="C784" t="s">
        <v>1841</v>
      </c>
      <c r="D784" t="s">
        <v>281</v>
      </c>
      <c r="E784">
        <v>11</v>
      </c>
      <c r="F784">
        <v>65</v>
      </c>
      <c r="G784" t="s">
        <v>598</v>
      </c>
      <c r="H784" t="s">
        <v>17</v>
      </c>
      <c r="I784" t="s">
        <v>18</v>
      </c>
      <c r="J784" t="s">
        <v>65</v>
      </c>
      <c r="K784" t="s">
        <v>30</v>
      </c>
      <c r="L784" t="s">
        <v>21</v>
      </c>
    </row>
    <row r="785" spans="1:12" x14ac:dyDescent="0.3">
      <c r="A785" t="s">
        <v>1967</v>
      </c>
      <c r="B785" t="s">
        <v>1843</v>
      </c>
      <c r="C785" t="s">
        <v>19</v>
      </c>
      <c r="D785" t="s">
        <v>146</v>
      </c>
      <c r="E785">
        <v>20</v>
      </c>
      <c r="F785">
        <v>85</v>
      </c>
      <c r="G785" t="s">
        <v>470</v>
      </c>
      <c r="H785" t="s">
        <v>19</v>
      </c>
      <c r="I785" t="s">
        <v>19</v>
      </c>
      <c r="J785" t="s">
        <v>226</v>
      </c>
      <c r="K785" t="s">
        <v>45</v>
      </c>
      <c r="L785" t="s">
        <v>31</v>
      </c>
    </row>
    <row r="786" spans="1:12" x14ac:dyDescent="0.3">
      <c r="A786" t="s">
        <v>1969</v>
      </c>
      <c r="B786" t="s">
        <v>1607</v>
      </c>
      <c r="C786" t="s">
        <v>19</v>
      </c>
      <c r="D786" t="s">
        <v>15</v>
      </c>
      <c r="E786">
        <v>1</v>
      </c>
      <c r="F786">
        <v>45</v>
      </c>
      <c r="G786" t="s">
        <v>1845</v>
      </c>
      <c r="H786" t="s">
        <v>17</v>
      </c>
      <c r="I786" t="s">
        <v>18</v>
      </c>
      <c r="J786" t="s">
        <v>65</v>
      </c>
      <c r="K786" t="s">
        <v>60</v>
      </c>
      <c r="L786" t="s">
        <v>31</v>
      </c>
    </row>
    <row r="787" spans="1:12" x14ac:dyDescent="0.3">
      <c r="A787" t="s">
        <v>1970</v>
      </c>
      <c r="B787" t="s">
        <v>1847</v>
      </c>
      <c r="C787" t="s">
        <v>145</v>
      </c>
      <c r="D787" t="s">
        <v>50</v>
      </c>
      <c r="E787">
        <v>15</v>
      </c>
      <c r="F787">
        <v>65</v>
      </c>
      <c r="G787" t="s">
        <v>157</v>
      </c>
      <c r="H787" t="s">
        <v>19</v>
      </c>
      <c r="I787" t="s">
        <v>71</v>
      </c>
      <c r="J787" t="s">
        <v>72</v>
      </c>
      <c r="K787" t="s">
        <v>73</v>
      </c>
      <c r="L787" t="s">
        <v>21</v>
      </c>
    </row>
    <row r="788" spans="1:12" x14ac:dyDescent="0.3">
      <c r="A788" t="s">
        <v>1971</v>
      </c>
      <c r="B788" t="s">
        <v>1849</v>
      </c>
      <c r="C788" t="s">
        <v>1769</v>
      </c>
      <c r="D788" t="s">
        <v>15</v>
      </c>
      <c r="E788" t="s">
        <v>19</v>
      </c>
      <c r="F788">
        <v>50</v>
      </c>
      <c r="G788" t="s">
        <v>293</v>
      </c>
      <c r="H788" t="s">
        <v>37</v>
      </c>
      <c r="I788" t="s">
        <v>83</v>
      </c>
      <c r="J788" t="s">
        <v>84</v>
      </c>
      <c r="K788" t="s">
        <v>158</v>
      </c>
      <c r="L788" t="s">
        <v>21</v>
      </c>
    </row>
    <row r="789" spans="1:12" x14ac:dyDescent="0.3">
      <c r="A789" t="s">
        <v>1973</v>
      </c>
      <c r="B789" t="s">
        <v>1851</v>
      </c>
      <c r="C789" t="s">
        <v>329</v>
      </c>
      <c r="D789" t="s">
        <v>169</v>
      </c>
      <c r="E789">
        <v>3</v>
      </c>
      <c r="F789">
        <v>80</v>
      </c>
      <c r="G789" t="s">
        <v>1019</v>
      </c>
      <c r="H789" t="s">
        <v>70</v>
      </c>
      <c r="I789" t="s">
        <v>71</v>
      </c>
      <c r="J789" t="s">
        <v>72</v>
      </c>
      <c r="K789" t="s">
        <v>73</v>
      </c>
      <c r="L789" t="s">
        <v>21</v>
      </c>
    </row>
    <row r="790" spans="1:12" x14ac:dyDescent="0.3">
      <c r="A790" t="s">
        <v>1975</v>
      </c>
      <c r="B790" t="s">
        <v>1853</v>
      </c>
      <c r="C790" t="s">
        <v>850</v>
      </c>
      <c r="D790" t="s">
        <v>15</v>
      </c>
      <c r="E790">
        <v>20</v>
      </c>
      <c r="F790">
        <v>55</v>
      </c>
      <c r="G790" t="s">
        <v>309</v>
      </c>
      <c r="H790" t="s">
        <v>27</v>
      </c>
      <c r="I790" t="s">
        <v>100</v>
      </c>
      <c r="J790" t="s">
        <v>19</v>
      </c>
      <c r="K790" t="s">
        <v>20</v>
      </c>
      <c r="L790" t="s">
        <v>21</v>
      </c>
    </row>
    <row r="791" spans="1:12" x14ac:dyDescent="0.3">
      <c r="A791" t="s">
        <v>1977</v>
      </c>
      <c r="B791" t="s">
        <v>1855</v>
      </c>
      <c r="C791" t="s">
        <v>140</v>
      </c>
      <c r="D791" t="s">
        <v>50</v>
      </c>
      <c r="E791">
        <v>16</v>
      </c>
      <c r="F791">
        <v>65</v>
      </c>
      <c r="G791" t="s">
        <v>388</v>
      </c>
      <c r="H791" t="s">
        <v>70</v>
      </c>
      <c r="I791" t="s">
        <v>151</v>
      </c>
      <c r="J791" t="s">
        <v>1201</v>
      </c>
      <c r="K791" t="s">
        <v>30</v>
      </c>
      <c r="L791" t="s">
        <v>21</v>
      </c>
    </row>
    <row r="792" spans="1:12" x14ac:dyDescent="0.3">
      <c r="A792" t="s">
        <v>1980</v>
      </c>
      <c r="B792" t="s">
        <v>1857</v>
      </c>
      <c r="C792" t="s">
        <v>42</v>
      </c>
      <c r="D792" t="s">
        <v>146</v>
      </c>
      <c r="E792">
        <v>2</v>
      </c>
      <c r="F792">
        <v>90</v>
      </c>
      <c r="G792" t="s">
        <v>26</v>
      </c>
      <c r="H792" t="s">
        <v>27</v>
      </c>
      <c r="I792" t="s">
        <v>100</v>
      </c>
      <c r="J792" t="s">
        <v>101</v>
      </c>
      <c r="K792" t="s">
        <v>30</v>
      </c>
      <c r="L792" t="s">
        <v>19</v>
      </c>
    </row>
    <row r="793" spans="1:12" x14ac:dyDescent="0.3">
      <c r="A793" t="s">
        <v>1982</v>
      </c>
      <c r="B793" t="s">
        <v>1178</v>
      </c>
      <c r="C793" t="s">
        <v>1719</v>
      </c>
      <c r="D793" t="s">
        <v>15</v>
      </c>
      <c r="E793">
        <v>15</v>
      </c>
      <c r="F793">
        <v>50</v>
      </c>
      <c r="G793" t="s">
        <v>944</v>
      </c>
      <c r="H793" t="s">
        <v>70</v>
      </c>
      <c r="I793" t="s">
        <v>19</v>
      </c>
      <c r="J793" t="s">
        <v>19</v>
      </c>
      <c r="K793" t="s">
        <v>73</v>
      </c>
      <c r="L793" t="s">
        <v>46</v>
      </c>
    </row>
    <row r="794" spans="1:12" x14ac:dyDescent="0.3">
      <c r="A794" t="s">
        <v>1984</v>
      </c>
      <c r="B794" t="s">
        <v>1859</v>
      </c>
      <c r="C794" t="s">
        <v>98</v>
      </c>
      <c r="D794" t="s">
        <v>146</v>
      </c>
      <c r="E794">
        <v>5</v>
      </c>
      <c r="F794">
        <v>85</v>
      </c>
      <c r="G794" t="s">
        <v>493</v>
      </c>
      <c r="H794" t="s">
        <v>19</v>
      </c>
      <c r="I794" t="s">
        <v>83</v>
      </c>
      <c r="J794" t="s">
        <v>84</v>
      </c>
      <c r="K794" t="s">
        <v>158</v>
      </c>
      <c r="L794" t="s">
        <v>46</v>
      </c>
    </row>
    <row r="795" spans="1:12" x14ac:dyDescent="0.3">
      <c r="A795" t="s">
        <v>1985</v>
      </c>
      <c r="B795" t="s">
        <v>1861</v>
      </c>
      <c r="C795" t="s">
        <v>208</v>
      </c>
      <c r="D795" t="s">
        <v>1210</v>
      </c>
      <c r="E795">
        <v>16</v>
      </c>
      <c r="F795">
        <v>70</v>
      </c>
      <c r="G795" t="s">
        <v>178</v>
      </c>
      <c r="H795" t="s">
        <v>27</v>
      </c>
      <c r="I795" t="s">
        <v>52</v>
      </c>
      <c r="J795" t="s">
        <v>79</v>
      </c>
      <c r="K795" t="s">
        <v>54</v>
      </c>
      <c r="L795" t="s">
        <v>31</v>
      </c>
    </row>
    <row r="796" spans="1:12" x14ac:dyDescent="0.3">
      <c r="A796" t="s">
        <v>2175</v>
      </c>
      <c r="B796" t="s">
        <v>1863</v>
      </c>
      <c r="C796" t="s">
        <v>1208</v>
      </c>
      <c r="D796" t="s">
        <v>94</v>
      </c>
      <c r="E796">
        <v>14</v>
      </c>
      <c r="F796">
        <v>68</v>
      </c>
      <c r="G796" t="s">
        <v>313</v>
      </c>
      <c r="H796" t="s">
        <v>70</v>
      </c>
      <c r="I796" t="s">
        <v>151</v>
      </c>
      <c r="J796" t="s">
        <v>152</v>
      </c>
      <c r="K796" t="s">
        <v>153</v>
      </c>
      <c r="L796" t="s">
        <v>21</v>
      </c>
    </row>
    <row r="797" spans="1:12" x14ac:dyDescent="0.3">
      <c r="A797" t="s">
        <v>1989</v>
      </c>
      <c r="B797" t="s">
        <v>932</v>
      </c>
      <c r="C797" t="s">
        <v>839</v>
      </c>
      <c r="D797" t="s">
        <v>94</v>
      </c>
      <c r="E797">
        <v>4</v>
      </c>
      <c r="F797">
        <v>73</v>
      </c>
      <c r="G797" t="s">
        <v>19</v>
      </c>
      <c r="H797" t="s">
        <v>27</v>
      </c>
      <c r="I797" t="s">
        <v>100</v>
      </c>
      <c r="J797" t="s">
        <v>101</v>
      </c>
      <c r="K797" t="s">
        <v>45</v>
      </c>
      <c r="L797" t="s">
        <v>31</v>
      </c>
    </row>
    <row r="798" spans="1:12" x14ac:dyDescent="0.3">
      <c r="A798" t="s">
        <v>1991</v>
      </c>
      <c r="B798" t="s">
        <v>1866</v>
      </c>
      <c r="C798" t="s">
        <v>1867</v>
      </c>
      <c r="D798" t="s">
        <v>15</v>
      </c>
      <c r="E798">
        <v>4</v>
      </c>
      <c r="F798">
        <v>50</v>
      </c>
      <c r="G798" t="s">
        <v>1060</v>
      </c>
      <c r="H798" t="s">
        <v>70</v>
      </c>
      <c r="I798" t="s">
        <v>183</v>
      </c>
      <c r="J798" t="s">
        <v>184</v>
      </c>
      <c r="K798" t="s">
        <v>60</v>
      </c>
      <c r="L798" t="s">
        <v>31</v>
      </c>
    </row>
    <row r="799" spans="1:12" x14ac:dyDescent="0.3">
      <c r="A799" t="s">
        <v>1993</v>
      </c>
      <c r="B799" t="s">
        <v>1247</v>
      </c>
      <c r="C799" t="s">
        <v>42</v>
      </c>
      <c r="D799" t="s">
        <v>281</v>
      </c>
      <c r="E799">
        <v>17</v>
      </c>
      <c r="F799">
        <v>70</v>
      </c>
      <c r="G799" t="s">
        <v>688</v>
      </c>
      <c r="H799" t="s">
        <v>37</v>
      </c>
      <c r="I799" t="s">
        <v>83</v>
      </c>
      <c r="J799" t="s">
        <v>84</v>
      </c>
      <c r="K799" t="s">
        <v>158</v>
      </c>
      <c r="L799" t="s">
        <v>31</v>
      </c>
    </row>
    <row r="800" spans="1:12" x14ac:dyDescent="0.3">
      <c r="A800" t="s">
        <v>1995</v>
      </c>
      <c r="B800" t="s">
        <v>1869</v>
      </c>
      <c r="C800" t="s">
        <v>1314</v>
      </c>
      <c r="D800" t="s">
        <v>281</v>
      </c>
      <c r="E800">
        <v>1</v>
      </c>
      <c r="F800">
        <v>70</v>
      </c>
      <c r="G800" t="s">
        <v>1870</v>
      </c>
      <c r="H800" t="s">
        <v>70</v>
      </c>
      <c r="I800" t="s">
        <v>71</v>
      </c>
      <c r="J800" t="s">
        <v>72</v>
      </c>
      <c r="K800" t="s">
        <v>73</v>
      </c>
      <c r="L800" t="s">
        <v>31</v>
      </c>
    </row>
    <row r="801" spans="1:12" x14ac:dyDescent="0.3">
      <c r="A801" t="s">
        <v>1996</v>
      </c>
      <c r="B801" t="s">
        <v>1872</v>
      </c>
      <c r="C801" t="s">
        <v>658</v>
      </c>
      <c r="D801" t="s">
        <v>15</v>
      </c>
      <c r="E801">
        <v>8</v>
      </c>
      <c r="F801">
        <v>45</v>
      </c>
      <c r="G801" t="s">
        <v>247</v>
      </c>
      <c r="H801" t="s">
        <v>17</v>
      </c>
      <c r="I801" t="s">
        <v>18</v>
      </c>
      <c r="J801" t="s">
        <v>65</v>
      </c>
      <c r="K801" t="s">
        <v>60</v>
      </c>
      <c r="L801" t="s">
        <v>21</v>
      </c>
    </row>
    <row r="802" spans="1:12" x14ac:dyDescent="0.3">
      <c r="A802" t="s">
        <v>1997</v>
      </c>
      <c r="B802" t="s">
        <v>1874</v>
      </c>
      <c r="C802" t="s">
        <v>1875</v>
      </c>
      <c r="D802" t="s">
        <v>43</v>
      </c>
      <c r="E802">
        <v>12</v>
      </c>
      <c r="F802">
        <v>95</v>
      </c>
      <c r="G802" t="s">
        <v>19</v>
      </c>
      <c r="H802" t="s">
        <v>70</v>
      </c>
      <c r="I802" t="s">
        <v>151</v>
      </c>
      <c r="J802" t="s">
        <v>152</v>
      </c>
      <c r="K802" t="s">
        <v>153</v>
      </c>
      <c r="L802" t="s">
        <v>345</v>
      </c>
    </row>
    <row r="803" spans="1:12" x14ac:dyDescent="0.3">
      <c r="A803" t="s">
        <v>1999</v>
      </c>
      <c r="B803" t="s">
        <v>1874</v>
      </c>
      <c r="C803" t="s">
        <v>1875</v>
      </c>
      <c r="D803" t="s">
        <v>43</v>
      </c>
      <c r="E803">
        <v>12</v>
      </c>
      <c r="F803">
        <v>95</v>
      </c>
      <c r="G803" t="s">
        <v>340</v>
      </c>
      <c r="H803" t="s">
        <v>70</v>
      </c>
      <c r="I803" t="s">
        <v>151</v>
      </c>
      <c r="J803" t="s">
        <v>152</v>
      </c>
      <c r="K803" t="s">
        <v>153</v>
      </c>
      <c r="L803" t="s">
        <v>46</v>
      </c>
    </row>
    <row r="804" spans="1:12" x14ac:dyDescent="0.3">
      <c r="A804" t="s">
        <v>2001</v>
      </c>
      <c r="B804" t="s">
        <v>1877</v>
      </c>
      <c r="C804" t="s">
        <v>160</v>
      </c>
      <c r="D804" t="s">
        <v>19</v>
      </c>
      <c r="E804">
        <v>9</v>
      </c>
      <c r="F804">
        <v>68</v>
      </c>
      <c r="G804" t="s">
        <v>1878</v>
      </c>
      <c r="H804" t="s">
        <v>70</v>
      </c>
      <c r="I804" t="s">
        <v>71</v>
      </c>
      <c r="J804" t="s">
        <v>72</v>
      </c>
      <c r="K804" t="s">
        <v>73</v>
      </c>
      <c r="L804" t="s">
        <v>31</v>
      </c>
    </row>
    <row r="805" spans="1:12" x14ac:dyDescent="0.3">
      <c r="A805" t="s">
        <v>2003</v>
      </c>
      <c r="B805" t="s">
        <v>367</v>
      </c>
      <c r="C805" t="s">
        <v>621</v>
      </c>
      <c r="D805" t="s">
        <v>146</v>
      </c>
      <c r="E805">
        <v>15</v>
      </c>
      <c r="F805">
        <v>85</v>
      </c>
      <c r="G805" t="s">
        <v>595</v>
      </c>
      <c r="H805" t="s">
        <v>70</v>
      </c>
      <c r="I805" t="s">
        <v>183</v>
      </c>
      <c r="J805" t="s">
        <v>294</v>
      </c>
      <c r="K805" t="s">
        <v>66</v>
      </c>
      <c r="L805" t="s">
        <v>46</v>
      </c>
    </row>
    <row r="806" spans="1:12" x14ac:dyDescent="0.3">
      <c r="A806" t="s">
        <v>2005</v>
      </c>
      <c r="B806" t="s">
        <v>629</v>
      </c>
      <c r="C806" t="s">
        <v>1489</v>
      </c>
      <c r="D806" t="s">
        <v>25</v>
      </c>
      <c r="E806">
        <v>4</v>
      </c>
      <c r="F806">
        <v>60</v>
      </c>
      <c r="G806" t="s">
        <v>1019</v>
      </c>
      <c r="H806" t="s">
        <v>27</v>
      </c>
      <c r="I806" t="s">
        <v>100</v>
      </c>
      <c r="J806" t="s">
        <v>101</v>
      </c>
      <c r="K806" t="s">
        <v>30</v>
      </c>
      <c r="L806" t="s">
        <v>46</v>
      </c>
    </row>
    <row r="807" spans="1:12" x14ac:dyDescent="0.3">
      <c r="A807" t="s">
        <v>2007</v>
      </c>
      <c r="B807" t="s">
        <v>1674</v>
      </c>
      <c r="C807" t="s">
        <v>120</v>
      </c>
      <c r="D807" t="s">
        <v>429</v>
      </c>
      <c r="E807">
        <v>12</v>
      </c>
      <c r="F807">
        <v>53</v>
      </c>
      <c r="G807" t="s">
        <v>1882</v>
      </c>
      <c r="H807" t="s">
        <v>17</v>
      </c>
      <c r="I807" t="s">
        <v>1083</v>
      </c>
      <c r="J807" t="s">
        <v>65</v>
      </c>
      <c r="K807" t="s">
        <v>60</v>
      </c>
      <c r="L807" t="s">
        <v>21</v>
      </c>
    </row>
    <row r="808" spans="1:12" x14ac:dyDescent="0.3">
      <c r="A808" t="s">
        <v>2009</v>
      </c>
      <c r="B808" t="s">
        <v>1884</v>
      </c>
      <c r="C808" t="s">
        <v>156</v>
      </c>
      <c r="D808" t="s">
        <v>281</v>
      </c>
      <c r="E808">
        <v>18</v>
      </c>
      <c r="F808">
        <v>70</v>
      </c>
      <c r="G808" t="s">
        <v>760</v>
      </c>
      <c r="H808" t="s">
        <v>37</v>
      </c>
      <c r="I808" t="s">
        <v>225</v>
      </c>
      <c r="J808" t="s">
        <v>682</v>
      </c>
      <c r="K808" t="s">
        <v>30</v>
      </c>
      <c r="L808" t="s">
        <v>140</v>
      </c>
    </row>
    <row r="809" spans="1:12" x14ac:dyDescent="0.3">
      <c r="A809" t="s">
        <v>2012</v>
      </c>
      <c r="B809" t="s">
        <v>1808</v>
      </c>
      <c r="C809" t="s">
        <v>507</v>
      </c>
      <c r="D809" t="s">
        <v>125</v>
      </c>
      <c r="E809">
        <v>18</v>
      </c>
      <c r="F809">
        <v>63</v>
      </c>
      <c r="G809" t="s">
        <v>126</v>
      </c>
      <c r="H809" t="s">
        <v>27</v>
      </c>
      <c r="I809" t="s">
        <v>100</v>
      </c>
      <c r="J809" t="s">
        <v>101</v>
      </c>
      <c r="K809" t="s">
        <v>30</v>
      </c>
      <c r="L809" t="s">
        <v>21</v>
      </c>
    </row>
    <row r="810" spans="1:12" x14ac:dyDescent="0.3">
      <c r="A810" t="s">
        <v>2176</v>
      </c>
      <c r="B810" t="s">
        <v>1887</v>
      </c>
      <c r="C810" t="s">
        <v>1888</v>
      </c>
      <c r="D810" t="s">
        <v>50</v>
      </c>
      <c r="E810">
        <v>6</v>
      </c>
      <c r="F810">
        <v>60</v>
      </c>
      <c r="G810" t="s">
        <v>247</v>
      </c>
      <c r="H810" t="s">
        <v>17</v>
      </c>
      <c r="I810" t="s">
        <v>18</v>
      </c>
      <c r="J810" t="s">
        <v>65</v>
      </c>
      <c r="K810" t="s">
        <v>2190</v>
      </c>
      <c r="L810" t="s">
        <v>46</v>
      </c>
    </row>
    <row r="811" spans="1:12" x14ac:dyDescent="0.3">
      <c r="A811" t="s">
        <v>2014</v>
      </c>
      <c r="B811" t="s">
        <v>1889</v>
      </c>
      <c r="C811" t="s">
        <v>19</v>
      </c>
      <c r="D811" t="s">
        <v>15</v>
      </c>
      <c r="E811">
        <v>18</v>
      </c>
      <c r="F811">
        <v>45</v>
      </c>
      <c r="G811" t="s">
        <v>16</v>
      </c>
      <c r="H811" t="s">
        <v>17</v>
      </c>
      <c r="I811" t="s">
        <v>18</v>
      </c>
      <c r="J811" t="s">
        <v>65</v>
      </c>
      <c r="K811" t="s">
        <v>30</v>
      </c>
      <c r="L811" t="s">
        <v>46</v>
      </c>
    </row>
    <row r="812" spans="1:12" x14ac:dyDescent="0.3">
      <c r="A812" t="s">
        <v>2016</v>
      </c>
      <c r="B812" t="s">
        <v>1891</v>
      </c>
      <c r="C812" t="s">
        <v>256</v>
      </c>
      <c r="D812" t="s">
        <v>169</v>
      </c>
      <c r="E812">
        <v>19</v>
      </c>
      <c r="F812">
        <v>75</v>
      </c>
      <c r="G812" t="s">
        <v>170</v>
      </c>
      <c r="H812" t="s">
        <v>17</v>
      </c>
      <c r="I812" t="s">
        <v>90</v>
      </c>
      <c r="J812" t="s">
        <v>91</v>
      </c>
      <c r="K812" t="s">
        <v>66</v>
      </c>
      <c r="L812" t="s">
        <v>31</v>
      </c>
    </row>
    <row r="813" spans="1:12" x14ac:dyDescent="0.3">
      <c r="A813" t="s">
        <v>2019</v>
      </c>
      <c r="B813" t="s">
        <v>1892</v>
      </c>
      <c r="C813" t="s">
        <v>1622</v>
      </c>
      <c r="D813" t="s">
        <v>281</v>
      </c>
      <c r="E813">
        <v>15</v>
      </c>
      <c r="F813">
        <v>75</v>
      </c>
      <c r="G813" t="s">
        <v>1893</v>
      </c>
      <c r="H813" t="s">
        <v>27</v>
      </c>
      <c r="I813" t="s">
        <v>100</v>
      </c>
      <c r="J813" t="s">
        <v>101</v>
      </c>
      <c r="K813" t="s">
        <v>60</v>
      </c>
      <c r="L813" t="s">
        <v>46</v>
      </c>
    </row>
    <row r="814" spans="1:12" x14ac:dyDescent="0.3">
      <c r="A814" t="s">
        <v>2177</v>
      </c>
      <c r="B814" t="s">
        <v>1895</v>
      </c>
      <c r="C814" t="s">
        <v>567</v>
      </c>
      <c r="D814" t="s">
        <v>125</v>
      </c>
      <c r="E814">
        <v>18</v>
      </c>
      <c r="F814">
        <v>63</v>
      </c>
      <c r="G814" t="s">
        <v>126</v>
      </c>
      <c r="H814" t="s">
        <v>27</v>
      </c>
      <c r="I814" t="s">
        <v>28</v>
      </c>
      <c r="J814" t="s">
        <v>29</v>
      </c>
      <c r="K814" t="s">
        <v>45</v>
      </c>
      <c r="L814" t="s">
        <v>21</v>
      </c>
    </row>
    <row r="815" spans="1:12" x14ac:dyDescent="0.3">
      <c r="A815" t="s">
        <v>2021</v>
      </c>
      <c r="B815" t="s">
        <v>1595</v>
      </c>
      <c r="C815" t="s">
        <v>1299</v>
      </c>
      <c r="D815" t="s">
        <v>25</v>
      </c>
      <c r="E815">
        <v>20</v>
      </c>
      <c r="F815">
        <v>60</v>
      </c>
      <c r="G815" t="s">
        <v>182</v>
      </c>
      <c r="H815" t="s">
        <v>19</v>
      </c>
      <c r="I815" t="s">
        <v>100</v>
      </c>
      <c r="J815" t="s">
        <v>101</v>
      </c>
      <c r="K815" t="s">
        <v>20</v>
      </c>
      <c r="L815" t="s">
        <v>46</v>
      </c>
    </row>
    <row r="816" spans="1:12" x14ac:dyDescent="0.3">
      <c r="A816" t="s">
        <v>2023</v>
      </c>
      <c r="B816" t="s">
        <v>551</v>
      </c>
      <c r="C816" t="s">
        <v>627</v>
      </c>
      <c r="D816" t="s">
        <v>125</v>
      </c>
      <c r="E816">
        <v>15</v>
      </c>
      <c r="F816">
        <v>58</v>
      </c>
      <c r="G816" t="s">
        <v>556</v>
      </c>
      <c r="H816" t="s">
        <v>37</v>
      </c>
      <c r="I816" t="s">
        <v>83</v>
      </c>
      <c r="J816" t="s">
        <v>84</v>
      </c>
      <c r="K816" t="s">
        <v>158</v>
      </c>
      <c r="L816" t="s">
        <v>31</v>
      </c>
    </row>
    <row r="817" spans="1:12" x14ac:dyDescent="0.3">
      <c r="A817" t="s">
        <v>2026</v>
      </c>
      <c r="B817" t="s">
        <v>1899</v>
      </c>
      <c r="C817" t="s">
        <v>1002</v>
      </c>
      <c r="D817" t="s">
        <v>25</v>
      </c>
      <c r="E817">
        <v>16</v>
      </c>
      <c r="F817">
        <v>55</v>
      </c>
      <c r="G817" t="s">
        <v>710</v>
      </c>
      <c r="H817" t="s">
        <v>37</v>
      </c>
      <c r="I817" t="s">
        <v>38</v>
      </c>
      <c r="J817" t="s">
        <v>19</v>
      </c>
      <c r="K817" t="s">
        <v>20</v>
      </c>
      <c r="L817" t="s">
        <v>21</v>
      </c>
    </row>
    <row r="818" spans="1:12" x14ac:dyDescent="0.3">
      <c r="A818" t="s">
        <v>2027</v>
      </c>
      <c r="B818" t="s">
        <v>1901</v>
      </c>
      <c r="C818" t="s">
        <v>149</v>
      </c>
      <c r="D818" t="s">
        <v>35</v>
      </c>
      <c r="E818">
        <v>1</v>
      </c>
      <c r="F818">
        <v>55</v>
      </c>
      <c r="G818" t="s">
        <v>857</v>
      </c>
      <c r="H818" t="s">
        <v>17</v>
      </c>
      <c r="I818" t="s">
        <v>18</v>
      </c>
      <c r="J818" t="s">
        <v>65</v>
      </c>
      <c r="K818" t="s">
        <v>66</v>
      </c>
      <c r="L818" t="s">
        <v>46</v>
      </c>
    </row>
    <row r="819" spans="1:12" x14ac:dyDescent="0.3">
      <c r="A819" t="s">
        <v>2178</v>
      </c>
      <c r="B819" t="s">
        <v>904</v>
      </c>
      <c r="C819" t="s">
        <v>403</v>
      </c>
      <c r="D819" t="s">
        <v>169</v>
      </c>
      <c r="E819">
        <v>11</v>
      </c>
      <c r="F819">
        <v>80</v>
      </c>
      <c r="G819" t="s">
        <v>710</v>
      </c>
      <c r="H819" t="s">
        <v>70</v>
      </c>
      <c r="I819" t="s">
        <v>71</v>
      </c>
      <c r="J819" t="s">
        <v>72</v>
      </c>
      <c r="K819" t="s">
        <v>73</v>
      </c>
      <c r="L819" t="s">
        <v>31</v>
      </c>
    </row>
    <row r="820" spans="1:12" x14ac:dyDescent="0.3">
      <c r="A820" t="s">
        <v>2030</v>
      </c>
      <c r="B820" t="s">
        <v>1904</v>
      </c>
      <c r="C820" t="s">
        <v>525</v>
      </c>
      <c r="D820" t="s">
        <v>35</v>
      </c>
      <c r="E820">
        <v>17</v>
      </c>
      <c r="F820">
        <v>60</v>
      </c>
      <c r="G820" t="s">
        <v>662</v>
      </c>
      <c r="H820" t="s">
        <v>70</v>
      </c>
      <c r="I820" t="s">
        <v>71</v>
      </c>
      <c r="J820" t="s">
        <v>72</v>
      </c>
      <c r="K820" t="s">
        <v>73</v>
      </c>
      <c r="L820" t="s">
        <v>21</v>
      </c>
    </row>
    <row r="821" spans="1:12" x14ac:dyDescent="0.3">
      <c r="A821" t="s">
        <v>2031</v>
      </c>
      <c r="B821" t="s">
        <v>1904</v>
      </c>
      <c r="C821" t="s">
        <v>525</v>
      </c>
      <c r="D821" t="s">
        <v>35</v>
      </c>
      <c r="E821">
        <v>17</v>
      </c>
      <c r="F821">
        <v>60</v>
      </c>
      <c r="G821" t="s">
        <v>662</v>
      </c>
      <c r="H821" t="s">
        <v>70</v>
      </c>
      <c r="I821" t="s">
        <v>71</v>
      </c>
      <c r="J821" t="s">
        <v>72</v>
      </c>
      <c r="K821" t="s">
        <v>73</v>
      </c>
      <c r="L821" t="s">
        <v>21</v>
      </c>
    </row>
    <row r="822" spans="1:12" x14ac:dyDescent="0.3">
      <c r="A822" t="s">
        <v>2033</v>
      </c>
      <c r="B822" t="s">
        <v>1906</v>
      </c>
      <c r="C822" t="s">
        <v>204</v>
      </c>
      <c r="D822" t="s">
        <v>146</v>
      </c>
      <c r="E822">
        <v>18</v>
      </c>
      <c r="F822">
        <v>90</v>
      </c>
      <c r="G822" t="s">
        <v>1632</v>
      </c>
      <c r="H822" t="s">
        <v>27</v>
      </c>
      <c r="I822" t="s">
        <v>100</v>
      </c>
      <c r="J822" t="s">
        <v>101</v>
      </c>
      <c r="K822" t="s">
        <v>140</v>
      </c>
      <c r="L822" t="s">
        <v>31</v>
      </c>
    </row>
    <row r="823" spans="1:12" x14ac:dyDescent="0.3">
      <c r="A823" t="s">
        <v>2034</v>
      </c>
      <c r="B823" t="s">
        <v>1590</v>
      </c>
      <c r="C823" t="s">
        <v>630</v>
      </c>
      <c r="D823" t="s">
        <v>169</v>
      </c>
      <c r="E823">
        <v>16</v>
      </c>
      <c r="F823">
        <v>80</v>
      </c>
      <c r="G823" t="s">
        <v>344</v>
      </c>
      <c r="H823" t="s">
        <v>70</v>
      </c>
      <c r="I823" t="s">
        <v>183</v>
      </c>
      <c r="J823" t="s">
        <v>184</v>
      </c>
      <c r="K823" t="s">
        <v>45</v>
      </c>
      <c r="L823" t="s">
        <v>19</v>
      </c>
    </row>
    <row r="824" spans="1:12" x14ac:dyDescent="0.3">
      <c r="A824" t="s">
        <v>2035</v>
      </c>
      <c r="B824" t="s">
        <v>452</v>
      </c>
      <c r="C824" t="s">
        <v>1909</v>
      </c>
      <c r="D824" t="s">
        <v>125</v>
      </c>
      <c r="E824">
        <v>20</v>
      </c>
      <c r="F824">
        <v>58</v>
      </c>
      <c r="G824" t="s">
        <v>250</v>
      </c>
      <c r="H824" t="s">
        <v>70</v>
      </c>
      <c r="I824" t="s">
        <v>183</v>
      </c>
      <c r="J824" t="s">
        <v>184</v>
      </c>
      <c r="K824" t="s">
        <v>60</v>
      </c>
      <c r="L824" t="s">
        <v>46</v>
      </c>
    </row>
    <row r="825" spans="1:12" x14ac:dyDescent="0.3">
      <c r="A825" t="s">
        <v>2037</v>
      </c>
      <c r="B825" t="s">
        <v>1911</v>
      </c>
      <c r="C825" t="s">
        <v>887</v>
      </c>
      <c r="D825" t="s">
        <v>15</v>
      </c>
      <c r="E825">
        <v>20</v>
      </c>
      <c r="F825">
        <v>50</v>
      </c>
      <c r="G825" t="s">
        <v>948</v>
      </c>
      <c r="H825" t="s">
        <v>70</v>
      </c>
      <c r="I825" t="s">
        <v>151</v>
      </c>
      <c r="J825" t="s">
        <v>152</v>
      </c>
      <c r="K825" t="s">
        <v>140</v>
      </c>
      <c r="L825" t="s">
        <v>31</v>
      </c>
    </row>
    <row r="826" spans="1:12" x14ac:dyDescent="0.3">
      <c r="A826" t="s">
        <v>2038</v>
      </c>
      <c r="B826" t="s">
        <v>1913</v>
      </c>
      <c r="C826" t="s">
        <v>504</v>
      </c>
      <c r="D826" t="s">
        <v>43</v>
      </c>
      <c r="E826">
        <v>3</v>
      </c>
      <c r="F826">
        <v>100</v>
      </c>
      <c r="G826" t="s">
        <v>446</v>
      </c>
      <c r="H826" t="s">
        <v>27</v>
      </c>
      <c r="I826" t="s">
        <v>298</v>
      </c>
      <c r="J826" t="s">
        <v>101</v>
      </c>
      <c r="K826" t="s">
        <v>20</v>
      </c>
      <c r="L826" t="s">
        <v>46</v>
      </c>
    </row>
    <row r="827" spans="1:12" x14ac:dyDescent="0.3">
      <c r="A827" t="s">
        <v>2040</v>
      </c>
      <c r="B827" t="s">
        <v>889</v>
      </c>
      <c r="C827" t="s">
        <v>694</v>
      </c>
      <c r="D827" t="s">
        <v>94</v>
      </c>
      <c r="E827">
        <v>18</v>
      </c>
      <c r="F827">
        <v>68</v>
      </c>
      <c r="G827" t="s">
        <v>1915</v>
      </c>
      <c r="H827" t="s">
        <v>70</v>
      </c>
      <c r="I827" t="s">
        <v>151</v>
      </c>
      <c r="J827" t="s">
        <v>188</v>
      </c>
      <c r="K827" t="s">
        <v>60</v>
      </c>
      <c r="L827" t="s">
        <v>31</v>
      </c>
    </row>
    <row r="828" spans="1:12" x14ac:dyDescent="0.3">
      <c r="A828" t="s">
        <v>2041</v>
      </c>
      <c r="B828" t="s">
        <v>1207</v>
      </c>
      <c r="C828" t="s">
        <v>1916</v>
      </c>
      <c r="D828" t="s">
        <v>94</v>
      </c>
      <c r="E828">
        <v>10</v>
      </c>
      <c r="F828" t="s">
        <v>19</v>
      </c>
      <c r="G828" t="s">
        <v>354</v>
      </c>
      <c r="H828" t="s">
        <v>37</v>
      </c>
      <c r="I828" t="s">
        <v>465</v>
      </c>
      <c r="J828" t="s">
        <v>39</v>
      </c>
      <c r="K828" t="s">
        <v>66</v>
      </c>
      <c r="L828" t="s">
        <v>46</v>
      </c>
    </row>
    <row r="829" spans="1:12" x14ac:dyDescent="0.3">
      <c r="A829" t="s">
        <v>2043</v>
      </c>
      <c r="B829" t="s">
        <v>1918</v>
      </c>
      <c r="C829" t="s">
        <v>1578</v>
      </c>
      <c r="D829" t="s">
        <v>50</v>
      </c>
      <c r="E829">
        <v>4</v>
      </c>
      <c r="F829">
        <v>65</v>
      </c>
      <c r="G829" t="s">
        <v>534</v>
      </c>
      <c r="H829" t="s">
        <v>70</v>
      </c>
      <c r="I829" t="s">
        <v>183</v>
      </c>
      <c r="J829" t="s">
        <v>184</v>
      </c>
      <c r="K829" t="s">
        <v>60</v>
      </c>
      <c r="L829" t="s">
        <v>46</v>
      </c>
    </row>
    <row r="830" spans="1:12" x14ac:dyDescent="0.3">
      <c r="A830" t="s">
        <v>2044</v>
      </c>
      <c r="B830" t="s">
        <v>1920</v>
      </c>
      <c r="C830" t="s">
        <v>1248</v>
      </c>
      <c r="D830" t="s">
        <v>35</v>
      </c>
      <c r="E830">
        <v>6</v>
      </c>
      <c r="F830">
        <v>60</v>
      </c>
      <c r="G830" t="s">
        <v>247</v>
      </c>
      <c r="H830" t="s">
        <v>37</v>
      </c>
      <c r="I830" t="s">
        <v>83</v>
      </c>
      <c r="J830" t="s">
        <v>84</v>
      </c>
      <c r="K830" t="s">
        <v>85</v>
      </c>
      <c r="L830" t="s">
        <v>21</v>
      </c>
    </row>
    <row r="831" spans="1:12" x14ac:dyDescent="0.3">
      <c r="A831" t="s">
        <v>2046</v>
      </c>
      <c r="B831" t="s">
        <v>1922</v>
      </c>
      <c r="C831" t="s">
        <v>1609</v>
      </c>
      <c r="D831" t="s">
        <v>281</v>
      </c>
      <c r="E831">
        <v>14</v>
      </c>
      <c r="F831">
        <v>75</v>
      </c>
      <c r="G831" t="s">
        <v>656</v>
      </c>
      <c r="H831" t="s">
        <v>27</v>
      </c>
      <c r="I831" t="s">
        <v>52</v>
      </c>
      <c r="J831" t="s">
        <v>79</v>
      </c>
      <c r="K831" t="s">
        <v>54</v>
      </c>
      <c r="L831" t="s">
        <v>21</v>
      </c>
    </row>
    <row r="832" spans="1:12" x14ac:dyDescent="0.3">
      <c r="A832" t="s">
        <v>2048</v>
      </c>
      <c r="B832" t="s">
        <v>1923</v>
      </c>
      <c r="C832" t="s">
        <v>1924</v>
      </c>
      <c r="D832" t="s">
        <v>43</v>
      </c>
      <c r="E832">
        <v>9</v>
      </c>
      <c r="F832">
        <v>95</v>
      </c>
      <c r="G832" t="s">
        <v>1575</v>
      </c>
      <c r="H832" t="s">
        <v>37</v>
      </c>
      <c r="I832" t="s">
        <v>225</v>
      </c>
      <c r="J832" t="s">
        <v>226</v>
      </c>
      <c r="K832" t="s">
        <v>66</v>
      </c>
      <c r="L832" t="s">
        <v>31</v>
      </c>
    </row>
    <row r="833" spans="1:12" x14ac:dyDescent="0.3">
      <c r="A833" t="s">
        <v>2179</v>
      </c>
      <c r="B833" t="s">
        <v>1545</v>
      </c>
      <c r="C833" t="s">
        <v>1924</v>
      </c>
      <c r="D833" t="s">
        <v>50</v>
      </c>
      <c r="E833">
        <v>4</v>
      </c>
      <c r="F833">
        <v>60</v>
      </c>
      <c r="G833" t="s">
        <v>1019</v>
      </c>
      <c r="H833" t="s">
        <v>17</v>
      </c>
      <c r="I833" t="s">
        <v>90</v>
      </c>
      <c r="J833" t="s">
        <v>91</v>
      </c>
      <c r="K833" t="s">
        <v>20</v>
      </c>
      <c r="L833" t="s">
        <v>46</v>
      </c>
    </row>
    <row r="834" spans="1:12" x14ac:dyDescent="0.3">
      <c r="A834" t="s">
        <v>2180</v>
      </c>
      <c r="B834" t="s">
        <v>1927</v>
      </c>
      <c r="C834" t="s">
        <v>339</v>
      </c>
      <c r="D834" t="s">
        <v>35</v>
      </c>
      <c r="E834">
        <v>13</v>
      </c>
      <c r="F834">
        <v>65</v>
      </c>
      <c r="G834" t="s">
        <v>1319</v>
      </c>
      <c r="H834" t="s">
        <v>27</v>
      </c>
      <c r="I834" t="s">
        <v>52</v>
      </c>
      <c r="J834" t="s">
        <v>53</v>
      </c>
      <c r="K834" t="s">
        <v>54</v>
      </c>
      <c r="L834" t="s">
        <v>31</v>
      </c>
    </row>
    <row r="835" spans="1:12" x14ac:dyDescent="0.3">
      <c r="A835" t="s">
        <v>2052</v>
      </c>
      <c r="B835" t="s">
        <v>1929</v>
      </c>
      <c r="C835" t="s">
        <v>666</v>
      </c>
      <c r="D835" t="s">
        <v>94</v>
      </c>
      <c r="E835">
        <v>12</v>
      </c>
      <c r="F835">
        <v>73</v>
      </c>
      <c r="G835" t="s">
        <v>1930</v>
      </c>
      <c r="H835" t="s">
        <v>27</v>
      </c>
      <c r="I835" t="s">
        <v>28</v>
      </c>
      <c r="J835" t="s">
        <v>29</v>
      </c>
      <c r="K835" t="s">
        <v>66</v>
      </c>
      <c r="L835" t="s">
        <v>46</v>
      </c>
    </row>
    <row r="836" spans="1:12" x14ac:dyDescent="0.3">
      <c r="A836" t="s">
        <v>2055</v>
      </c>
      <c r="B836" t="s">
        <v>1932</v>
      </c>
      <c r="C836" t="s">
        <v>824</v>
      </c>
      <c r="D836" t="s">
        <v>281</v>
      </c>
      <c r="E836">
        <v>12</v>
      </c>
      <c r="F836">
        <v>70</v>
      </c>
      <c r="G836" t="s">
        <v>739</v>
      </c>
      <c r="H836" t="s">
        <v>37</v>
      </c>
      <c r="I836" t="s">
        <v>83</v>
      </c>
      <c r="J836" t="s">
        <v>84</v>
      </c>
      <c r="K836" t="s">
        <v>158</v>
      </c>
      <c r="L836" t="s">
        <v>46</v>
      </c>
    </row>
    <row r="837" spans="1:12" x14ac:dyDescent="0.3">
      <c r="A837" t="s">
        <v>2057</v>
      </c>
      <c r="B837" t="s">
        <v>1934</v>
      </c>
      <c r="C837" t="s">
        <v>1205</v>
      </c>
      <c r="D837" t="s">
        <v>146</v>
      </c>
      <c r="E837">
        <v>13</v>
      </c>
      <c r="F837">
        <v>85</v>
      </c>
      <c r="G837" t="s">
        <v>202</v>
      </c>
      <c r="H837" t="s">
        <v>37</v>
      </c>
      <c r="I837" t="s">
        <v>83</v>
      </c>
      <c r="J837" t="s">
        <v>84</v>
      </c>
      <c r="K837" t="s">
        <v>158</v>
      </c>
      <c r="L837" t="s">
        <v>21</v>
      </c>
    </row>
    <row r="838" spans="1:12" x14ac:dyDescent="0.3">
      <c r="A838" t="s">
        <v>2059</v>
      </c>
      <c r="B838" t="s">
        <v>871</v>
      </c>
      <c r="C838" t="s">
        <v>1916</v>
      </c>
      <c r="D838" t="s">
        <v>50</v>
      </c>
      <c r="E838">
        <v>14</v>
      </c>
      <c r="F838">
        <v>70</v>
      </c>
      <c r="G838" t="s">
        <v>890</v>
      </c>
      <c r="H838" t="s">
        <v>27</v>
      </c>
      <c r="I838" t="s">
        <v>28</v>
      </c>
      <c r="J838" t="s">
        <v>79</v>
      </c>
      <c r="K838" t="s">
        <v>54</v>
      </c>
      <c r="L838" t="s">
        <v>46</v>
      </c>
    </row>
    <row r="839" spans="1:12" x14ac:dyDescent="0.3">
      <c r="A839" t="s">
        <v>2061</v>
      </c>
      <c r="B839" t="s">
        <v>1936</v>
      </c>
      <c r="C839" t="s">
        <v>468</v>
      </c>
      <c r="D839" t="s">
        <v>125</v>
      </c>
      <c r="E839">
        <v>10</v>
      </c>
      <c r="F839">
        <v>63</v>
      </c>
      <c r="G839" t="s">
        <v>642</v>
      </c>
      <c r="H839" t="s">
        <v>27</v>
      </c>
      <c r="I839" t="s">
        <v>140</v>
      </c>
      <c r="J839" t="s">
        <v>29</v>
      </c>
      <c r="K839" t="s">
        <v>20</v>
      </c>
      <c r="L839" t="s">
        <v>31</v>
      </c>
    </row>
    <row r="840" spans="1:12" x14ac:dyDescent="0.3">
      <c r="A840" t="s">
        <v>2063</v>
      </c>
      <c r="B840" t="s">
        <v>942</v>
      </c>
      <c r="C840" t="s">
        <v>573</v>
      </c>
      <c r="D840" t="s">
        <v>146</v>
      </c>
      <c r="E840">
        <v>11</v>
      </c>
      <c r="F840">
        <v>90</v>
      </c>
      <c r="G840" t="s">
        <v>1629</v>
      </c>
      <c r="H840" t="s">
        <v>27</v>
      </c>
      <c r="I840" t="s">
        <v>100</v>
      </c>
      <c r="J840" t="s">
        <v>101</v>
      </c>
      <c r="K840" t="s">
        <v>66</v>
      </c>
      <c r="L840" t="s">
        <v>31</v>
      </c>
    </row>
    <row r="841" spans="1:12" x14ac:dyDescent="0.3">
      <c r="A841" t="s">
        <v>2065</v>
      </c>
      <c r="B841" t="s">
        <v>1577</v>
      </c>
      <c r="C841" t="s">
        <v>782</v>
      </c>
      <c r="D841" t="s">
        <v>35</v>
      </c>
      <c r="E841">
        <v>3</v>
      </c>
      <c r="F841">
        <v>65</v>
      </c>
      <c r="G841" t="s">
        <v>19</v>
      </c>
      <c r="H841" t="s">
        <v>27</v>
      </c>
      <c r="I841" t="s">
        <v>100</v>
      </c>
      <c r="J841" t="s">
        <v>101</v>
      </c>
      <c r="K841" t="s">
        <v>30</v>
      </c>
      <c r="L841" t="s">
        <v>31</v>
      </c>
    </row>
    <row r="842" spans="1:12" x14ac:dyDescent="0.3">
      <c r="A842" t="s">
        <v>2068</v>
      </c>
      <c r="B842" t="s">
        <v>1577</v>
      </c>
      <c r="C842" t="s">
        <v>782</v>
      </c>
      <c r="D842" t="s">
        <v>35</v>
      </c>
      <c r="E842">
        <v>3</v>
      </c>
      <c r="F842">
        <v>65</v>
      </c>
      <c r="G842" t="s">
        <v>198</v>
      </c>
      <c r="H842" t="s">
        <v>27</v>
      </c>
      <c r="I842" t="s">
        <v>100</v>
      </c>
      <c r="J842" t="s">
        <v>101</v>
      </c>
      <c r="K842" t="s">
        <v>30</v>
      </c>
      <c r="L842" t="s">
        <v>31</v>
      </c>
    </row>
    <row r="843" spans="1:12" x14ac:dyDescent="0.3">
      <c r="A843" t="s">
        <v>2069</v>
      </c>
      <c r="B843" t="s">
        <v>1940</v>
      </c>
      <c r="C843" t="s">
        <v>1422</v>
      </c>
      <c r="D843" t="s">
        <v>43</v>
      </c>
      <c r="E843">
        <v>10</v>
      </c>
      <c r="F843">
        <v>95</v>
      </c>
      <c r="G843" t="s">
        <v>336</v>
      </c>
      <c r="H843" t="s">
        <v>70</v>
      </c>
      <c r="I843" t="s">
        <v>71</v>
      </c>
      <c r="J843" t="s">
        <v>19</v>
      </c>
      <c r="K843" t="s">
        <v>73</v>
      </c>
      <c r="L843" t="s">
        <v>46</v>
      </c>
    </row>
    <row r="844" spans="1:12" x14ac:dyDescent="0.3">
      <c r="A844" t="s">
        <v>2070</v>
      </c>
      <c r="B844" t="s">
        <v>856</v>
      </c>
      <c r="C844" t="s">
        <v>1107</v>
      </c>
      <c r="D844" t="s">
        <v>169</v>
      </c>
      <c r="E844">
        <v>7</v>
      </c>
      <c r="F844">
        <v>80</v>
      </c>
      <c r="G844" t="s">
        <v>317</v>
      </c>
      <c r="H844" t="s">
        <v>37</v>
      </c>
      <c r="I844" t="s">
        <v>83</v>
      </c>
      <c r="J844" t="s">
        <v>84</v>
      </c>
      <c r="K844" t="s">
        <v>158</v>
      </c>
      <c r="L844" t="s">
        <v>31</v>
      </c>
    </row>
    <row r="845" spans="1:12" x14ac:dyDescent="0.3">
      <c r="A845" t="s">
        <v>2071</v>
      </c>
      <c r="B845" t="s">
        <v>1943</v>
      </c>
      <c r="C845" t="s">
        <v>1205</v>
      </c>
      <c r="D845" t="s">
        <v>43</v>
      </c>
      <c r="E845">
        <v>5</v>
      </c>
      <c r="F845">
        <v>90</v>
      </c>
      <c r="G845" t="s">
        <v>137</v>
      </c>
      <c r="H845" t="s">
        <v>17</v>
      </c>
      <c r="I845" t="s">
        <v>18</v>
      </c>
      <c r="J845" t="s">
        <v>65</v>
      </c>
      <c r="K845" t="s">
        <v>66</v>
      </c>
      <c r="L845" t="s">
        <v>21</v>
      </c>
    </row>
    <row r="846" spans="1:12" x14ac:dyDescent="0.3">
      <c r="A846" t="s">
        <v>2072</v>
      </c>
      <c r="B846" t="s">
        <v>1945</v>
      </c>
      <c r="C846" t="s">
        <v>697</v>
      </c>
      <c r="D846" t="s">
        <v>25</v>
      </c>
      <c r="E846">
        <v>2</v>
      </c>
      <c r="F846" t="s">
        <v>19</v>
      </c>
      <c r="G846" t="s">
        <v>266</v>
      </c>
      <c r="H846" t="s">
        <v>17</v>
      </c>
      <c r="I846" t="s">
        <v>1083</v>
      </c>
      <c r="J846" t="s">
        <v>65</v>
      </c>
      <c r="K846" t="s">
        <v>140</v>
      </c>
      <c r="L846" t="s">
        <v>21</v>
      </c>
    </row>
    <row r="847" spans="1:12" x14ac:dyDescent="0.3">
      <c r="A847" t="s">
        <v>2073</v>
      </c>
      <c r="B847" t="s">
        <v>376</v>
      </c>
      <c r="C847" t="s">
        <v>326</v>
      </c>
      <c r="D847" t="s">
        <v>125</v>
      </c>
      <c r="E847">
        <v>9</v>
      </c>
      <c r="F847">
        <v>53</v>
      </c>
      <c r="G847" t="s">
        <v>963</v>
      </c>
      <c r="H847" t="s">
        <v>17</v>
      </c>
      <c r="I847" t="s">
        <v>18</v>
      </c>
      <c r="J847" t="s">
        <v>65</v>
      </c>
      <c r="K847" t="s">
        <v>60</v>
      </c>
      <c r="L847" t="s">
        <v>21</v>
      </c>
    </row>
    <row r="848" spans="1:12" x14ac:dyDescent="0.3">
      <c r="A848" t="s">
        <v>2074</v>
      </c>
      <c r="B848" t="s">
        <v>376</v>
      </c>
      <c r="C848" t="s">
        <v>326</v>
      </c>
      <c r="D848" t="s">
        <v>125</v>
      </c>
      <c r="E848">
        <v>9</v>
      </c>
      <c r="F848">
        <v>53</v>
      </c>
      <c r="G848" t="s">
        <v>963</v>
      </c>
      <c r="H848" t="s">
        <v>17</v>
      </c>
      <c r="I848" t="s">
        <v>18</v>
      </c>
      <c r="J848" t="s">
        <v>65</v>
      </c>
      <c r="K848" t="s">
        <v>60</v>
      </c>
      <c r="L848" t="s">
        <v>21</v>
      </c>
    </row>
    <row r="849" spans="1:12" x14ac:dyDescent="0.3">
      <c r="A849" t="s">
        <v>2075</v>
      </c>
      <c r="B849" t="s">
        <v>1948</v>
      </c>
      <c r="C849" t="s">
        <v>181</v>
      </c>
      <c r="D849" t="s">
        <v>94</v>
      </c>
      <c r="E849">
        <v>14</v>
      </c>
      <c r="F849">
        <v>73</v>
      </c>
      <c r="G849" t="s">
        <v>121</v>
      </c>
      <c r="H849" t="s">
        <v>27</v>
      </c>
      <c r="I849" t="s">
        <v>28</v>
      </c>
      <c r="J849" t="s">
        <v>29</v>
      </c>
      <c r="K849" t="s">
        <v>60</v>
      </c>
      <c r="L849" t="s">
        <v>21</v>
      </c>
    </row>
    <row r="850" spans="1:12" x14ac:dyDescent="0.3">
      <c r="A850" t="s">
        <v>2076</v>
      </c>
      <c r="B850" t="s">
        <v>1950</v>
      </c>
      <c r="C850" t="s">
        <v>140</v>
      </c>
      <c r="D850" t="s">
        <v>281</v>
      </c>
      <c r="E850">
        <v>7</v>
      </c>
      <c r="F850">
        <v>70</v>
      </c>
      <c r="G850" t="s">
        <v>51</v>
      </c>
      <c r="H850" t="s">
        <v>70</v>
      </c>
      <c r="I850" t="s">
        <v>183</v>
      </c>
      <c r="J850" t="s">
        <v>184</v>
      </c>
      <c r="K850" t="s">
        <v>20</v>
      </c>
      <c r="L850" t="s">
        <v>21</v>
      </c>
    </row>
    <row r="851" spans="1:12" x14ac:dyDescent="0.3">
      <c r="A851" t="s">
        <v>2077</v>
      </c>
      <c r="B851" t="s">
        <v>1952</v>
      </c>
      <c r="C851" t="s">
        <v>1302</v>
      </c>
      <c r="D851" t="s">
        <v>94</v>
      </c>
      <c r="E851">
        <v>3</v>
      </c>
      <c r="F851">
        <v>73</v>
      </c>
      <c r="G851" t="s">
        <v>1953</v>
      </c>
      <c r="H851" t="s">
        <v>27</v>
      </c>
      <c r="I851" t="s">
        <v>100</v>
      </c>
      <c r="J851" t="s">
        <v>396</v>
      </c>
      <c r="K851" t="s">
        <v>66</v>
      </c>
      <c r="L851" t="s">
        <v>31</v>
      </c>
    </row>
    <row r="852" spans="1:12" x14ac:dyDescent="0.3">
      <c r="A852" t="s">
        <v>2078</v>
      </c>
      <c r="B852" t="s">
        <v>1955</v>
      </c>
      <c r="C852" t="s">
        <v>1719</v>
      </c>
      <c r="D852" t="s">
        <v>281</v>
      </c>
      <c r="E852">
        <v>7</v>
      </c>
      <c r="F852">
        <v>70</v>
      </c>
      <c r="G852" t="s">
        <v>51</v>
      </c>
      <c r="H852" t="s">
        <v>70</v>
      </c>
      <c r="I852" t="s">
        <v>183</v>
      </c>
      <c r="J852" t="s">
        <v>184</v>
      </c>
      <c r="K852" t="s">
        <v>30</v>
      </c>
      <c r="L852" t="s">
        <v>31</v>
      </c>
    </row>
    <row r="853" spans="1:12" x14ac:dyDescent="0.3">
      <c r="A853" t="s">
        <v>2079</v>
      </c>
      <c r="B853" t="s">
        <v>1957</v>
      </c>
      <c r="C853" t="s">
        <v>360</v>
      </c>
      <c r="D853" t="s">
        <v>169</v>
      </c>
      <c r="E853">
        <v>11</v>
      </c>
      <c r="F853">
        <v>75</v>
      </c>
      <c r="G853" t="s">
        <v>174</v>
      </c>
      <c r="H853" t="s">
        <v>17</v>
      </c>
      <c r="I853" t="s">
        <v>18</v>
      </c>
      <c r="J853" t="s">
        <v>65</v>
      </c>
      <c r="K853" t="s">
        <v>60</v>
      </c>
      <c r="L853" t="s">
        <v>46</v>
      </c>
    </row>
    <row r="854" spans="1:12" x14ac:dyDescent="0.3">
      <c r="A854" t="s">
        <v>2181</v>
      </c>
      <c r="B854" t="s">
        <v>1132</v>
      </c>
      <c r="C854" t="s">
        <v>240</v>
      </c>
      <c r="D854" t="s">
        <v>35</v>
      </c>
      <c r="E854">
        <v>5</v>
      </c>
      <c r="F854">
        <v>60</v>
      </c>
      <c r="G854" t="s">
        <v>446</v>
      </c>
      <c r="H854" t="s">
        <v>37</v>
      </c>
      <c r="I854" t="s">
        <v>83</v>
      </c>
      <c r="J854" t="s">
        <v>84</v>
      </c>
      <c r="K854" t="s">
        <v>158</v>
      </c>
      <c r="L854" t="s">
        <v>31</v>
      </c>
    </row>
    <row r="855" spans="1:12" x14ac:dyDescent="0.3">
      <c r="A855" t="s">
        <v>2080</v>
      </c>
      <c r="B855" t="s">
        <v>1960</v>
      </c>
      <c r="C855" t="s">
        <v>841</v>
      </c>
      <c r="D855" t="s">
        <v>50</v>
      </c>
      <c r="E855">
        <v>2</v>
      </c>
      <c r="F855">
        <v>65</v>
      </c>
      <c r="G855" t="s">
        <v>1153</v>
      </c>
      <c r="H855" t="s">
        <v>231</v>
      </c>
      <c r="I855" t="s">
        <v>183</v>
      </c>
      <c r="J855" t="s">
        <v>184</v>
      </c>
      <c r="K855" t="s">
        <v>20</v>
      </c>
      <c r="L855" t="s">
        <v>19</v>
      </c>
    </row>
    <row r="856" spans="1:12" x14ac:dyDescent="0.3">
      <c r="A856" t="s">
        <v>2081</v>
      </c>
      <c r="B856" t="s">
        <v>1815</v>
      </c>
      <c r="C856" t="s">
        <v>403</v>
      </c>
      <c r="D856" t="s">
        <v>50</v>
      </c>
      <c r="E856">
        <v>7</v>
      </c>
      <c r="F856">
        <v>65</v>
      </c>
      <c r="G856" t="s">
        <v>1962</v>
      </c>
      <c r="H856" t="s">
        <v>70</v>
      </c>
      <c r="I856" t="s">
        <v>183</v>
      </c>
      <c r="J856" t="s">
        <v>184</v>
      </c>
      <c r="K856" t="s">
        <v>60</v>
      </c>
      <c r="L856" t="s">
        <v>31</v>
      </c>
    </row>
    <row r="857" spans="1:12" x14ac:dyDescent="0.3">
      <c r="A857" t="s">
        <v>2082</v>
      </c>
      <c r="B857" t="s">
        <v>1964</v>
      </c>
      <c r="C857" t="s">
        <v>68</v>
      </c>
      <c r="D857" t="s">
        <v>15</v>
      </c>
      <c r="E857">
        <v>15</v>
      </c>
      <c r="F857">
        <v>45</v>
      </c>
      <c r="G857" t="s">
        <v>1116</v>
      </c>
      <c r="H857" t="s">
        <v>405</v>
      </c>
      <c r="I857" t="s">
        <v>18</v>
      </c>
      <c r="J857" t="s">
        <v>260</v>
      </c>
      <c r="K857" t="s">
        <v>66</v>
      </c>
      <c r="L857" t="s">
        <v>21</v>
      </c>
    </row>
    <row r="858" spans="1:12" x14ac:dyDescent="0.3">
      <c r="A858" t="s">
        <v>2083</v>
      </c>
      <c r="B858" t="s">
        <v>1966</v>
      </c>
      <c r="C858" t="s">
        <v>473</v>
      </c>
      <c r="D858" t="s">
        <v>94</v>
      </c>
      <c r="E858">
        <v>16</v>
      </c>
      <c r="F858">
        <v>68</v>
      </c>
      <c r="G858" t="s">
        <v>544</v>
      </c>
      <c r="H858" t="s">
        <v>37</v>
      </c>
      <c r="I858" t="s">
        <v>83</v>
      </c>
      <c r="J858" t="s">
        <v>84</v>
      </c>
      <c r="K858" t="s">
        <v>158</v>
      </c>
      <c r="L858" t="s">
        <v>19</v>
      </c>
    </row>
    <row r="859" spans="1:12" x14ac:dyDescent="0.3">
      <c r="A859" t="s">
        <v>2084</v>
      </c>
      <c r="B859" t="s">
        <v>1968</v>
      </c>
      <c r="C859" t="s">
        <v>763</v>
      </c>
      <c r="D859" t="s">
        <v>169</v>
      </c>
      <c r="E859">
        <v>6</v>
      </c>
      <c r="F859">
        <v>85</v>
      </c>
      <c r="G859" t="s">
        <v>1404</v>
      </c>
      <c r="H859" t="s">
        <v>27</v>
      </c>
      <c r="I859" t="s">
        <v>28</v>
      </c>
      <c r="J859" t="s">
        <v>29</v>
      </c>
      <c r="K859" t="s">
        <v>711</v>
      </c>
      <c r="L859" t="s">
        <v>31</v>
      </c>
    </row>
    <row r="860" spans="1:12" x14ac:dyDescent="0.3">
      <c r="A860" t="s">
        <v>2085</v>
      </c>
      <c r="B860" t="s">
        <v>1943</v>
      </c>
      <c r="C860" t="s">
        <v>530</v>
      </c>
      <c r="D860" t="s">
        <v>281</v>
      </c>
      <c r="E860">
        <v>9</v>
      </c>
      <c r="F860">
        <v>75</v>
      </c>
      <c r="G860" t="s">
        <v>1116</v>
      </c>
      <c r="H860" t="s">
        <v>27</v>
      </c>
      <c r="I860" t="s">
        <v>28</v>
      </c>
      <c r="J860" t="s">
        <v>29</v>
      </c>
      <c r="K860" t="s">
        <v>30</v>
      </c>
      <c r="L860" t="s">
        <v>21</v>
      </c>
    </row>
    <row r="861" spans="1:12" x14ac:dyDescent="0.3">
      <c r="A861" t="s">
        <v>2086</v>
      </c>
      <c r="B861" t="s">
        <v>717</v>
      </c>
      <c r="C861" t="s">
        <v>420</v>
      </c>
      <c r="D861" t="s">
        <v>169</v>
      </c>
      <c r="E861">
        <v>11</v>
      </c>
      <c r="F861">
        <v>85</v>
      </c>
      <c r="G861" t="s">
        <v>399</v>
      </c>
      <c r="H861" t="s">
        <v>27</v>
      </c>
      <c r="I861" t="s">
        <v>28</v>
      </c>
      <c r="J861" t="s">
        <v>29</v>
      </c>
      <c r="K861" t="s">
        <v>20</v>
      </c>
      <c r="L861" t="s">
        <v>46</v>
      </c>
    </row>
    <row r="862" spans="1:12" x14ac:dyDescent="0.3">
      <c r="A862" t="s">
        <v>2087</v>
      </c>
      <c r="B862" t="s">
        <v>1972</v>
      </c>
      <c r="C862" t="s">
        <v>448</v>
      </c>
      <c r="D862" t="s">
        <v>281</v>
      </c>
      <c r="E862">
        <v>1</v>
      </c>
      <c r="F862">
        <v>75</v>
      </c>
      <c r="G862" t="s">
        <v>1394</v>
      </c>
      <c r="H862" t="s">
        <v>27</v>
      </c>
      <c r="I862" t="s">
        <v>100</v>
      </c>
      <c r="J862" t="s">
        <v>101</v>
      </c>
      <c r="K862" t="s">
        <v>330</v>
      </c>
      <c r="L862" t="s">
        <v>31</v>
      </c>
    </row>
    <row r="863" spans="1:12" x14ac:dyDescent="0.3">
      <c r="A863" t="s">
        <v>2088</v>
      </c>
      <c r="B863" t="s">
        <v>1974</v>
      </c>
      <c r="C863" t="s">
        <v>563</v>
      </c>
      <c r="D863" t="s">
        <v>43</v>
      </c>
      <c r="E863">
        <v>14</v>
      </c>
      <c r="F863">
        <v>100</v>
      </c>
      <c r="G863" t="s">
        <v>986</v>
      </c>
      <c r="H863" t="s">
        <v>27</v>
      </c>
      <c r="I863" t="s">
        <v>100</v>
      </c>
      <c r="J863" t="s">
        <v>101</v>
      </c>
      <c r="K863" t="s">
        <v>45</v>
      </c>
      <c r="L863" t="s">
        <v>46</v>
      </c>
    </row>
    <row r="864" spans="1:12" x14ac:dyDescent="0.3">
      <c r="A864" t="s">
        <v>2089</v>
      </c>
      <c r="B864" t="s">
        <v>1976</v>
      </c>
      <c r="C864" t="s">
        <v>520</v>
      </c>
      <c r="D864" t="s">
        <v>25</v>
      </c>
      <c r="E864">
        <v>4</v>
      </c>
      <c r="F864">
        <v>60</v>
      </c>
      <c r="G864" t="s">
        <v>1019</v>
      </c>
      <c r="H864" t="s">
        <v>27</v>
      </c>
      <c r="I864" t="s">
        <v>100</v>
      </c>
      <c r="J864" t="s">
        <v>101</v>
      </c>
      <c r="K864" t="s">
        <v>30</v>
      </c>
      <c r="L864" t="s">
        <v>21</v>
      </c>
    </row>
    <row r="865" spans="1:12" x14ac:dyDescent="0.3">
      <c r="A865" t="s">
        <v>2090</v>
      </c>
      <c r="B865" t="s">
        <v>1978</v>
      </c>
      <c r="C865" t="s">
        <v>1979</v>
      </c>
      <c r="D865" t="s">
        <v>281</v>
      </c>
      <c r="E865">
        <v>14</v>
      </c>
      <c r="F865">
        <v>70</v>
      </c>
      <c r="G865" t="s">
        <v>890</v>
      </c>
      <c r="H865" t="s">
        <v>37</v>
      </c>
      <c r="I865" t="s">
        <v>38</v>
      </c>
      <c r="J865" t="s">
        <v>39</v>
      </c>
      <c r="K865" t="s">
        <v>66</v>
      </c>
      <c r="L865" t="s">
        <v>46</v>
      </c>
    </row>
    <row r="866" spans="1:12" x14ac:dyDescent="0.3">
      <c r="A866" t="s">
        <v>2091</v>
      </c>
      <c r="B866" t="s">
        <v>1981</v>
      </c>
      <c r="C866" t="s">
        <v>1302</v>
      </c>
      <c r="D866" t="s">
        <v>50</v>
      </c>
      <c r="E866">
        <v>13</v>
      </c>
      <c r="F866">
        <v>65</v>
      </c>
      <c r="G866" t="s">
        <v>1319</v>
      </c>
      <c r="H866" t="s">
        <v>37</v>
      </c>
      <c r="I866" t="s">
        <v>225</v>
      </c>
      <c r="J866" t="s">
        <v>226</v>
      </c>
      <c r="K866" t="s">
        <v>60</v>
      </c>
      <c r="L866" t="s">
        <v>31</v>
      </c>
    </row>
    <row r="867" spans="1:12" x14ac:dyDescent="0.3">
      <c r="A867" t="s">
        <v>2182</v>
      </c>
      <c r="B867" t="s">
        <v>1983</v>
      </c>
      <c r="C867" t="s">
        <v>645</v>
      </c>
      <c r="D867" t="s">
        <v>35</v>
      </c>
      <c r="E867">
        <v>4</v>
      </c>
      <c r="F867">
        <v>60</v>
      </c>
      <c r="G867" t="s">
        <v>1019</v>
      </c>
      <c r="H867" t="s">
        <v>70</v>
      </c>
      <c r="I867" t="s">
        <v>71</v>
      </c>
      <c r="J867" t="s">
        <v>72</v>
      </c>
      <c r="K867" t="s">
        <v>73</v>
      </c>
      <c r="L867" t="s">
        <v>46</v>
      </c>
    </row>
    <row r="868" spans="1:12" x14ac:dyDescent="0.3">
      <c r="A868" t="s">
        <v>2092</v>
      </c>
      <c r="B868" t="s">
        <v>249</v>
      </c>
      <c r="C868" t="s">
        <v>204</v>
      </c>
      <c r="D868" t="s">
        <v>50</v>
      </c>
      <c r="E868">
        <v>4</v>
      </c>
      <c r="F868">
        <v>60</v>
      </c>
      <c r="G868" t="s">
        <v>1019</v>
      </c>
      <c r="H868" t="s">
        <v>17</v>
      </c>
      <c r="I868" t="s">
        <v>90</v>
      </c>
      <c r="J868" t="s">
        <v>91</v>
      </c>
      <c r="K868" t="s">
        <v>20</v>
      </c>
      <c r="L868" t="s">
        <v>46</v>
      </c>
    </row>
    <row r="869" spans="1:12" x14ac:dyDescent="0.3">
      <c r="A869" t="s">
        <v>2093</v>
      </c>
      <c r="B869" t="s">
        <v>1986</v>
      </c>
      <c r="C869" t="s">
        <v>1987</v>
      </c>
      <c r="D869" t="s">
        <v>146</v>
      </c>
      <c r="E869">
        <v>3</v>
      </c>
      <c r="F869">
        <v>85</v>
      </c>
      <c r="G869" t="s">
        <v>140</v>
      </c>
      <c r="H869" t="s">
        <v>37</v>
      </c>
      <c r="I869" t="s">
        <v>83</v>
      </c>
      <c r="J869" t="s">
        <v>84</v>
      </c>
      <c r="K869" t="s">
        <v>158</v>
      </c>
      <c r="L869" t="s">
        <v>31</v>
      </c>
    </row>
    <row r="870" spans="1:12" x14ac:dyDescent="0.3">
      <c r="A870" t="s">
        <v>2094</v>
      </c>
      <c r="B870" t="s">
        <v>1988</v>
      </c>
      <c r="C870" t="s">
        <v>763</v>
      </c>
      <c r="D870" t="s">
        <v>43</v>
      </c>
      <c r="E870">
        <v>8</v>
      </c>
      <c r="F870">
        <v>95</v>
      </c>
      <c r="G870" t="s">
        <v>564</v>
      </c>
      <c r="H870" t="s">
        <v>37</v>
      </c>
      <c r="I870" t="s">
        <v>38</v>
      </c>
      <c r="J870" t="s">
        <v>39</v>
      </c>
      <c r="K870" t="s">
        <v>20</v>
      </c>
      <c r="L870" t="s">
        <v>19</v>
      </c>
    </row>
    <row r="871" spans="1:12" x14ac:dyDescent="0.3">
      <c r="A871" t="s">
        <v>2183</v>
      </c>
      <c r="B871" t="s">
        <v>1990</v>
      </c>
      <c r="C871" t="s">
        <v>1924</v>
      </c>
      <c r="D871" t="s">
        <v>15</v>
      </c>
      <c r="E871">
        <v>7</v>
      </c>
      <c r="F871">
        <v>45</v>
      </c>
      <c r="G871" t="s">
        <v>395</v>
      </c>
      <c r="H871" t="s">
        <v>17</v>
      </c>
      <c r="I871" t="s">
        <v>90</v>
      </c>
      <c r="J871" t="s">
        <v>91</v>
      </c>
      <c r="K871" t="s">
        <v>30</v>
      </c>
      <c r="L871" t="s">
        <v>21</v>
      </c>
    </row>
    <row r="872" spans="1:12" x14ac:dyDescent="0.3">
      <c r="A872" t="s">
        <v>2095</v>
      </c>
      <c r="B872" t="s">
        <v>1992</v>
      </c>
      <c r="C872" t="s">
        <v>1248</v>
      </c>
      <c r="D872" t="s">
        <v>43</v>
      </c>
      <c r="E872">
        <v>14</v>
      </c>
      <c r="F872">
        <v>100</v>
      </c>
      <c r="G872" t="s">
        <v>986</v>
      </c>
      <c r="H872" t="s">
        <v>27</v>
      </c>
      <c r="I872" t="s">
        <v>100</v>
      </c>
      <c r="J872" t="s">
        <v>396</v>
      </c>
      <c r="K872" t="s">
        <v>20</v>
      </c>
      <c r="L872" t="s">
        <v>46</v>
      </c>
    </row>
    <row r="873" spans="1:12" x14ac:dyDescent="0.3">
      <c r="A873" t="s">
        <v>2096</v>
      </c>
      <c r="B873" t="s">
        <v>1994</v>
      </c>
      <c r="C873" t="s">
        <v>507</v>
      </c>
      <c r="D873" t="s">
        <v>146</v>
      </c>
      <c r="E873">
        <v>4</v>
      </c>
      <c r="F873">
        <v>85</v>
      </c>
      <c r="G873" t="s">
        <v>1659</v>
      </c>
      <c r="H873" t="s">
        <v>70</v>
      </c>
      <c r="I873" t="s">
        <v>151</v>
      </c>
      <c r="J873" t="s">
        <v>152</v>
      </c>
      <c r="K873" t="s">
        <v>153</v>
      </c>
      <c r="L873" t="s">
        <v>21</v>
      </c>
    </row>
    <row r="874" spans="1:12" x14ac:dyDescent="0.3">
      <c r="A874" t="s">
        <v>2097</v>
      </c>
      <c r="B874" t="s">
        <v>1443</v>
      </c>
      <c r="C874" t="s">
        <v>140</v>
      </c>
      <c r="D874" t="s">
        <v>281</v>
      </c>
      <c r="E874">
        <v>19</v>
      </c>
      <c r="F874">
        <v>75</v>
      </c>
      <c r="G874" t="s">
        <v>170</v>
      </c>
      <c r="H874" t="s">
        <v>27</v>
      </c>
      <c r="I874" t="s">
        <v>100</v>
      </c>
      <c r="J874" t="s">
        <v>101</v>
      </c>
      <c r="K874" t="s">
        <v>45</v>
      </c>
      <c r="L874" t="s">
        <v>46</v>
      </c>
    </row>
    <row r="875" spans="1:12" x14ac:dyDescent="0.3">
      <c r="A875" t="s">
        <v>2098</v>
      </c>
      <c r="B875" t="s">
        <v>1070</v>
      </c>
      <c r="C875" t="s">
        <v>580</v>
      </c>
      <c r="D875" t="s">
        <v>43</v>
      </c>
      <c r="E875">
        <v>7</v>
      </c>
      <c r="F875">
        <v>95</v>
      </c>
      <c r="G875" t="s">
        <v>639</v>
      </c>
      <c r="H875" t="s">
        <v>37</v>
      </c>
      <c r="I875" t="s">
        <v>83</v>
      </c>
      <c r="J875" t="s">
        <v>84</v>
      </c>
      <c r="K875" t="s">
        <v>158</v>
      </c>
      <c r="L875" t="s">
        <v>21</v>
      </c>
    </row>
    <row r="876" spans="1:12" x14ac:dyDescent="0.3">
      <c r="A876" t="s">
        <v>2099</v>
      </c>
      <c r="B876" t="s">
        <v>1998</v>
      </c>
      <c r="C876" t="s">
        <v>414</v>
      </c>
      <c r="D876" t="s">
        <v>50</v>
      </c>
      <c r="E876">
        <v>4</v>
      </c>
      <c r="F876">
        <v>60</v>
      </c>
      <c r="G876" t="s">
        <v>1019</v>
      </c>
      <c r="H876" t="s">
        <v>17</v>
      </c>
      <c r="I876" t="s">
        <v>18</v>
      </c>
      <c r="J876" t="s">
        <v>65</v>
      </c>
      <c r="K876" t="s">
        <v>20</v>
      </c>
      <c r="L876" t="s">
        <v>46</v>
      </c>
    </row>
    <row r="877" spans="1:12" x14ac:dyDescent="0.3">
      <c r="A877" t="s">
        <v>2100</v>
      </c>
      <c r="B877" t="s">
        <v>2000</v>
      </c>
      <c r="C877" t="s">
        <v>1057</v>
      </c>
      <c r="D877" t="s">
        <v>94</v>
      </c>
      <c r="E877">
        <v>7</v>
      </c>
      <c r="F877">
        <v>68</v>
      </c>
      <c r="G877" t="s">
        <v>230</v>
      </c>
      <c r="H877" t="s">
        <v>37</v>
      </c>
      <c r="I877" t="s">
        <v>83</v>
      </c>
      <c r="J877" t="s">
        <v>84</v>
      </c>
      <c r="K877" t="s">
        <v>85</v>
      </c>
      <c r="L877" t="s">
        <v>46</v>
      </c>
    </row>
    <row r="878" spans="1:12" x14ac:dyDescent="0.3">
      <c r="A878" t="s">
        <v>2184</v>
      </c>
      <c r="B878" t="s">
        <v>2002</v>
      </c>
      <c r="C878" t="s">
        <v>19</v>
      </c>
      <c r="D878" t="s">
        <v>146</v>
      </c>
      <c r="E878">
        <v>15</v>
      </c>
      <c r="F878">
        <v>85</v>
      </c>
      <c r="G878" t="s">
        <v>595</v>
      </c>
      <c r="H878" t="s">
        <v>70</v>
      </c>
      <c r="I878" t="s">
        <v>151</v>
      </c>
      <c r="J878" t="s">
        <v>188</v>
      </c>
      <c r="K878" t="s">
        <v>66</v>
      </c>
      <c r="L878" t="s">
        <v>21</v>
      </c>
    </row>
    <row r="879" spans="1:12" x14ac:dyDescent="0.3">
      <c r="A879" t="s">
        <v>2101</v>
      </c>
      <c r="B879" t="s">
        <v>2004</v>
      </c>
      <c r="C879" t="s">
        <v>1356</v>
      </c>
      <c r="D879" t="s">
        <v>169</v>
      </c>
      <c r="E879">
        <v>10</v>
      </c>
      <c r="F879">
        <v>80</v>
      </c>
      <c r="G879" t="s">
        <v>253</v>
      </c>
      <c r="H879" t="s">
        <v>70</v>
      </c>
      <c r="I879" t="s">
        <v>151</v>
      </c>
      <c r="J879" t="s">
        <v>152</v>
      </c>
      <c r="K879" t="s">
        <v>153</v>
      </c>
      <c r="L879" t="s">
        <v>31</v>
      </c>
    </row>
    <row r="880" spans="1:12" x14ac:dyDescent="0.3">
      <c r="A880" t="s">
        <v>2102</v>
      </c>
      <c r="B880" t="s">
        <v>2006</v>
      </c>
      <c r="C880" t="s">
        <v>1924</v>
      </c>
      <c r="D880" t="s">
        <v>125</v>
      </c>
      <c r="E880">
        <v>3</v>
      </c>
      <c r="F880">
        <v>63</v>
      </c>
      <c r="G880" t="s">
        <v>668</v>
      </c>
      <c r="H880" t="s">
        <v>27</v>
      </c>
      <c r="I880" t="s">
        <v>100</v>
      </c>
      <c r="J880" t="s">
        <v>101</v>
      </c>
      <c r="K880" t="s">
        <v>30</v>
      </c>
      <c r="L880" t="s">
        <v>421</v>
      </c>
    </row>
    <row r="881" spans="1:12" x14ac:dyDescent="0.3">
      <c r="A881" t="s">
        <v>2103</v>
      </c>
      <c r="B881" t="s">
        <v>2008</v>
      </c>
      <c r="C881" t="s">
        <v>285</v>
      </c>
      <c r="D881" t="s">
        <v>281</v>
      </c>
      <c r="E881">
        <v>7</v>
      </c>
      <c r="F881">
        <v>70</v>
      </c>
      <c r="G881" t="s">
        <v>51</v>
      </c>
      <c r="H881" t="s">
        <v>19</v>
      </c>
      <c r="I881" t="s">
        <v>71</v>
      </c>
      <c r="J881" t="s">
        <v>72</v>
      </c>
      <c r="K881" t="s">
        <v>73</v>
      </c>
      <c r="L881" t="s">
        <v>46</v>
      </c>
    </row>
    <row r="882" spans="1:12" x14ac:dyDescent="0.3">
      <c r="A882" t="s">
        <v>2185</v>
      </c>
      <c r="B882" t="s">
        <v>2010</v>
      </c>
      <c r="C882" t="s">
        <v>2011</v>
      </c>
      <c r="D882" t="s">
        <v>43</v>
      </c>
      <c r="E882">
        <v>12</v>
      </c>
      <c r="F882">
        <v>100</v>
      </c>
      <c r="G882" t="s">
        <v>182</v>
      </c>
      <c r="H882" t="s">
        <v>27</v>
      </c>
      <c r="I882" t="s">
        <v>298</v>
      </c>
      <c r="J882" t="s">
        <v>101</v>
      </c>
      <c r="K882" t="s">
        <v>139</v>
      </c>
      <c r="L882" t="s">
        <v>46</v>
      </c>
    </row>
    <row r="883" spans="1:12" x14ac:dyDescent="0.3">
      <c r="A883" t="s">
        <v>2104</v>
      </c>
      <c r="B883" t="s">
        <v>2013</v>
      </c>
      <c r="C883" t="s">
        <v>424</v>
      </c>
      <c r="D883" t="s">
        <v>43</v>
      </c>
      <c r="E883">
        <v>3</v>
      </c>
      <c r="F883">
        <v>100</v>
      </c>
      <c r="G883" t="s">
        <v>446</v>
      </c>
      <c r="H883" t="s">
        <v>27</v>
      </c>
      <c r="I883" t="s">
        <v>28</v>
      </c>
      <c r="J883" t="s">
        <v>29</v>
      </c>
      <c r="K883" t="s">
        <v>20</v>
      </c>
      <c r="L883" t="s">
        <v>31</v>
      </c>
    </row>
    <row r="884" spans="1:12" x14ac:dyDescent="0.3">
      <c r="A884" t="s">
        <v>2105</v>
      </c>
      <c r="B884" t="s">
        <v>1780</v>
      </c>
      <c r="C884" t="s">
        <v>1278</v>
      </c>
      <c r="D884" t="s">
        <v>146</v>
      </c>
      <c r="E884">
        <v>7</v>
      </c>
      <c r="F884">
        <v>80</v>
      </c>
      <c r="G884" t="s">
        <v>1251</v>
      </c>
      <c r="H884" t="s">
        <v>17</v>
      </c>
      <c r="I884" t="s">
        <v>90</v>
      </c>
      <c r="J884" t="s">
        <v>91</v>
      </c>
      <c r="K884" t="s">
        <v>60</v>
      </c>
      <c r="L884" t="s">
        <v>46</v>
      </c>
    </row>
    <row r="885" spans="1:12" x14ac:dyDescent="0.3">
      <c r="A885" t="s">
        <v>2106</v>
      </c>
      <c r="B885" t="s">
        <v>2015</v>
      </c>
      <c r="C885" t="s">
        <v>839</v>
      </c>
      <c r="D885" t="s">
        <v>15</v>
      </c>
      <c r="E885">
        <v>16</v>
      </c>
      <c r="F885">
        <v>50</v>
      </c>
      <c r="G885" t="s">
        <v>253</v>
      </c>
      <c r="H885" t="s">
        <v>37</v>
      </c>
      <c r="I885" t="s">
        <v>225</v>
      </c>
      <c r="J885" t="s">
        <v>226</v>
      </c>
      <c r="K885" t="s">
        <v>66</v>
      </c>
      <c r="L885" t="s">
        <v>46</v>
      </c>
    </row>
    <row r="886" spans="1:12" x14ac:dyDescent="0.3">
      <c r="A886" t="s">
        <v>2107</v>
      </c>
      <c r="B886" t="s">
        <v>2017</v>
      </c>
      <c r="C886" t="s">
        <v>473</v>
      </c>
      <c r="D886" t="s">
        <v>43</v>
      </c>
      <c r="E886" t="s">
        <v>19</v>
      </c>
      <c r="F886">
        <v>90</v>
      </c>
      <c r="G886" t="s">
        <v>1437</v>
      </c>
      <c r="H886" t="s">
        <v>17</v>
      </c>
      <c r="I886" t="s">
        <v>90</v>
      </c>
      <c r="J886" t="s">
        <v>91</v>
      </c>
      <c r="K886" t="s">
        <v>45</v>
      </c>
      <c r="L886" t="s">
        <v>46</v>
      </c>
    </row>
    <row r="887" spans="1:12" x14ac:dyDescent="0.3">
      <c r="A887" t="s">
        <v>2108</v>
      </c>
      <c r="B887" t="s">
        <v>2018</v>
      </c>
      <c r="C887" t="s">
        <v>201</v>
      </c>
      <c r="D887" t="s">
        <v>169</v>
      </c>
      <c r="E887">
        <v>10</v>
      </c>
      <c r="F887">
        <v>80</v>
      </c>
      <c r="G887" t="s">
        <v>253</v>
      </c>
      <c r="H887" t="s">
        <v>37</v>
      </c>
      <c r="I887" t="s">
        <v>38</v>
      </c>
      <c r="J887" t="s">
        <v>39</v>
      </c>
      <c r="K887" t="s">
        <v>20</v>
      </c>
      <c r="L887" t="s">
        <v>21</v>
      </c>
    </row>
    <row r="888" spans="1:12" x14ac:dyDescent="0.3">
      <c r="A888" t="s">
        <v>2109</v>
      </c>
      <c r="B888" t="s">
        <v>19</v>
      </c>
      <c r="C888" t="s">
        <v>1875</v>
      </c>
      <c r="D888" t="s">
        <v>25</v>
      </c>
      <c r="E888">
        <v>17</v>
      </c>
      <c r="F888">
        <v>55</v>
      </c>
      <c r="G888" t="s">
        <v>399</v>
      </c>
      <c r="H888" t="s">
        <v>70</v>
      </c>
      <c r="I888" t="s">
        <v>183</v>
      </c>
      <c r="J888" t="s">
        <v>294</v>
      </c>
      <c r="K888" t="s">
        <v>30</v>
      </c>
      <c r="L888" t="s">
        <v>46</v>
      </c>
    </row>
    <row r="889" spans="1:12" x14ac:dyDescent="0.3">
      <c r="A889" t="s">
        <v>2110</v>
      </c>
      <c r="B889" t="s">
        <v>2020</v>
      </c>
      <c r="C889" t="s">
        <v>34</v>
      </c>
      <c r="D889" t="s">
        <v>35</v>
      </c>
      <c r="E889">
        <v>14</v>
      </c>
      <c r="F889">
        <v>60</v>
      </c>
      <c r="G889" t="s">
        <v>739</v>
      </c>
      <c r="H889" t="s">
        <v>585</v>
      </c>
      <c r="I889" t="s">
        <v>663</v>
      </c>
      <c r="J889" t="s">
        <v>84</v>
      </c>
      <c r="K889" t="s">
        <v>2190</v>
      </c>
      <c r="L889" t="s">
        <v>46</v>
      </c>
    </row>
    <row r="890" spans="1:12" x14ac:dyDescent="0.3">
      <c r="A890" t="s">
        <v>2111</v>
      </c>
      <c r="B890" t="s">
        <v>2022</v>
      </c>
      <c r="C890" t="s">
        <v>1719</v>
      </c>
      <c r="D890" t="s">
        <v>50</v>
      </c>
      <c r="E890">
        <v>14</v>
      </c>
      <c r="F890">
        <v>70</v>
      </c>
      <c r="G890" t="s">
        <v>890</v>
      </c>
      <c r="H890" t="s">
        <v>27</v>
      </c>
      <c r="I890" t="s">
        <v>28</v>
      </c>
      <c r="J890" t="s">
        <v>29</v>
      </c>
      <c r="K890" t="s">
        <v>45</v>
      </c>
      <c r="L890" t="s">
        <v>31</v>
      </c>
    </row>
    <row r="891" spans="1:12" x14ac:dyDescent="0.3">
      <c r="A891" t="s">
        <v>2186</v>
      </c>
      <c r="B891" t="s">
        <v>2024</v>
      </c>
      <c r="C891" t="s">
        <v>24</v>
      </c>
      <c r="D891" t="s">
        <v>125</v>
      </c>
      <c r="E891">
        <v>12</v>
      </c>
      <c r="F891">
        <v>63</v>
      </c>
      <c r="G891" t="s">
        <v>2025</v>
      </c>
      <c r="H891" t="s">
        <v>27</v>
      </c>
      <c r="I891" t="s">
        <v>100</v>
      </c>
      <c r="J891" t="s">
        <v>19</v>
      </c>
      <c r="K891" t="s">
        <v>66</v>
      </c>
      <c r="L891" t="s">
        <v>21</v>
      </c>
    </row>
    <row r="892" spans="1:12" x14ac:dyDescent="0.3">
      <c r="A892" t="s">
        <v>2112</v>
      </c>
      <c r="B892" t="s">
        <v>1188</v>
      </c>
      <c r="C892" t="s">
        <v>140</v>
      </c>
      <c r="D892" t="s">
        <v>50</v>
      </c>
      <c r="E892">
        <v>8</v>
      </c>
      <c r="F892">
        <v>65</v>
      </c>
      <c r="G892" t="s">
        <v>99</v>
      </c>
      <c r="H892" t="s">
        <v>19</v>
      </c>
      <c r="I892" t="s">
        <v>38</v>
      </c>
      <c r="J892" t="s">
        <v>19</v>
      </c>
      <c r="K892" t="s">
        <v>20</v>
      </c>
      <c r="L892" t="s">
        <v>46</v>
      </c>
    </row>
    <row r="893" spans="1:12" x14ac:dyDescent="0.3">
      <c r="A893" t="s">
        <v>2113</v>
      </c>
      <c r="B893" t="s">
        <v>2028</v>
      </c>
      <c r="C893" t="s">
        <v>981</v>
      </c>
      <c r="D893" t="s">
        <v>281</v>
      </c>
      <c r="E893">
        <v>8</v>
      </c>
      <c r="F893">
        <v>65</v>
      </c>
      <c r="G893" t="s">
        <v>99</v>
      </c>
      <c r="H893" t="s">
        <v>17</v>
      </c>
      <c r="I893" t="s">
        <v>18</v>
      </c>
      <c r="J893" t="s">
        <v>65</v>
      </c>
      <c r="K893" t="s">
        <v>30</v>
      </c>
      <c r="L893" t="s">
        <v>21</v>
      </c>
    </row>
    <row r="894" spans="1:12" x14ac:dyDescent="0.3">
      <c r="A894" t="s">
        <v>2114</v>
      </c>
      <c r="B894" t="s">
        <v>2029</v>
      </c>
      <c r="C894" t="s">
        <v>269</v>
      </c>
      <c r="D894" t="s">
        <v>146</v>
      </c>
      <c r="E894">
        <v>10</v>
      </c>
      <c r="F894">
        <v>80</v>
      </c>
      <c r="G894" t="s">
        <v>253</v>
      </c>
      <c r="H894" t="s">
        <v>17</v>
      </c>
      <c r="I894" t="s">
        <v>90</v>
      </c>
      <c r="J894" t="s">
        <v>91</v>
      </c>
      <c r="K894" t="s">
        <v>45</v>
      </c>
      <c r="L894" t="s">
        <v>46</v>
      </c>
    </row>
    <row r="895" spans="1:12" x14ac:dyDescent="0.3">
      <c r="A895" t="s">
        <v>2115</v>
      </c>
      <c r="B895" t="s">
        <v>997</v>
      </c>
      <c r="C895" t="s">
        <v>256</v>
      </c>
      <c r="D895" t="s">
        <v>146</v>
      </c>
      <c r="E895">
        <v>5</v>
      </c>
      <c r="F895">
        <v>85</v>
      </c>
      <c r="G895" t="s">
        <v>493</v>
      </c>
      <c r="H895" t="s">
        <v>70</v>
      </c>
      <c r="I895" t="s">
        <v>183</v>
      </c>
      <c r="J895" t="s">
        <v>184</v>
      </c>
      <c r="K895" t="s">
        <v>60</v>
      </c>
      <c r="L895" t="s">
        <v>345</v>
      </c>
    </row>
    <row r="896" spans="1:12" x14ac:dyDescent="0.3">
      <c r="A896" t="s">
        <v>2116</v>
      </c>
      <c r="B896" t="s">
        <v>2032</v>
      </c>
      <c r="C896" t="s">
        <v>577</v>
      </c>
      <c r="D896" t="s">
        <v>50</v>
      </c>
      <c r="E896">
        <v>7</v>
      </c>
      <c r="F896">
        <v>60</v>
      </c>
      <c r="G896" t="s">
        <v>130</v>
      </c>
      <c r="H896" t="s">
        <v>17</v>
      </c>
      <c r="I896" t="s">
        <v>1232</v>
      </c>
      <c r="J896" t="s">
        <v>91</v>
      </c>
      <c r="K896" t="s">
        <v>20</v>
      </c>
      <c r="L896" t="s">
        <v>31</v>
      </c>
    </row>
    <row r="897" spans="1:12" x14ac:dyDescent="0.3">
      <c r="A897" t="s">
        <v>2187</v>
      </c>
      <c r="B897" t="s">
        <v>768</v>
      </c>
      <c r="C897" t="s">
        <v>445</v>
      </c>
      <c r="D897" t="s">
        <v>15</v>
      </c>
      <c r="E897">
        <v>10</v>
      </c>
      <c r="F897">
        <v>55</v>
      </c>
      <c r="G897" t="s">
        <v>589</v>
      </c>
      <c r="H897" t="s">
        <v>27</v>
      </c>
      <c r="I897" t="s">
        <v>100</v>
      </c>
      <c r="J897" t="s">
        <v>101</v>
      </c>
      <c r="K897" t="s">
        <v>60</v>
      </c>
      <c r="L897" t="s">
        <v>21</v>
      </c>
    </row>
    <row r="898" spans="1:12" x14ac:dyDescent="0.3">
      <c r="A898" t="s">
        <v>2117</v>
      </c>
      <c r="B898" t="s">
        <v>1050</v>
      </c>
      <c r="C898" t="s">
        <v>145</v>
      </c>
      <c r="D898" t="s">
        <v>125</v>
      </c>
      <c r="E898">
        <v>6</v>
      </c>
      <c r="F898">
        <v>63</v>
      </c>
      <c r="G898" t="s">
        <v>1471</v>
      </c>
      <c r="H898" t="s">
        <v>27</v>
      </c>
      <c r="I898" t="s">
        <v>100</v>
      </c>
      <c r="J898" t="s">
        <v>396</v>
      </c>
      <c r="K898" t="s">
        <v>2190</v>
      </c>
      <c r="L898" t="s">
        <v>21</v>
      </c>
    </row>
    <row r="899" spans="1:12" x14ac:dyDescent="0.3">
      <c r="A899" t="s">
        <v>2118</v>
      </c>
      <c r="B899" t="s">
        <v>2036</v>
      </c>
      <c r="C899" t="s">
        <v>410</v>
      </c>
      <c r="D899" t="s">
        <v>50</v>
      </c>
      <c r="E899">
        <v>13</v>
      </c>
      <c r="F899">
        <v>65</v>
      </c>
      <c r="G899" t="s">
        <v>1319</v>
      </c>
      <c r="H899" t="s">
        <v>585</v>
      </c>
      <c r="I899" t="s">
        <v>83</v>
      </c>
      <c r="J899" t="s">
        <v>84</v>
      </c>
      <c r="K899" t="s">
        <v>158</v>
      </c>
      <c r="L899" t="s">
        <v>31</v>
      </c>
    </row>
    <row r="900" spans="1:12" x14ac:dyDescent="0.3">
      <c r="A900" t="s">
        <v>2119</v>
      </c>
      <c r="B900" t="s">
        <v>93</v>
      </c>
      <c r="C900" t="s">
        <v>204</v>
      </c>
      <c r="D900" t="s">
        <v>43</v>
      </c>
      <c r="E900">
        <v>13</v>
      </c>
      <c r="F900">
        <v>95</v>
      </c>
      <c r="G900" t="s">
        <v>348</v>
      </c>
      <c r="H900" t="s">
        <v>37</v>
      </c>
      <c r="I900" t="s">
        <v>83</v>
      </c>
      <c r="J900" t="s">
        <v>84</v>
      </c>
      <c r="K900" t="s">
        <v>158</v>
      </c>
      <c r="L900" t="s">
        <v>21</v>
      </c>
    </row>
    <row r="901" spans="1:12" x14ac:dyDescent="0.3">
      <c r="A901" t="s">
        <v>2120</v>
      </c>
      <c r="B901" t="s">
        <v>2039</v>
      </c>
      <c r="C901" t="s">
        <v>1002</v>
      </c>
      <c r="D901" t="s">
        <v>281</v>
      </c>
      <c r="E901">
        <v>12</v>
      </c>
      <c r="F901">
        <v>65</v>
      </c>
      <c r="G901" t="s">
        <v>140</v>
      </c>
      <c r="H901" t="s">
        <v>17</v>
      </c>
      <c r="I901" t="s">
        <v>90</v>
      </c>
      <c r="J901" t="s">
        <v>91</v>
      </c>
      <c r="K901" t="s">
        <v>30</v>
      </c>
      <c r="L901" t="s">
        <v>21</v>
      </c>
    </row>
    <row r="902" spans="1:12" x14ac:dyDescent="0.3">
      <c r="A902" t="s">
        <v>2121</v>
      </c>
      <c r="B902" t="s">
        <v>1417</v>
      </c>
      <c r="C902" t="s">
        <v>563</v>
      </c>
      <c r="D902" t="s">
        <v>125</v>
      </c>
      <c r="E902">
        <v>2</v>
      </c>
      <c r="F902">
        <v>58</v>
      </c>
      <c r="G902" t="s">
        <v>474</v>
      </c>
      <c r="H902" t="s">
        <v>19</v>
      </c>
      <c r="I902" t="s">
        <v>83</v>
      </c>
      <c r="J902" t="s">
        <v>84</v>
      </c>
      <c r="K902" t="s">
        <v>158</v>
      </c>
      <c r="L902" t="s">
        <v>46</v>
      </c>
    </row>
    <row r="903" spans="1:12" x14ac:dyDescent="0.3">
      <c r="A903" t="s">
        <v>2122</v>
      </c>
      <c r="B903" t="s">
        <v>1064</v>
      </c>
      <c r="C903" t="s">
        <v>1578</v>
      </c>
      <c r="D903" t="s">
        <v>146</v>
      </c>
      <c r="E903">
        <v>13</v>
      </c>
      <c r="F903">
        <v>80</v>
      </c>
      <c r="G903" t="s">
        <v>388</v>
      </c>
      <c r="H903" t="s">
        <v>17</v>
      </c>
      <c r="I903" t="s">
        <v>18</v>
      </c>
      <c r="J903" t="s">
        <v>65</v>
      </c>
      <c r="K903" t="s">
        <v>60</v>
      </c>
      <c r="L903" t="s">
        <v>46</v>
      </c>
    </row>
    <row r="904" spans="1:12" x14ac:dyDescent="0.3">
      <c r="A904" t="s">
        <v>2123</v>
      </c>
      <c r="B904" t="s">
        <v>2042</v>
      </c>
      <c r="C904" t="s">
        <v>57</v>
      </c>
      <c r="D904" t="s">
        <v>169</v>
      </c>
      <c r="E904">
        <v>4</v>
      </c>
      <c r="F904">
        <v>85</v>
      </c>
      <c r="G904" t="s">
        <v>1659</v>
      </c>
      <c r="H904" t="s">
        <v>27</v>
      </c>
      <c r="I904" t="s">
        <v>19</v>
      </c>
      <c r="J904" t="s">
        <v>79</v>
      </c>
      <c r="K904" t="s">
        <v>54</v>
      </c>
      <c r="L904" t="s">
        <v>46</v>
      </c>
    </row>
    <row r="905" spans="1:12" x14ac:dyDescent="0.3">
      <c r="A905" t="s">
        <v>2124</v>
      </c>
      <c r="B905" t="s">
        <v>1091</v>
      </c>
      <c r="C905" t="s">
        <v>1159</v>
      </c>
      <c r="D905" t="s">
        <v>35</v>
      </c>
      <c r="E905">
        <v>13</v>
      </c>
      <c r="F905">
        <v>60</v>
      </c>
      <c r="G905" t="s">
        <v>574</v>
      </c>
      <c r="H905" t="s">
        <v>37</v>
      </c>
      <c r="I905" t="s">
        <v>83</v>
      </c>
      <c r="J905" t="s">
        <v>84</v>
      </c>
      <c r="K905" t="s">
        <v>158</v>
      </c>
      <c r="L905" t="s">
        <v>46</v>
      </c>
    </row>
    <row r="906" spans="1:12" x14ac:dyDescent="0.3">
      <c r="A906" t="s">
        <v>2125</v>
      </c>
      <c r="B906" t="s">
        <v>2045</v>
      </c>
      <c r="C906" t="s">
        <v>19</v>
      </c>
      <c r="D906" t="s">
        <v>169</v>
      </c>
      <c r="E906">
        <v>5</v>
      </c>
      <c r="F906">
        <v>80</v>
      </c>
      <c r="G906" t="s">
        <v>293</v>
      </c>
      <c r="H906" t="s">
        <v>70</v>
      </c>
      <c r="I906" t="s">
        <v>183</v>
      </c>
      <c r="J906" t="s">
        <v>184</v>
      </c>
      <c r="K906" t="s">
        <v>45</v>
      </c>
      <c r="L906" t="s">
        <v>31</v>
      </c>
    </row>
    <row r="907" spans="1:12" x14ac:dyDescent="0.3">
      <c r="A907" t="s">
        <v>2126</v>
      </c>
      <c r="B907" t="s">
        <v>2047</v>
      </c>
      <c r="C907" t="s">
        <v>954</v>
      </c>
      <c r="D907" t="s">
        <v>25</v>
      </c>
      <c r="E907">
        <v>13</v>
      </c>
      <c r="F907" t="s">
        <v>19</v>
      </c>
      <c r="G907" t="s">
        <v>598</v>
      </c>
      <c r="H907" t="s">
        <v>37</v>
      </c>
      <c r="I907" t="s">
        <v>225</v>
      </c>
      <c r="J907" t="s">
        <v>226</v>
      </c>
      <c r="K907" t="s">
        <v>20</v>
      </c>
      <c r="L907" t="s">
        <v>21</v>
      </c>
    </row>
    <row r="908" spans="1:12" x14ac:dyDescent="0.3">
      <c r="A908" t="s">
        <v>2127</v>
      </c>
      <c r="B908" t="s">
        <v>2049</v>
      </c>
      <c r="C908" t="s">
        <v>1526</v>
      </c>
      <c r="D908" t="s">
        <v>50</v>
      </c>
      <c r="E908">
        <v>16</v>
      </c>
      <c r="F908">
        <v>65</v>
      </c>
      <c r="G908" t="s">
        <v>388</v>
      </c>
      <c r="H908" t="s">
        <v>37</v>
      </c>
      <c r="I908" t="s">
        <v>38</v>
      </c>
      <c r="J908" t="s">
        <v>39</v>
      </c>
      <c r="K908" t="s">
        <v>45</v>
      </c>
      <c r="L908" t="s">
        <v>31</v>
      </c>
    </row>
    <row r="909" spans="1:12" x14ac:dyDescent="0.3">
      <c r="A909" t="s">
        <v>2128</v>
      </c>
      <c r="B909" t="s">
        <v>2050</v>
      </c>
      <c r="C909" t="s">
        <v>428</v>
      </c>
      <c r="D909" t="s">
        <v>25</v>
      </c>
      <c r="E909">
        <v>15</v>
      </c>
      <c r="F909">
        <v>60</v>
      </c>
      <c r="G909" t="s">
        <v>36</v>
      </c>
      <c r="H909" t="s">
        <v>27</v>
      </c>
      <c r="I909" t="s">
        <v>100</v>
      </c>
      <c r="J909" t="s">
        <v>101</v>
      </c>
      <c r="K909" t="s">
        <v>66</v>
      </c>
      <c r="L909" t="s">
        <v>46</v>
      </c>
    </row>
    <row r="910" spans="1:12" x14ac:dyDescent="0.3">
      <c r="A910" t="s">
        <v>2129</v>
      </c>
      <c r="B910" t="s">
        <v>2051</v>
      </c>
      <c r="C910" t="s">
        <v>326</v>
      </c>
      <c r="D910" t="s">
        <v>281</v>
      </c>
      <c r="E910">
        <v>3</v>
      </c>
      <c r="F910">
        <v>70</v>
      </c>
      <c r="G910" t="s">
        <v>282</v>
      </c>
      <c r="H910" t="s">
        <v>37</v>
      </c>
      <c r="I910" t="s">
        <v>225</v>
      </c>
      <c r="J910" t="s">
        <v>226</v>
      </c>
      <c r="K910" t="s">
        <v>45</v>
      </c>
      <c r="L910" t="s">
        <v>31</v>
      </c>
    </row>
    <row r="911" spans="1:12" x14ac:dyDescent="0.3">
      <c r="A911" t="s">
        <v>2130</v>
      </c>
      <c r="B911" t="s">
        <v>2053</v>
      </c>
      <c r="C911" t="s">
        <v>19</v>
      </c>
      <c r="D911" t="s">
        <v>43</v>
      </c>
      <c r="G911" t="s">
        <v>2054</v>
      </c>
      <c r="H911" t="s">
        <v>585</v>
      </c>
      <c r="I911" t="s">
        <v>83</v>
      </c>
      <c r="J911" t="s">
        <v>19</v>
      </c>
      <c r="K911" t="s">
        <v>158</v>
      </c>
      <c r="L911" t="s">
        <v>46</v>
      </c>
    </row>
    <row r="912" spans="1:12" x14ac:dyDescent="0.3">
      <c r="A912" t="s">
        <v>2131</v>
      </c>
      <c r="B912" t="s">
        <v>2056</v>
      </c>
      <c r="C912" t="s">
        <v>1769</v>
      </c>
      <c r="D912" t="s">
        <v>1710</v>
      </c>
      <c r="E912">
        <v>7</v>
      </c>
      <c r="F912">
        <v>65</v>
      </c>
      <c r="G912" t="s">
        <v>1962</v>
      </c>
      <c r="H912" t="s">
        <v>17</v>
      </c>
      <c r="I912" t="s">
        <v>90</v>
      </c>
      <c r="J912" t="s">
        <v>91</v>
      </c>
      <c r="K912" t="s">
        <v>20</v>
      </c>
      <c r="L912" t="s">
        <v>19</v>
      </c>
    </row>
    <row r="913" spans="1:12" x14ac:dyDescent="0.3">
      <c r="A913" t="s">
        <v>2132</v>
      </c>
      <c r="B913" t="s">
        <v>2058</v>
      </c>
      <c r="C913" t="s">
        <v>14</v>
      </c>
      <c r="D913" t="s">
        <v>19</v>
      </c>
      <c r="E913">
        <v>20</v>
      </c>
      <c r="F913">
        <v>53</v>
      </c>
      <c r="G913" t="s">
        <v>19</v>
      </c>
      <c r="H913" t="s">
        <v>17</v>
      </c>
      <c r="I913" t="s">
        <v>18</v>
      </c>
      <c r="J913" t="s">
        <v>65</v>
      </c>
      <c r="K913" t="s">
        <v>20</v>
      </c>
      <c r="L913" t="s">
        <v>21</v>
      </c>
    </row>
    <row r="914" spans="1:12" x14ac:dyDescent="0.3">
      <c r="A914" t="s">
        <v>2133</v>
      </c>
      <c r="B914" t="s">
        <v>2058</v>
      </c>
      <c r="C914" t="s">
        <v>14</v>
      </c>
      <c r="D914" t="s">
        <v>125</v>
      </c>
      <c r="E914">
        <v>20</v>
      </c>
      <c r="F914">
        <v>53</v>
      </c>
      <c r="G914" t="s">
        <v>1077</v>
      </c>
      <c r="H914" t="s">
        <v>17</v>
      </c>
      <c r="I914" t="s">
        <v>18</v>
      </c>
      <c r="J914" t="s">
        <v>65</v>
      </c>
      <c r="K914" t="s">
        <v>20</v>
      </c>
      <c r="L914" t="s">
        <v>21</v>
      </c>
    </row>
    <row r="915" spans="1:12" x14ac:dyDescent="0.3">
      <c r="A915" t="s">
        <v>2134</v>
      </c>
      <c r="B915" t="s">
        <v>2060</v>
      </c>
      <c r="C915" t="s">
        <v>136</v>
      </c>
      <c r="D915" t="s">
        <v>922</v>
      </c>
      <c r="E915">
        <v>9</v>
      </c>
      <c r="F915">
        <v>90</v>
      </c>
      <c r="G915" t="s">
        <v>16</v>
      </c>
      <c r="H915" t="s">
        <v>27</v>
      </c>
      <c r="I915" t="s">
        <v>28</v>
      </c>
      <c r="J915" t="s">
        <v>79</v>
      </c>
      <c r="K915" t="s">
        <v>54</v>
      </c>
      <c r="L915" t="s">
        <v>31</v>
      </c>
    </row>
    <row r="916" spans="1:12" x14ac:dyDescent="0.3">
      <c r="A916" t="s">
        <v>2135</v>
      </c>
      <c r="B916" t="s">
        <v>2062</v>
      </c>
      <c r="C916" t="s">
        <v>588</v>
      </c>
      <c r="D916" t="s">
        <v>25</v>
      </c>
      <c r="E916">
        <v>9</v>
      </c>
      <c r="F916">
        <v>55</v>
      </c>
      <c r="G916" t="s">
        <v>114</v>
      </c>
      <c r="H916" t="s">
        <v>37</v>
      </c>
      <c r="I916" t="s">
        <v>38</v>
      </c>
      <c r="J916" t="s">
        <v>39</v>
      </c>
      <c r="K916" t="s">
        <v>330</v>
      </c>
      <c r="L916" t="s">
        <v>74</v>
      </c>
    </row>
    <row r="917" spans="1:12" x14ac:dyDescent="0.3">
      <c r="A917" t="s">
        <v>2136</v>
      </c>
      <c r="B917" t="s">
        <v>2064</v>
      </c>
      <c r="C917" t="s">
        <v>583</v>
      </c>
      <c r="D917" t="s">
        <v>146</v>
      </c>
      <c r="E917">
        <v>12</v>
      </c>
      <c r="F917">
        <v>85</v>
      </c>
      <c r="G917" t="s">
        <v>662</v>
      </c>
      <c r="H917" t="s">
        <v>70</v>
      </c>
      <c r="I917" t="s">
        <v>71</v>
      </c>
      <c r="J917" t="s">
        <v>72</v>
      </c>
      <c r="K917" t="s">
        <v>73</v>
      </c>
      <c r="L917" t="s">
        <v>31</v>
      </c>
    </row>
    <row r="918" spans="1:12" x14ac:dyDescent="0.3">
      <c r="A918" t="s">
        <v>2137</v>
      </c>
      <c r="B918" t="s">
        <v>2066</v>
      </c>
      <c r="C918" t="s">
        <v>2067</v>
      </c>
      <c r="D918" t="s">
        <v>146</v>
      </c>
      <c r="E918">
        <v>1</v>
      </c>
      <c r="F918">
        <v>90</v>
      </c>
      <c r="G918" t="s">
        <v>616</v>
      </c>
      <c r="H918" t="s">
        <v>846</v>
      </c>
      <c r="I918" t="s">
        <v>28</v>
      </c>
      <c r="J918" t="s">
        <v>29</v>
      </c>
      <c r="K918" t="s">
        <v>60</v>
      </c>
      <c r="L918" t="s">
        <v>46</v>
      </c>
    </row>
    <row r="919" spans="1:12" x14ac:dyDescent="0.3">
      <c r="A919" t="s">
        <v>2138</v>
      </c>
      <c r="B919" t="s">
        <v>1580</v>
      </c>
      <c r="C919" t="s">
        <v>1489</v>
      </c>
      <c r="D919" t="s">
        <v>146</v>
      </c>
      <c r="E919">
        <v>20</v>
      </c>
      <c r="F919">
        <v>80</v>
      </c>
      <c r="G919" t="s">
        <v>671</v>
      </c>
      <c r="H919" t="s">
        <v>17</v>
      </c>
      <c r="I919" t="s">
        <v>90</v>
      </c>
      <c r="J919" t="s">
        <v>91</v>
      </c>
      <c r="K919" t="s">
        <v>20</v>
      </c>
      <c r="L919" t="s">
        <v>46</v>
      </c>
    </row>
  </sheetData>
  <conditionalFormatting sqref="A1:A1048576">
    <cfRule type="duplicateValues" dxfId="5" priority="1"/>
  </conditionalFormatting>
  <pageMargins left="0.7" right="0.7" top="0.75" bottom="0.75" header="0.3" footer="0.3"/>
  <pageSetup orientation="portrait" r:id="rId1"/>
  <ignoredErrors>
    <ignoredError sqref="B1:L12 B30:L30 C29:L29 B912:L919 B911:D911 G911:L911 B14:L28 B13:J13 L13 B32:L101 B31:J31 L31 B103:L201 B102:J102 L102 B203:L267 B202:J202 L202 B269:L275 B268:J268 L268 B277:L308 B276:J276 L276 B310:L345 B309:J309 L309 B347:L360 B346:J346 L346 B362:L426 B361:J361 L361 B428:L518 B427:J427 L427 B520:L530 B519:J519 L519 B532:L547 B531:J531 L531 B549:L570 B548:J548 L548 B573:L680 B571:J571 L571 B572:J572 L572 B682:L727 B681:J681 L681 B729:L747 B728:J728 L728 B749:L749 B748:J748 L748 B751:L809 B750:J750 L750 B811:L888 B810:J810 L810 B890:L897 B889:J889 L889 B899:L910 B898:J898 L89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18"/>
  <sheetViews>
    <sheetView tabSelected="1" zoomScale="70" zoomScaleNormal="70" workbookViewId="0"/>
  </sheetViews>
  <sheetFormatPr defaultRowHeight="15.6" x14ac:dyDescent="0.3"/>
  <cols>
    <col min="1" max="1" width="12.3984375" customWidth="1"/>
    <col min="2" max="2" width="11.09765625" bestFit="1" customWidth="1"/>
    <col min="3" max="3" width="15.09765625" customWidth="1"/>
    <col min="4" max="4" width="14.59765625" customWidth="1"/>
    <col min="5" max="5" width="14" customWidth="1"/>
    <col min="6" max="6" width="17.5" style="7" bestFit="1" customWidth="1"/>
    <col min="7" max="7" width="18.19921875" style="7" bestFit="1" customWidth="1"/>
    <col min="8" max="8" width="10.59765625" style="5" bestFit="1" customWidth="1"/>
    <col min="9" max="9" width="11.59765625" bestFit="1" customWidth="1"/>
    <col min="10" max="10" width="11.296875" bestFit="1" customWidth="1"/>
    <col min="11" max="11" width="14.8984375" bestFit="1" customWidth="1"/>
    <col min="12" max="12" width="17.09765625" bestFit="1" customWidth="1"/>
  </cols>
  <sheetData>
    <row r="1" spans="1:12" x14ac:dyDescent="0.3">
      <c r="A1" s="1" t="s">
        <v>2192</v>
      </c>
      <c r="B1" s="1" t="s">
        <v>2191</v>
      </c>
      <c r="C1" s="1" t="s">
        <v>2193</v>
      </c>
      <c r="D1" s="1" t="s">
        <v>2194</v>
      </c>
      <c r="E1" s="1" t="s">
        <v>2195</v>
      </c>
      <c r="F1" s="6" t="s">
        <v>2199</v>
      </c>
      <c r="G1" s="6" t="s">
        <v>2200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tr">
        <f>IF(COUNTIF('Raw RetailSalesData'!$A:$L,'Raw RetailSalesData'!A2)=1,'Raw RetailSalesData'!A2,"")</f>
        <v>ORD-10001</v>
      </c>
      <c r="B2" t="str">
        <f>IF('Raw RetailSalesData'!B2="","UNKNOWN",'Raw RetailSalesData'!B2)</f>
        <v>2024-01-30</v>
      </c>
      <c r="C2" t="str">
        <f>IF('Raw RetailSalesData'!C2="","UNKNOW",'Raw RetailSalesData'!C2)</f>
        <v>CUST-1143</v>
      </c>
      <c r="D2" t="str">
        <f>IF('Raw RetailSalesData'!D2="","UNKNOW",'Raw RetailSalesData'!D2)</f>
        <v>C302</v>
      </c>
      <c r="E2" s="5">
        <f>IF('Raw RetailSalesData'!E2="",'Raw RetailSalesData'!F2/'Raw RetailSalesData'!G2,'Raw RetailSalesData'!E2)</f>
        <v>18</v>
      </c>
      <c r="F2" s="7">
        <f>IF('Raw RetailSalesData'!F2="",'Raw RetailSalesData'!G2/'Raw RetailSalesData'!E2,'Raw RetailSalesData'!F2)</f>
        <v>45</v>
      </c>
      <c r="G2" s="7">
        <f>F2*E2</f>
        <v>810</v>
      </c>
      <c r="H2" s="5" t="str">
        <f>IF('Raw RetailSalesData'!H2="","Unknown",'Raw RetailSalesData'!H2)</f>
        <v>LATAM</v>
      </c>
      <c r="I2" s="2" t="s">
        <v>18</v>
      </c>
      <c r="J2" s="2" t="s">
        <v>2190</v>
      </c>
      <c r="K2" t="str">
        <f>TRIM('Raw RetailSalesData'!K2)</f>
        <v>Sales Rep 4</v>
      </c>
      <c r="L2" s="2" t="s">
        <v>21</v>
      </c>
    </row>
    <row r="3" spans="1:12" x14ac:dyDescent="0.3">
      <c r="A3" t="str">
        <f>IF(COUNTIF('Raw RetailSalesData'!$A:$L,'Raw RetailSalesData'!A3)=1,'Raw RetailSalesData'!A3,"")</f>
        <v>ORD-10002</v>
      </c>
      <c r="B3" t="str">
        <f>IF('Raw RetailSalesData'!B3="","UNKNOWN",'Raw RetailSalesData'!B3)</f>
        <v>2023-01-03</v>
      </c>
      <c r="C3" t="str">
        <f>IF('Raw RetailSalesData'!C3="","UNKNOW",'Raw RetailSalesData'!C3)</f>
        <v>CUST-1061</v>
      </c>
      <c r="D3" t="str">
        <f>IF('Raw RetailSalesData'!D3="","UNKNOW",'Raw RetailSalesData'!D3)</f>
        <v>C301</v>
      </c>
      <c r="E3" s="5">
        <f>IF('Raw RetailSalesData'!E3="",'Raw RetailSalesData'!F3/'Raw RetailSalesData'!G3,'Raw RetailSalesData'!E3)</f>
        <v>3</v>
      </c>
      <c r="F3" s="7">
        <f>IF('Raw RetailSalesData'!F3="",'Raw RetailSalesData'!G3/'Raw RetailSalesData'!E3,'Raw RetailSalesData'!F3)</f>
        <v>60</v>
      </c>
      <c r="G3" s="7">
        <f t="shared" ref="G3:G66" si="0">F3*E3</f>
        <v>180</v>
      </c>
      <c r="H3" s="5" t="str">
        <f>IF('Raw RetailSalesData'!H3="","Unknown",'Raw RetailSalesData'!H3)</f>
        <v>NA</v>
      </c>
      <c r="I3" t="s">
        <v>28</v>
      </c>
      <c r="J3" t="s">
        <v>29</v>
      </c>
      <c r="K3" t="str">
        <f>TRIM('Raw RetailSalesData'!K3)</f>
        <v>Sales Rep 5</v>
      </c>
      <c r="L3" t="s">
        <v>31</v>
      </c>
    </row>
    <row r="4" spans="1:12" x14ac:dyDescent="0.3">
      <c r="A4" t="str">
        <f>IF(COUNTIF('Raw RetailSalesData'!$A:$L,'Raw RetailSalesData'!A4)=1,'Raw RetailSalesData'!A4,"")</f>
        <v>ORD-10003</v>
      </c>
      <c r="B4" t="str">
        <f>IF('Raw RetailSalesData'!B4="","UNKNOWN",'Raw RetailSalesData'!B4)</f>
        <v>2024-03-19</v>
      </c>
      <c r="C4" t="str">
        <f>IF('Raw RetailSalesData'!C4="","UNKNOW",'Raw RetailSalesData'!C4)</f>
        <v>CUST-1021</v>
      </c>
      <c r="D4" t="str">
        <f>IF('Raw RetailSalesData'!D4="","UNKNOW",'Raw RetailSalesData'!D4)</f>
        <v>C303</v>
      </c>
      <c r="E4" s="5">
        <f>IF('Raw RetailSalesData'!E4="",'Raw RetailSalesData'!F4/'Raw RetailSalesData'!G4,'Raw RetailSalesData'!E4)</f>
        <v>15</v>
      </c>
      <c r="F4" s="7">
        <f>IF('Raw RetailSalesData'!F4="",'Raw RetailSalesData'!G4/'Raw RetailSalesData'!E4,'Raw RetailSalesData'!F4)</f>
        <v>60</v>
      </c>
      <c r="G4" s="7">
        <f t="shared" si="0"/>
        <v>900</v>
      </c>
      <c r="H4" s="5" t="str">
        <f>IF('Raw RetailSalesData'!H4="","Unknown",'Raw RetailSalesData'!H4)</f>
        <v>EMEA</v>
      </c>
      <c r="I4" t="s">
        <v>38</v>
      </c>
      <c r="J4" t="s">
        <v>39</v>
      </c>
      <c r="K4" t="str">
        <f>TRIM('Raw RetailSalesData'!K4)</f>
        <v>Sales Rep 5</v>
      </c>
      <c r="L4" t="s">
        <v>31</v>
      </c>
    </row>
    <row r="5" spans="1:12" x14ac:dyDescent="0.3">
      <c r="A5" t="str">
        <f>IF(COUNTIF('Raw RetailSalesData'!$A:$L,'Raw RetailSalesData'!A5)=1,'Raw RetailSalesData'!A5,"")</f>
        <v>ORD-10004</v>
      </c>
      <c r="B5" t="str">
        <f>IF('Raw RetailSalesData'!B5="","UNKNOWN",'Raw RetailSalesData'!B5)</f>
        <v>2023-08-29</v>
      </c>
      <c r="C5" t="str">
        <f>IF('Raw RetailSalesData'!C5="","UNKNOW",'Raw RetailSalesData'!C5)</f>
        <v>CUST-1079</v>
      </c>
      <c r="D5" t="str">
        <f>IF('Raw RetailSalesData'!D5="","UNKNOW",'Raw RetailSalesData'!D5)</f>
        <v>P103</v>
      </c>
      <c r="E5" s="5">
        <f>IF('Raw RetailSalesData'!E5="",'Raw RetailSalesData'!F5/'Raw RetailSalesData'!G5,'Raw RetailSalesData'!E5)</f>
        <v>3</v>
      </c>
      <c r="F5" s="7">
        <f>IF('Raw RetailSalesData'!F5="",'Raw RetailSalesData'!G5/'Raw RetailSalesData'!E5,'Raw RetailSalesData'!F5)</f>
        <v>95</v>
      </c>
      <c r="G5" s="7">
        <f t="shared" si="0"/>
        <v>285</v>
      </c>
      <c r="H5" s="5" t="str">
        <f>IF('Raw RetailSalesData'!H5="","Unknown",'Raw RetailSalesData'!H5)</f>
        <v>EMEA</v>
      </c>
      <c r="I5" t="s">
        <v>38</v>
      </c>
      <c r="J5" t="s">
        <v>39</v>
      </c>
      <c r="K5" t="str">
        <f>TRIM('Raw RetailSalesData'!K5)</f>
        <v>Sales Rep 3</v>
      </c>
      <c r="L5" t="s">
        <v>46</v>
      </c>
    </row>
    <row r="6" spans="1:12" x14ac:dyDescent="0.3">
      <c r="A6" t="str">
        <f>IF(COUNTIF('Raw RetailSalesData'!$A:$L,'Raw RetailSalesData'!A6)=1,'Raw RetailSalesData'!A6,"")</f>
        <v>ORD-10005</v>
      </c>
      <c r="B6" t="str">
        <f>IF('Raw RetailSalesData'!B6="","UNKNOWN",'Raw RetailSalesData'!B6)</f>
        <v>2025-08-31</v>
      </c>
      <c r="C6" t="str">
        <f>IF('Raw RetailSalesData'!C6="","UNKNOW",'Raw RetailSalesData'!C6)</f>
        <v>CUST-1041</v>
      </c>
      <c r="D6" t="str">
        <f>IF('Raw RetailSalesData'!D6="","UNKNOW",'Raw RetailSalesData'!D6)</f>
        <v>P202</v>
      </c>
      <c r="E6" s="5">
        <f>IF('Raw RetailSalesData'!E6="",'Raw RetailSalesData'!F6/'Raw RetailSalesData'!G6,'Raw RetailSalesData'!E6)</f>
        <v>7</v>
      </c>
      <c r="F6" s="7">
        <f>IF('Raw RetailSalesData'!F6="",'Raw RetailSalesData'!G6/'Raw RetailSalesData'!E6,'Raw RetailSalesData'!F6)</f>
        <v>70</v>
      </c>
      <c r="G6" s="7">
        <f t="shared" si="0"/>
        <v>490</v>
      </c>
      <c r="H6" s="5" t="str">
        <f>IF('Raw RetailSalesData'!H6="","Unknown",'Raw RetailSalesData'!H6)</f>
        <v>NA</v>
      </c>
      <c r="I6" t="s">
        <v>28</v>
      </c>
      <c r="J6" t="s">
        <v>2196</v>
      </c>
      <c r="K6" t="str">
        <f>TRIM('Raw RetailSalesData'!K6)</f>
        <v>Michael Johnson</v>
      </c>
      <c r="L6" t="s">
        <v>21</v>
      </c>
    </row>
    <row r="7" spans="1:12" x14ac:dyDescent="0.3">
      <c r="A7" t="str">
        <f>IF(COUNTIF('Raw RetailSalesData'!$A:$L,'Raw RetailSalesData'!A7)=1,'Raw RetailSalesData'!A7,"")</f>
        <v>ORD-10006</v>
      </c>
      <c r="B7" t="str">
        <f>IF('Raw RetailSalesData'!B7="","UNKNOWN",'Raw RetailSalesData'!B7)</f>
        <v>2022-07-06</v>
      </c>
      <c r="C7" t="str">
        <f>IF('Raw RetailSalesData'!C7="","UNKNOW",'Raw RetailSalesData'!C7)</f>
        <v>CUST-1125</v>
      </c>
      <c r="D7" t="str">
        <f>IF('Raw RetailSalesData'!D7="","UNKNOW",'Raw RetailSalesData'!D7)</f>
        <v>C302</v>
      </c>
      <c r="E7" s="5">
        <f>IF('Raw RetailSalesData'!E7="",'Raw RetailSalesData'!F7/'Raw RetailSalesData'!G7,'Raw RetailSalesData'!E7)</f>
        <v>14</v>
      </c>
      <c r="F7" s="7">
        <f>IF('Raw RetailSalesData'!F7="",'Raw RetailSalesData'!G7/'Raw RetailSalesData'!E7,'Raw RetailSalesData'!F7)</f>
        <v>50</v>
      </c>
      <c r="G7" s="7">
        <f t="shared" si="0"/>
        <v>700</v>
      </c>
      <c r="H7" s="5" t="str">
        <f>IF('Raw RetailSalesData'!H7="","Unknown",'Raw RetailSalesData'!H7)</f>
        <v>EMEA</v>
      </c>
      <c r="I7" t="s">
        <v>38</v>
      </c>
      <c r="J7" t="s">
        <v>39</v>
      </c>
      <c r="K7" t="str">
        <f>TRIM('Raw RetailSalesData'!K7)</f>
        <v>Sales Rep 1</v>
      </c>
      <c r="L7" t="s">
        <v>46</v>
      </c>
    </row>
    <row r="8" spans="1:12" x14ac:dyDescent="0.3">
      <c r="A8" t="str">
        <f>IF(COUNTIF('Raw RetailSalesData'!$A:$L,'Raw RetailSalesData'!A8)=1,'Raw RetailSalesData'!A8,"")</f>
        <v>ORD-10007</v>
      </c>
      <c r="B8" t="str">
        <f>IF('Raw RetailSalesData'!B8="","UNKNOWN",'Raw RetailSalesData'!B8)</f>
        <v>2024-09-28</v>
      </c>
      <c r="C8" t="str">
        <f>IF('Raw RetailSalesData'!C8="","UNKNOW",'Raw RetailSalesData'!C8)</f>
        <v>CUST-1161</v>
      </c>
      <c r="D8" t="str">
        <f>IF('Raw RetailSalesData'!D8="","UNKNOW",'Raw RetailSalesData'!D8)</f>
        <v>P103</v>
      </c>
      <c r="E8" s="5">
        <f>IF('Raw RetailSalesData'!E8="",'Raw RetailSalesData'!F8/'Raw RetailSalesData'!G8,'Raw RetailSalesData'!E8)</f>
        <v>6</v>
      </c>
      <c r="F8" s="7">
        <f>IF('Raw RetailSalesData'!F8="",'Raw RetailSalesData'!G8/'Raw RetailSalesData'!E8,'Raw RetailSalesData'!F8)</f>
        <v>90</v>
      </c>
      <c r="G8" s="7">
        <f t="shared" si="0"/>
        <v>540</v>
      </c>
      <c r="H8" s="5" t="str">
        <f>IF('Raw RetailSalesData'!H8="","Unknown",'Raw RetailSalesData'!H8)</f>
        <v>LATAM</v>
      </c>
      <c r="I8" t="s">
        <v>18</v>
      </c>
      <c r="J8" t="s">
        <v>2197</v>
      </c>
      <c r="K8" t="str">
        <f>TRIM('Raw RetailSalesData'!K8)</f>
        <v>Sales Rep 2</v>
      </c>
      <c r="L8" t="s">
        <v>31</v>
      </c>
    </row>
    <row r="9" spans="1:12" x14ac:dyDescent="0.3">
      <c r="A9" t="s">
        <v>2188</v>
      </c>
      <c r="B9" t="str">
        <f>IF('Raw RetailSalesData'!B9="","UNKNOWN",'Raw RetailSalesData'!B9)</f>
        <v>2024-09-09</v>
      </c>
      <c r="C9" t="str">
        <f>IF('Raw RetailSalesData'!C9="","UNKNOW",'Raw RetailSalesData'!C9)</f>
        <v>CUST-1153</v>
      </c>
      <c r="D9" t="str">
        <f>IF('Raw RetailSalesData'!D9="","UNKNOW",'Raw RetailSalesData'!D9)</f>
        <v>P103</v>
      </c>
      <c r="E9" s="5">
        <f>IF('Raw RetailSalesData'!E9="",'Raw RetailSalesData'!F9/'Raw RetailSalesData'!G9,'Raw RetailSalesData'!E9)</f>
        <v>19</v>
      </c>
      <c r="F9" s="7">
        <f>IF('Raw RetailSalesData'!F9="",'Raw RetailSalesData'!G9/'Raw RetailSalesData'!E9,'Raw RetailSalesData'!F9)</f>
        <v>95</v>
      </c>
      <c r="G9" s="7">
        <f t="shared" si="0"/>
        <v>1805</v>
      </c>
      <c r="H9" s="5" t="str">
        <f>IF('Raw RetailSalesData'!H9="","Unknown",'Raw RetailSalesData'!H9)</f>
        <v>APAC</v>
      </c>
      <c r="I9" t="s">
        <v>71</v>
      </c>
      <c r="J9" t="s">
        <v>72</v>
      </c>
      <c r="K9" t="str">
        <f>TRIM('Raw RetailSalesData'!K9)</f>
        <v>Hiroshi Tanaka</v>
      </c>
      <c r="L9" t="s">
        <v>31</v>
      </c>
    </row>
    <row r="10" spans="1:12" x14ac:dyDescent="0.3">
      <c r="A10" t="str">
        <f>IF(COUNTIF('Raw RetailSalesData'!$A:$L,'Raw RetailSalesData'!A10)=1,'Raw RetailSalesData'!A10,"")</f>
        <v>ORD-10009</v>
      </c>
      <c r="B10" t="str">
        <f>IF('Raw RetailSalesData'!B10="","UNKNOWN",'Raw RetailSalesData'!B10)</f>
        <v>2022-07-29</v>
      </c>
      <c r="C10" t="str">
        <f>IF('Raw RetailSalesData'!C10="","UNKNOW",'Raw RetailSalesData'!C10)</f>
        <v>CUST-1012</v>
      </c>
      <c r="D10" t="str">
        <f>IF('Raw RetailSalesData'!D10="","UNKNOW",'Raw RetailSalesData'!D10)</f>
        <v>C301</v>
      </c>
      <c r="E10" s="5">
        <f>IF('Raw RetailSalesData'!E10="",'Raw RetailSalesData'!F10/'Raw RetailSalesData'!G10,'Raw RetailSalesData'!E10)</f>
        <v>2</v>
      </c>
      <c r="F10" s="7">
        <f>IF('Raw RetailSalesData'!F10="",'Raw RetailSalesData'!G10/'Raw RetailSalesData'!E10,'Raw RetailSalesData'!F10)</f>
        <v>60</v>
      </c>
      <c r="G10" s="7">
        <f t="shared" si="0"/>
        <v>120</v>
      </c>
      <c r="H10" s="5" t="str">
        <f>IF('Raw RetailSalesData'!H10="","Unknown",'Raw RetailSalesData'!H10)</f>
        <v>NA</v>
      </c>
      <c r="I10" t="s">
        <v>28</v>
      </c>
      <c r="J10" t="s">
        <v>2196</v>
      </c>
      <c r="K10" t="str">
        <f>TRIM('Raw RetailSalesData'!K10)</f>
        <v>Michael Johnson</v>
      </c>
      <c r="L10" t="s">
        <v>31</v>
      </c>
    </row>
    <row r="11" spans="1:12" x14ac:dyDescent="0.3">
      <c r="A11" t="str">
        <f>IF(COUNTIF('Raw RetailSalesData'!$A:$L,'Raw RetailSalesData'!A11)=1,'Raw RetailSalesData'!A11,"")</f>
        <v>ORD-10010</v>
      </c>
      <c r="B11" t="str">
        <f>IF('Raw RetailSalesData'!B11="","UNKNOWN",'Raw RetailSalesData'!B11)</f>
        <v>2026-03-13</v>
      </c>
      <c r="C11" t="str">
        <f>IF('Raw RetailSalesData'!C11="","UNKNOW",'Raw RetailSalesData'!C11)</f>
        <v>CUST-1130</v>
      </c>
      <c r="D11" t="str">
        <f>IF('Raw RetailSalesData'!D11="","UNKNOW",'Raw RetailSalesData'!D11)</f>
        <v>P103</v>
      </c>
      <c r="E11" s="5">
        <f>IF('Raw RetailSalesData'!E11="",'Raw RetailSalesData'!F11/'Raw RetailSalesData'!G11,'Raw RetailSalesData'!E11)</f>
        <v>3</v>
      </c>
      <c r="F11" s="7">
        <f>IF('Raw RetailSalesData'!F11="",'Raw RetailSalesData'!G11/'Raw RetailSalesData'!E11,'Raw RetailSalesData'!F11)</f>
        <v>95</v>
      </c>
      <c r="G11" s="7">
        <f t="shared" si="0"/>
        <v>285</v>
      </c>
      <c r="H11" s="5" t="str">
        <f>IF('Raw RetailSalesData'!H11="","Unknown",'Raw RetailSalesData'!H11)</f>
        <v>EMEA</v>
      </c>
      <c r="I11" t="s">
        <v>83</v>
      </c>
      <c r="J11" t="s">
        <v>84</v>
      </c>
      <c r="K11" t="str">
        <f>TRIM('Raw RetailSalesData'!K11)</f>
        <v>John Smith</v>
      </c>
      <c r="L11" t="s">
        <v>21</v>
      </c>
    </row>
    <row r="12" spans="1:12" x14ac:dyDescent="0.3">
      <c r="A12" t="str">
        <f>IF(COUNTIF('Raw RetailSalesData'!$A:$L,'Raw RetailSalesData'!A12)=1,'Raw RetailSalesData'!A12,"")</f>
        <v>ORD-10011</v>
      </c>
      <c r="B12" t="str">
        <f>IF('Raw RetailSalesData'!B12="","UNKNOWN",'Raw RetailSalesData'!B12)</f>
        <v>2022-05-28</v>
      </c>
      <c r="C12" t="str">
        <f>IF('Raw RetailSalesData'!C12="","UNKNOW",'Raw RetailSalesData'!C12)</f>
        <v>CUST-1127</v>
      </c>
      <c r="D12" t="str">
        <f>IF('Raw RetailSalesData'!D12="","UNKNOW",'Raw RetailSalesData'!D12)</f>
        <v>C302</v>
      </c>
      <c r="E12" s="5">
        <f>IF('Raw RetailSalesData'!E12="",'Raw RetailSalesData'!F12/'Raw RetailSalesData'!G12,'Raw RetailSalesData'!E12)</f>
        <v>0.16666666666666666</v>
      </c>
      <c r="F12" s="7">
        <f>IF('Raw RetailSalesData'!F12="",'Raw RetailSalesData'!G12/'Raw RetailSalesData'!E12,'Raw RetailSalesData'!F12)</f>
        <v>45</v>
      </c>
      <c r="G12" s="7">
        <f t="shared" si="0"/>
        <v>7.5</v>
      </c>
      <c r="H12" s="5" t="str">
        <f>IF('Raw RetailSalesData'!H12="","Unknown",'Raw RetailSalesData'!H12)</f>
        <v>LATAM</v>
      </c>
      <c r="I12" t="s">
        <v>90</v>
      </c>
      <c r="J12" t="s">
        <v>2198</v>
      </c>
      <c r="K12" t="str">
        <f>TRIM('Raw RetailSalesData'!K12)</f>
        <v>Sales Rep 2</v>
      </c>
      <c r="L12" t="s">
        <v>46</v>
      </c>
    </row>
    <row r="13" spans="1:12" x14ac:dyDescent="0.3">
      <c r="A13" t="str">
        <f>IF(COUNTIF('Raw RetailSalesData'!$A:$L,'Raw RetailSalesData'!A13)=1,'Raw RetailSalesData'!A13,"")</f>
        <v>ORD-10012</v>
      </c>
      <c r="B13" t="str">
        <f>IF('Raw RetailSalesData'!B13="","UNKNOWN",'Raw RetailSalesData'!B13)</f>
        <v>2022-03-26</v>
      </c>
      <c r="C13" t="str">
        <f>IF('Raw RetailSalesData'!C13="","UNKNOW",'Raw RetailSalesData'!C13)</f>
        <v>CUST-1161</v>
      </c>
      <c r="D13" t="str">
        <f>IF('Raw RetailSalesData'!D13="","UNKNOW",'Raw RetailSalesData'!D13)</f>
        <v>P203</v>
      </c>
      <c r="E13" s="5">
        <f>IF('Raw RetailSalesData'!E13="",'Raw RetailSalesData'!F13/'Raw RetailSalesData'!G13,'Raw RetailSalesData'!E13)</f>
        <v>7</v>
      </c>
      <c r="F13" s="7">
        <f>IF('Raw RetailSalesData'!F13="",'Raw RetailSalesData'!G13/'Raw RetailSalesData'!E13,'Raw RetailSalesData'!F13)</f>
        <v>63</v>
      </c>
      <c r="G13" s="7">
        <f t="shared" si="0"/>
        <v>441</v>
      </c>
      <c r="H13" s="5" t="str">
        <f>IF('Raw RetailSalesData'!H13="","Unknown",'Raw RetailSalesData'!H13)</f>
        <v>LATAM</v>
      </c>
      <c r="I13" t="s">
        <v>18</v>
      </c>
      <c r="J13" t="s">
        <v>2197</v>
      </c>
      <c r="K13" t="str">
        <f>TRIM('Raw RetailSalesData'!K13)</f>
        <v>Unknown</v>
      </c>
      <c r="L13" t="s">
        <v>21</v>
      </c>
    </row>
    <row r="14" spans="1:12" x14ac:dyDescent="0.3">
      <c r="A14" t="str">
        <f>IF(COUNTIF('Raw RetailSalesData'!$A:$L,'Raw RetailSalesData'!A14)=1,'Raw RetailSalesData'!A14,"")</f>
        <v>ORD-10013</v>
      </c>
      <c r="B14" t="str">
        <f>IF('Raw RetailSalesData'!B14="","UNKNOWN",'Raw RetailSalesData'!B14)</f>
        <v>2025-11-30</v>
      </c>
      <c r="C14" t="str">
        <f>IF('Raw RetailSalesData'!C14="","UNKNOW",'Raw RetailSalesData'!C14)</f>
        <v>CUST-1027</v>
      </c>
      <c r="D14" t="str">
        <f>IF('Raw RetailSalesData'!D14="","UNKNOW",'Raw RetailSalesData'!D14)</f>
        <v>C303</v>
      </c>
      <c r="E14" s="5">
        <f>IF('Raw RetailSalesData'!E14="",'Raw RetailSalesData'!F14/'Raw RetailSalesData'!G14,'Raw RetailSalesData'!E14)</f>
        <v>8</v>
      </c>
      <c r="F14" s="7">
        <f>IF('Raw RetailSalesData'!F14="",'Raw RetailSalesData'!G14/'Raw RetailSalesData'!E14,'Raw RetailSalesData'!F14)</f>
        <v>65</v>
      </c>
      <c r="G14" s="7">
        <f t="shared" si="0"/>
        <v>520</v>
      </c>
      <c r="H14" s="5" t="str">
        <f>IF('Raw RetailSalesData'!H14="","Unknown",'Raw RetailSalesData'!H14)</f>
        <v>NA</v>
      </c>
      <c r="I14" t="s">
        <v>100</v>
      </c>
      <c r="J14" t="s">
        <v>101</v>
      </c>
      <c r="K14" t="str">
        <f>TRIM('Raw RetailSalesData'!K14)</f>
        <v>Sales Rep 3</v>
      </c>
      <c r="L14" t="s">
        <v>31</v>
      </c>
    </row>
    <row r="15" spans="1:12" x14ac:dyDescent="0.3">
      <c r="A15" t="str">
        <f>IF(COUNTIF('Raw RetailSalesData'!$A:$L,'Raw RetailSalesData'!A15)=1,'Raw RetailSalesData'!A15,"")</f>
        <v>ORD-10014</v>
      </c>
      <c r="B15" t="str">
        <f>IF('Raw RetailSalesData'!B15="","UNKNOWN",'Raw RetailSalesData'!B15)</f>
        <v>2024-09-30</v>
      </c>
      <c r="C15" t="str">
        <f>IF('Raw RetailSalesData'!C15="","UNKNOW",'Raw RetailSalesData'!C15)</f>
        <v>CUST-1058</v>
      </c>
      <c r="D15" t="str">
        <f>IF('Raw RetailSalesData'!D15="","UNKNOW",'Raw RetailSalesData'!D15)</f>
        <v>P202</v>
      </c>
      <c r="E15" s="5">
        <f>IF('Raw RetailSalesData'!E15="",'Raw RetailSalesData'!F15/'Raw RetailSalesData'!G15,'Raw RetailSalesData'!E15)</f>
        <v>2</v>
      </c>
      <c r="F15" s="7">
        <f>IF('Raw RetailSalesData'!F15="",'Raw RetailSalesData'!G15/'Raw RetailSalesData'!E15,'Raw RetailSalesData'!F15)</f>
        <v>60</v>
      </c>
      <c r="G15" s="7">
        <f t="shared" si="0"/>
        <v>120</v>
      </c>
      <c r="H15" s="5" t="str">
        <f>IF('Raw RetailSalesData'!H15="","Unknown",'Raw RetailSalesData'!H15)</f>
        <v>LATAM</v>
      </c>
      <c r="I15" t="s">
        <v>90</v>
      </c>
      <c r="J15" t="s">
        <v>2198</v>
      </c>
      <c r="K15" t="str">
        <f>TRIM('Raw RetailSalesData'!K15)</f>
        <v>Sales Rep 4</v>
      </c>
      <c r="L15" t="s">
        <v>21</v>
      </c>
    </row>
    <row r="16" spans="1:12" x14ac:dyDescent="0.3">
      <c r="A16" t="str">
        <f>IF(COUNTIF('Raw RetailSalesData'!$A:$L,'Raw RetailSalesData'!A16)=1,'Raw RetailSalesData'!A16,"")</f>
        <v>ORD-10015</v>
      </c>
      <c r="B16" t="str">
        <f>IF('Raw RetailSalesData'!B16="","UNKNOWN",'Raw RetailSalesData'!B16)</f>
        <v>2023-09-15</v>
      </c>
      <c r="C16" t="str">
        <f>IF('Raw RetailSalesData'!C16="","UNKNOW",'Raw RetailSalesData'!C16)</f>
        <v>CUST-1139</v>
      </c>
      <c r="D16" t="str">
        <f>IF('Raw RetailSalesData'!D16="","UNKNOW",'Raw RetailSalesData'!D16)</f>
        <v>C302</v>
      </c>
      <c r="E16" s="5">
        <f>IF('Raw RetailSalesData'!E16="",'Raw RetailSalesData'!F16/'Raw RetailSalesData'!G16,'Raw RetailSalesData'!E16)</f>
        <v>17</v>
      </c>
      <c r="F16" s="7">
        <f>IF('Raw RetailSalesData'!F16="",'Raw RetailSalesData'!G16/'Raw RetailSalesData'!E16,'Raw RetailSalesData'!F16)</f>
        <v>50</v>
      </c>
      <c r="G16" s="7">
        <f t="shared" si="0"/>
        <v>850</v>
      </c>
      <c r="H16" s="5" t="str">
        <f>IF('Raw RetailSalesData'!H16="","Unknown",'Raw RetailSalesData'!H16)</f>
        <v>EMEA</v>
      </c>
      <c r="I16" t="s">
        <v>38</v>
      </c>
      <c r="J16" t="s">
        <v>39</v>
      </c>
      <c r="K16" t="str">
        <f>TRIM('Raw RetailSalesData'!K16)</f>
        <v>Sales Rep 4</v>
      </c>
      <c r="L16" t="s">
        <v>2190</v>
      </c>
    </row>
    <row r="17" spans="1:12" x14ac:dyDescent="0.3">
      <c r="A17" t="str">
        <f>IF(COUNTIF('Raw RetailSalesData'!$A:$L,'Raw RetailSalesData'!A17)=1,'Raw RetailSalesData'!A17,"")</f>
        <v>ORD-10016</v>
      </c>
      <c r="B17" t="str">
        <f>IF('Raw RetailSalesData'!B17="","UNKNOWN",'Raw RetailSalesData'!B17)</f>
        <v>2024-07-08</v>
      </c>
      <c r="C17" t="str">
        <f>IF('Raw RetailSalesData'!C17="","UNKNOW",'Raw RetailSalesData'!C17)</f>
        <v>UNKNOW</v>
      </c>
      <c r="D17" t="str">
        <f>IF('Raw RetailSalesData'!D17="","UNKNOW",'Raw RetailSalesData'!D17)</f>
        <v>P203</v>
      </c>
      <c r="E17" s="5">
        <f>IF('Raw RetailSalesData'!E17="",'Raw RetailSalesData'!F17/'Raw RetailSalesData'!G17,'Raw RetailSalesData'!E17)</f>
        <v>19</v>
      </c>
      <c r="F17" s="7">
        <f>IF('Raw RetailSalesData'!F17="",'Raw RetailSalesData'!G17/'Raw RetailSalesData'!E17,'Raw RetailSalesData'!F17)</f>
        <v>63</v>
      </c>
      <c r="G17" s="7">
        <f t="shared" si="0"/>
        <v>1197</v>
      </c>
      <c r="H17" s="5" t="str">
        <f>IF('Raw RetailSalesData'!H17="","Unknown",'Raw RetailSalesData'!H17)</f>
        <v>LATAM</v>
      </c>
      <c r="I17" t="s">
        <v>18</v>
      </c>
      <c r="J17" t="s">
        <v>2197</v>
      </c>
      <c r="K17" t="str">
        <f>TRIM('Raw RetailSalesData'!K17)</f>
        <v>Sales Rep 5</v>
      </c>
      <c r="L17" t="s">
        <v>21</v>
      </c>
    </row>
    <row r="18" spans="1:12" x14ac:dyDescent="0.3">
      <c r="A18" t="str">
        <f>IF(COUNTIF('Raw RetailSalesData'!$A:$L,'Raw RetailSalesData'!A18)=1,'Raw RetailSalesData'!A18,"")</f>
        <v>ORD-10017</v>
      </c>
      <c r="B18" t="str">
        <f>IF('Raw RetailSalesData'!B18="","UNKNOWN",'Raw RetailSalesData'!B18)</f>
        <v>2024-09-30</v>
      </c>
      <c r="C18" t="str">
        <f>IF('Raw RetailSalesData'!C18="","UNKNOW",'Raw RetailSalesData'!C18)</f>
        <v>CUST-1166</v>
      </c>
      <c r="D18" t="str">
        <f>IF('Raw RetailSalesData'!D18="","UNKNOW",'Raw RetailSalesData'!D18)</f>
        <v>C303</v>
      </c>
      <c r="E18" s="5">
        <f>IF('Raw RetailSalesData'!E18="",'Raw RetailSalesData'!F18/'Raw RetailSalesData'!G18,'Raw RetailSalesData'!E18)</f>
        <v>9</v>
      </c>
      <c r="F18" s="7">
        <f>IF('Raw RetailSalesData'!F18="",'Raw RetailSalesData'!G18/'Raw RetailSalesData'!E18,'Raw RetailSalesData'!F18)</f>
        <v>55</v>
      </c>
      <c r="G18" s="7">
        <f t="shared" si="0"/>
        <v>495</v>
      </c>
      <c r="H18" s="5" t="str">
        <f>IF('Raw RetailSalesData'!H18="","Unknown",'Raw RetailSalesData'!H18)</f>
        <v>LATAM</v>
      </c>
      <c r="I18" t="s">
        <v>18</v>
      </c>
      <c r="J18" t="s">
        <v>2197</v>
      </c>
      <c r="K18" t="str">
        <f>TRIM('Raw RetailSalesData'!K18)</f>
        <v>Sales Rep 5</v>
      </c>
      <c r="L18" t="s">
        <v>21</v>
      </c>
    </row>
    <row r="19" spans="1:12" x14ac:dyDescent="0.3">
      <c r="A19" t="str">
        <f>IF(COUNTIF('Raw RetailSalesData'!$A:$L,'Raw RetailSalesData'!A19)=1,'Raw RetailSalesData'!A19,"")</f>
        <v>ORD-10018</v>
      </c>
      <c r="B19" t="str">
        <f>IF('Raw RetailSalesData'!B19="","UNKNOWN",'Raw RetailSalesData'!B19)</f>
        <v>2026-05-30</v>
      </c>
      <c r="C19" t="str">
        <f>IF('Raw RetailSalesData'!C19="","UNKNOW",'Raw RetailSalesData'!C19)</f>
        <v>CUST-1143</v>
      </c>
      <c r="D19" t="str">
        <f>IF('Raw RetailSalesData'!D19="","UNKNOW",'Raw RetailSalesData'!D19)</f>
        <v>C301</v>
      </c>
      <c r="E19" s="5">
        <f>IF('Raw RetailSalesData'!E19="",'Raw RetailSalesData'!F19/'Raw RetailSalesData'!G19,'Raw RetailSalesData'!E19)</f>
        <v>18</v>
      </c>
      <c r="F19" s="7">
        <f>IF('Raw RetailSalesData'!F19="",'Raw RetailSalesData'!G19/'Raw RetailSalesData'!E19,'Raw RetailSalesData'!F19)</f>
        <v>60</v>
      </c>
      <c r="G19" s="7">
        <f t="shared" si="0"/>
        <v>1080</v>
      </c>
      <c r="H19" s="5" t="str">
        <f>IF('Raw RetailSalesData'!H19="","Unknown",'Raw RetailSalesData'!H19)</f>
        <v>NA</v>
      </c>
      <c r="I19" t="s">
        <v>28</v>
      </c>
      <c r="J19" t="s">
        <v>29</v>
      </c>
      <c r="K19" t="str">
        <f>TRIM('Raw RetailSalesData'!K19)</f>
        <v>Sales Rep 1</v>
      </c>
      <c r="L19" t="s">
        <v>46</v>
      </c>
    </row>
    <row r="20" spans="1:12" x14ac:dyDescent="0.3">
      <c r="A20" t="str">
        <f>IF(COUNTIF('Raw RetailSalesData'!$A:$L,'Raw RetailSalesData'!A20)=1,'Raw RetailSalesData'!A20,"")</f>
        <v>ORD-10019</v>
      </c>
      <c r="B20" t="str">
        <f>IF('Raw RetailSalesData'!B20="","UNKNOWN",'Raw RetailSalesData'!B20)</f>
        <v>2023-06-17</v>
      </c>
      <c r="C20" t="str">
        <f>IF('Raw RetailSalesData'!C20="","UNKNOW",'Raw RetailSalesData'!C20)</f>
        <v>CUST-1193</v>
      </c>
      <c r="D20" t="str">
        <f>IF('Raw RetailSalesData'!D20="","UNKNOW",'Raw RetailSalesData'!D20)</f>
        <v>P203</v>
      </c>
      <c r="E20" s="5">
        <f>IF('Raw RetailSalesData'!E20="",'Raw RetailSalesData'!F20/'Raw RetailSalesData'!G20,'Raw RetailSalesData'!E20)</f>
        <v>14</v>
      </c>
      <c r="F20" s="7">
        <f>IF('Raw RetailSalesData'!F20="",'Raw RetailSalesData'!G20/'Raw RetailSalesData'!E20,'Raw RetailSalesData'!F20)</f>
        <v>73</v>
      </c>
      <c r="G20" s="7">
        <f t="shared" si="0"/>
        <v>1022</v>
      </c>
      <c r="H20" s="5" t="str">
        <f>IF('Raw RetailSalesData'!H20="","Unknown",'Raw RetailSalesData'!H20)</f>
        <v>NA</v>
      </c>
      <c r="I20" t="s">
        <v>28</v>
      </c>
      <c r="J20" t="s">
        <v>29</v>
      </c>
      <c r="K20" t="str">
        <f>TRIM('Raw RetailSalesData'!K20)</f>
        <v>Sales Rep 2</v>
      </c>
      <c r="L20" t="s">
        <v>46</v>
      </c>
    </row>
    <row r="21" spans="1:12" x14ac:dyDescent="0.3">
      <c r="A21" t="str">
        <f>IF(COUNTIF('Raw RetailSalesData'!$A:$L,'Raw RetailSalesData'!A21)=1,'Raw RetailSalesData'!A21,"")</f>
        <v>ORD-10020</v>
      </c>
      <c r="B21" t="str">
        <f>IF('Raw RetailSalesData'!B21="","UNKNOWN",'Raw RetailSalesData'!B21)</f>
        <v>2023-08-28</v>
      </c>
      <c r="C21" t="str">
        <f>IF('Raw RetailSalesData'!C21="","UNKNOW",'Raw RetailSalesData'!C21)</f>
        <v>CUST-1158</v>
      </c>
      <c r="D21" t="str">
        <f>IF('Raw RetailSalesData'!D21="","UNKNOW",'Raw RetailSalesData'!D21)</f>
        <v>C304</v>
      </c>
      <c r="E21" s="5">
        <f>IF('Raw RetailSalesData'!E21="",'Raw RetailSalesData'!F21/'Raw RetailSalesData'!G21,'Raw RetailSalesData'!E21)</f>
        <v>18</v>
      </c>
      <c r="F21" s="7">
        <f>IF('Raw RetailSalesData'!F21="",'Raw RetailSalesData'!G21/'Raw RetailSalesData'!E21,'Raw RetailSalesData'!F21)</f>
        <v>63</v>
      </c>
      <c r="G21" s="7">
        <f t="shared" si="0"/>
        <v>1134</v>
      </c>
      <c r="H21" s="5" t="str">
        <f>IF('Raw RetailSalesData'!H21="","Unknown",'Raw RetailSalesData'!H21)</f>
        <v>NA</v>
      </c>
      <c r="I21" t="s">
        <v>100</v>
      </c>
      <c r="J21" t="s">
        <v>101</v>
      </c>
      <c r="K21" t="str">
        <f>TRIM('Raw RetailSalesData'!K21)</f>
        <v>Sales Rep 5</v>
      </c>
      <c r="L21" t="s">
        <v>31</v>
      </c>
    </row>
    <row r="22" spans="1:12" x14ac:dyDescent="0.3">
      <c r="A22" t="str">
        <f>IF(COUNTIF('Raw RetailSalesData'!$A:$L,'Raw RetailSalesData'!A22)=1,'Raw RetailSalesData'!A22,"")</f>
        <v>ORD-10021</v>
      </c>
      <c r="B22" t="str">
        <f>IF('Raw RetailSalesData'!B22="","UNKNOWN",'Raw RetailSalesData'!B22)</f>
        <v>2022-03-28</v>
      </c>
      <c r="C22" t="str">
        <f>IF('Raw RetailSalesData'!C22="","UNKNOW",'Raw RetailSalesData'!C22)</f>
        <v>CUST-1051</v>
      </c>
      <c r="D22" t="str">
        <f>IF('Raw RetailSalesData'!D22="","UNKNOW",'Raw RetailSalesData'!D22)</f>
        <v>C301</v>
      </c>
      <c r="E22" s="5">
        <f>IF('Raw RetailSalesData'!E22="",'Raw RetailSalesData'!F22/'Raw RetailSalesData'!G22,'Raw RetailSalesData'!E22)</f>
        <v>7</v>
      </c>
      <c r="F22" s="7">
        <f>IF('Raw RetailSalesData'!F22="",'Raw RetailSalesData'!G22/'Raw RetailSalesData'!E22,'Raw RetailSalesData'!F22)</f>
        <v>60</v>
      </c>
      <c r="G22" s="7">
        <f t="shared" si="0"/>
        <v>420</v>
      </c>
      <c r="H22" s="5" t="str">
        <f>IF('Raw RetailSalesData'!H22="","Unknown",'Raw RetailSalesData'!H22)</f>
        <v>NA</v>
      </c>
      <c r="I22" t="s">
        <v>28</v>
      </c>
      <c r="J22" t="s">
        <v>2196</v>
      </c>
      <c r="K22" t="str">
        <f>TRIM('Raw RetailSalesData'!K22)</f>
        <v>Michael Johnson</v>
      </c>
      <c r="L22" t="s">
        <v>31</v>
      </c>
    </row>
    <row r="23" spans="1:12" x14ac:dyDescent="0.3">
      <c r="A23" t="str">
        <f>IF(COUNTIF('Raw RetailSalesData'!$A:$L,'Raw RetailSalesData'!A23)=1,'Raw RetailSalesData'!A23,"")</f>
        <v>ORD-10022</v>
      </c>
      <c r="B23" t="str">
        <f>IF('Raw RetailSalesData'!B23="","UNKNOWN",'Raw RetailSalesData'!B23)</f>
        <v>2022-10-01</v>
      </c>
      <c r="C23" t="str">
        <f>IF('Raw RetailSalesData'!C23="","UNKNOW",'Raw RetailSalesData'!C23)</f>
        <v>CUST-1175</v>
      </c>
      <c r="D23" t="str">
        <f>IF('Raw RetailSalesData'!D23="","UNKNOW",'Raw RetailSalesData'!D23)</f>
        <v>P203</v>
      </c>
      <c r="E23" s="5">
        <f>IF('Raw RetailSalesData'!E23="",'Raw RetailSalesData'!F23/'Raw RetailSalesData'!G23,'Raw RetailSalesData'!E23)</f>
        <v>11</v>
      </c>
      <c r="F23" s="7">
        <f>IF('Raw RetailSalesData'!F23="",'Raw RetailSalesData'!G23/'Raw RetailSalesData'!E23,'Raw RetailSalesData'!F23)</f>
        <v>68</v>
      </c>
      <c r="G23" s="7">
        <f t="shared" si="0"/>
        <v>748</v>
      </c>
      <c r="H23" s="5" t="str">
        <f>IF('Raw RetailSalesData'!H23="","Unknown",'Raw RetailSalesData'!H23)</f>
        <v>APAC</v>
      </c>
      <c r="I23" t="s">
        <v>71</v>
      </c>
      <c r="J23" t="s">
        <v>72</v>
      </c>
      <c r="K23" t="str">
        <f>TRIM('Raw RetailSalesData'!K23)</f>
        <v>Hiroshi Tanaka</v>
      </c>
      <c r="L23" t="s">
        <v>21</v>
      </c>
    </row>
    <row r="24" spans="1:12" x14ac:dyDescent="0.3">
      <c r="A24" t="str">
        <f>IF(COUNTIF('Raw RetailSalesData'!$A:$L,'Raw RetailSalesData'!A24)=1,'Raw RetailSalesData'!A24,"")</f>
        <v>ORD-10023</v>
      </c>
      <c r="B24" t="str">
        <f>IF('Raw RetailSalesData'!B24="","UNKNOWN",'Raw RetailSalesData'!B24)</f>
        <v>2025-06-18</v>
      </c>
      <c r="C24" t="str">
        <f>IF('Raw RetailSalesData'!C24="","UNKNOW",'Raw RetailSalesData'!C24)</f>
        <v>CUST-1077</v>
      </c>
      <c r="D24" t="str">
        <f>IF('Raw RetailSalesData'!D24="","UNKNOW",'Raw RetailSalesData'!D24)</f>
        <v>C302</v>
      </c>
      <c r="E24" s="5">
        <f>IF('Raw RetailSalesData'!E24="",'Raw RetailSalesData'!F24/'Raw RetailSalesData'!G24,'Raw RetailSalesData'!E24)</f>
        <v>10</v>
      </c>
      <c r="F24" s="7">
        <f>IF('Raw RetailSalesData'!F24="",'Raw RetailSalesData'!G24/'Raw RetailSalesData'!E24,'Raw RetailSalesData'!F24)</f>
        <v>45</v>
      </c>
      <c r="G24" s="7">
        <f t="shared" si="0"/>
        <v>450</v>
      </c>
      <c r="H24" s="5" t="str">
        <f>IF('Raw RetailSalesData'!H24="","Unknown",'Raw RetailSalesData'!H24)</f>
        <v>LATAM</v>
      </c>
      <c r="I24" t="s">
        <v>90</v>
      </c>
      <c r="J24" t="s">
        <v>2198</v>
      </c>
      <c r="K24" t="str">
        <f>TRIM('Raw RetailSalesData'!K24)</f>
        <v>Sales Rep 1</v>
      </c>
      <c r="L24" t="s">
        <v>31</v>
      </c>
    </row>
    <row r="25" spans="1:12" x14ac:dyDescent="0.3">
      <c r="A25" t="str">
        <f>IF(COUNTIF('Raw RetailSalesData'!$A:$L,'Raw RetailSalesData'!A25)=1,'Raw RetailSalesData'!A25,"")</f>
        <v xml:space="preserve">UNKNOWN </v>
      </c>
      <c r="B25" t="str">
        <f>IF('Raw RetailSalesData'!B25="","UNKNOWN",'Raw RetailSalesData'!B25)</f>
        <v>2023-03-28</v>
      </c>
      <c r="C25" t="str">
        <f>IF('Raw RetailSalesData'!C25="","UNKNOW",'Raw RetailSalesData'!C25)</f>
        <v>CUST-1042</v>
      </c>
      <c r="D25" t="str">
        <f>IF('Raw RetailSalesData'!D25="","UNKNOW",'Raw RetailSalesData'!D25)</f>
        <v>P202</v>
      </c>
      <c r="E25" s="5">
        <f>IF('Raw RetailSalesData'!E25="",'Raw RetailSalesData'!F25/'Raw RetailSalesData'!G25,'Raw RetailSalesData'!E25)</f>
        <v>8</v>
      </c>
      <c r="F25" s="7">
        <f>IF('Raw RetailSalesData'!F25="",'Raw RetailSalesData'!G25/'Raw RetailSalesData'!E25,'Raw RetailSalesData'!F25)</f>
        <v>60</v>
      </c>
      <c r="G25" s="7">
        <f t="shared" si="0"/>
        <v>480</v>
      </c>
      <c r="H25" s="5" t="str">
        <f>IF('Raw RetailSalesData'!H25="","Unknown",'Raw RetailSalesData'!H25)</f>
        <v>LATAM</v>
      </c>
      <c r="I25" t="s">
        <v>18</v>
      </c>
      <c r="J25" t="s">
        <v>2197</v>
      </c>
      <c r="K25" t="str">
        <f>TRIM('Raw RetailSalesData'!K25)</f>
        <v>Sales Rep 3</v>
      </c>
      <c r="L25" t="s">
        <v>46</v>
      </c>
    </row>
    <row r="26" spans="1:12" x14ac:dyDescent="0.3">
      <c r="A26" t="str">
        <f>IF(COUNTIF('Raw RetailSalesData'!$A:$L,'Raw RetailSalesData'!A26)=1,'Raw RetailSalesData'!A26,"")</f>
        <v>ORD-10025</v>
      </c>
      <c r="B26" t="str">
        <f>IF('Raw RetailSalesData'!B26="","UNKNOWN",'Raw RetailSalesData'!B26)</f>
        <v>2022-11-03</v>
      </c>
      <c r="C26" t="str">
        <f>IF('Raw RetailSalesData'!C26="","UNKNOW",'Raw RetailSalesData'!C26)</f>
        <v>CUST-1100</v>
      </c>
      <c r="D26" t="str">
        <f>IF('Raw RetailSalesData'!D26="","UNKNOW",'Raw RetailSalesData'!D26)</f>
        <v>P101</v>
      </c>
      <c r="E26" s="5">
        <f>IF('Raw RetailSalesData'!E26="",'Raw RetailSalesData'!F26/'Raw RetailSalesData'!G26,'Raw RetailSalesData'!E26)</f>
        <v>3</v>
      </c>
      <c r="F26" s="7">
        <f>IF('Raw RetailSalesData'!F26="",'Raw RetailSalesData'!G26/'Raw RetailSalesData'!E26,'Raw RetailSalesData'!F26)</f>
        <v>85</v>
      </c>
      <c r="G26" s="7">
        <f t="shared" si="0"/>
        <v>255</v>
      </c>
      <c r="H26" s="5" t="str">
        <f>IF('Raw RetailSalesData'!H26="","Unknown",'Raw RetailSalesData'!H26)</f>
        <v>EMEA</v>
      </c>
      <c r="I26" t="s">
        <v>38</v>
      </c>
      <c r="J26" t="s">
        <v>39</v>
      </c>
      <c r="K26" t="str">
        <f>TRIM('Raw RetailSalesData'!K26)</f>
        <v>Sales Rep 2</v>
      </c>
      <c r="L26" t="s">
        <v>46</v>
      </c>
    </row>
    <row r="27" spans="1:12" x14ac:dyDescent="0.3">
      <c r="A27" t="str">
        <f>IF(COUNTIF('Raw RetailSalesData'!$A:$L,'Raw RetailSalesData'!A27)=1,'Raw RetailSalesData'!A27,"")</f>
        <v>ORD-10027</v>
      </c>
      <c r="B27" t="str">
        <f>IF('Raw RetailSalesData'!B27="","UNKNOWN",'Raw RetailSalesData'!B27)</f>
        <v>2024-02-24</v>
      </c>
      <c r="C27" t="str">
        <f>IF('Raw RetailSalesData'!C27="","UNKNOW",'Raw RetailSalesData'!C27)</f>
        <v>CUST-1057</v>
      </c>
      <c r="D27" t="str">
        <f>IF('Raw RetailSalesData'!D27="","UNKNOW",'Raw RetailSalesData'!D27)</f>
        <v>C302</v>
      </c>
      <c r="E27" s="5">
        <f>IF('Raw RetailSalesData'!E27="",'Raw RetailSalesData'!F27/'Raw RetailSalesData'!G27,'Raw RetailSalesData'!E27)</f>
        <v>3</v>
      </c>
      <c r="F27" s="7">
        <f>IF('Raw RetailSalesData'!F27="",'Raw RetailSalesData'!G27/'Raw RetailSalesData'!E27,'Raw RetailSalesData'!F27)</f>
        <v>50</v>
      </c>
      <c r="G27" s="7">
        <f t="shared" si="0"/>
        <v>150</v>
      </c>
      <c r="H27" s="5" t="str">
        <f>IF('Raw RetailSalesData'!H27="","Unknown",'Raw RetailSalesData'!H27)</f>
        <v>APAC</v>
      </c>
      <c r="I27" t="s">
        <v>151</v>
      </c>
      <c r="J27" t="s">
        <v>152</v>
      </c>
      <c r="K27" t="str">
        <f>TRIM('Raw RetailSalesData'!K27)</f>
        <v>Aarav Patel</v>
      </c>
      <c r="L27" t="s">
        <v>46</v>
      </c>
    </row>
    <row r="28" spans="1:12" x14ac:dyDescent="0.3">
      <c r="A28" t="str">
        <f>IF(COUNTIF('Raw RetailSalesData'!$A:$L,'Raw RetailSalesData'!A28)=1,'Raw RetailSalesData'!A28,"")</f>
        <v>ORD-10028</v>
      </c>
      <c r="B28" t="str">
        <f>IF('Raw RetailSalesData'!B28="","UNKNOWN",'Raw RetailSalesData'!B28)</f>
        <v>2023-10-03</v>
      </c>
      <c r="C28" t="str">
        <f>IF('Raw RetailSalesData'!C28="","UNKNOW",'Raw RetailSalesData'!C28)</f>
        <v>CUST-1078</v>
      </c>
      <c r="D28" t="str">
        <f>IF('Raw RetailSalesData'!D28="","UNKNOW",'Raw RetailSalesData'!D28)</f>
        <v>P202</v>
      </c>
      <c r="E28" s="5">
        <f>IF('Raw RetailSalesData'!E28="",'Raw RetailSalesData'!F28/'Raw RetailSalesData'!G28,'Raw RetailSalesData'!E28)</f>
        <v>15</v>
      </c>
      <c r="F28" s="7">
        <f>IF('Raw RetailSalesData'!F28="",'Raw RetailSalesData'!G28/'Raw RetailSalesData'!E28,'Raw RetailSalesData'!F28)</f>
        <v>65</v>
      </c>
      <c r="G28" s="7">
        <f t="shared" si="0"/>
        <v>975</v>
      </c>
      <c r="H28" s="5" t="str">
        <f>IF('Raw RetailSalesData'!H28="","Unknown",'Raw RetailSalesData'!H28)</f>
        <v>EMEA</v>
      </c>
      <c r="I28" t="s">
        <v>83</v>
      </c>
      <c r="J28" t="s">
        <v>84</v>
      </c>
      <c r="K28" t="str">
        <f>TRIM('Raw RetailSalesData'!K28)</f>
        <v>John Smith</v>
      </c>
      <c r="L28" t="s">
        <v>46</v>
      </c>
    </row>
    <row r="29" spans="1:12" x14ac:dyDescent="0.3">
      <c r="A29" t="str">
        <f>IF(COUNTIF('Raw RetailSalesData'!$A:$L,'Raw RetailSalesData'!A29)=1,'Raw RetailSalesData'!A29,"")</f>
        <v>ORD-10029</v>
      </c>
      <c r="B29" t="str">
        <f>IF('Raw RetailSalesData'!B29="","UNKNOWN",'Raw RetailSalesData'!B29)</f>
        <v>UNKNOWN</v>
      </c>
      <c r="C29" t="str">
        <f>IF('Raw RetailSalesData'!C29="","UNKNOW",'Raw RetailSalesData'!C29)</f>
        <v>CUST-1054</v>
      </c>
      <c r="D29" t="str">
        <f>IF('Raw RetailSalesData'!D29="","UNKNOW",'Raw RetailSalesData'!D29)</f>
        <v>C301</v>
      </c>
      <c r="E29" s="5">
        <f>IF('Raw RetailSalesData'!E29="",'Raw RetailSalesData'!F29/'Raw RetailSalesData'!G29,'Raw RetailSalesData'!E29)</f>
        <v>12</v>
      </c>
      <c r="F29" s="7">
        <f>IF('Raw RetailSalesData'!F29="",'Raw RetailSalesData'!G29/'Raw RetailSalesData'!E29,'Raw RetailSalesData'!F29)</f>
        <v>55</v>
      </c>
      <c r="G29" s="7">
        <f t="shared" si="0"/>
        <v>660</v>
      </c>
      <c r="H29" s="5" t="str">
        <f>IF('Raw RetailSalesData'!H29="","Unknown",'Raw RetailSalesData'!H29)</f>
        <v>EMEA</v>
      </c>
      <c r="I29" t="s">
        <v>38</v>
      </c>
      <c r="J29" t="s">
        <v>39</v>
      </c>
      <c r="K29" t="str">
        <f>TRIM('Raw RetailSalesData'!K29)</f>
        <v>Sales Rep 2</v>
      </c>
      <c r="L29" t="s">
        <v>21</v>
      </c>
    </row>
    <row r="30" spans="1:12" x14ac:dyDescent="0.3">
      <c r="A30" t="str">
        <f>IF(COUNTIF('Raw RetailSalesData'!$A:$L,'Raw RetailSalesData'!A30)=1,'Raw RetailSalesData'!A30,"")</f>
        <v>ORD-10030</v>
      </c>
      <c r="B30" t="str">
        <f>IF('Raw RetailSalesData'!B30="","UNKNOWN",'Raw RetailSalesData'!B30)</f>
        <v>2025-10-18</v>
      </c>
      <c r="C30" t="str">
        <f>IF('Raw RetailSalesData'!C30="","UNKNOW",'Raw RetailSalesData'!C30)</f>
        <v>CUST-1119</v>
      </c>
      <c r="D30" t="str">
        <f>IF('Raw RetailSalesData'!D30="","UNKNOW",'Raw RetailSalesData'!D30)</f>
        <v>C304</v>
      </c>
      <c r="E30" s="5">
        <f>IF('Raw RetailSalesData'!E30="",'Raw RetailSalesData'!F30/'Raw RetailSalesData'!G30,'Raw RetailSalesData'!E30)</f>
        <v>8</v>
      </c>
      <c r="F30" s="7">
        <f>IF('Raw RetailSalesData'!F30="",'Raw RetailSalesData'!G30/'Raw RetailSalesData'!E30,'Raw RetailSalesData'!F30)</f>
        <v>58</v>
      </c>
      <c r="G30" s="7">
        <f t="shared" si="0"/>
        <v>464</v>
      </c>
      <c r="H30" s="5" t="str">
        <f>IF('Raw RetailSalesData'!H30="","Unknown",'Raw RetailSalesData'!H30)</f>
        <v>APAC</v>
      </c>
      <c r="I30" t="s">
        <v>71</v>
      </c>
      <c r="J30" t="s">
        <v>72</v>
      </c>
      <c r="K30" t="str">
        <f>TRIM('Raw RetailSalesData'!K30)</f>
        <v>Hiroshi Tanaka</v>
      </c>
      <c r="L30" t="s">
        <v>21</v>
      </c>
    </row>
    <row r="31" spans="1:12" x14ac:dyDescent="0.3">
      <c r="A31" t="str">
        <f>IF(COUNTIF('Raw RetailSalesData'!$A:$L,'Raw RetailSalesData'!A31)=1,'Raw RetailSalesData'!A31,"")</f>
        <v>ORD-10031</v>
      </c>
      <c r="B31" t="str">
        <f>IF('Raw RetailSalesData'!B31="","UNKNOWN",'Raw RetailSalesData'!B31)</f>
        <v>2023-04-21</v>
      </c>
      <c r="C31" t="str">
        <f>IF('Raw RetailSalesData'!C31="","UNKNOW",'Raw RetailSalesData'!C31)</f>
        <v>CUST-1015</v>
      </c>
      <c r="D31" t="str">
        <f>IF('Raw RetailSalesData'!D31="","UNKNOW",'Raw RetailSalesData'!D31)</f>
        <v>P102</v>
      </c>
      <c r="E31" s="5">
        <f>IF('Raw RetailSalesData'!E31="",'Raw RetailSalesData'!F31/'Raw RetailSalesData'!G31,'Raw RetailSalesData'!E31)</f>
        <v>19</v>
      </c>
      <c r="F31" s="7">
        <f>IF('Raw RetailSalesData'!F31="",'Raw RetailSalesData'!G31/'Raw RetailSalesData'!E31,'Raw RetailSalesData'!F31)</f>
        <v>75</v>
      </c>
      <c r="G31" s="7">
        <f t="shared" si="0"/>
        <v>1425</v>
      </c>
      <c r="H31" s="5" t="str">
        <f>IF('Raw RetailSalesData'!H31="","Unknown",'Raw RetailSalesData'!H31)</f>
        <v>LATAM</v>
      </c>
      <c r="I31" t="s">
        <v>18</v>
      </c>
      <c r="J31" t="s">
        <v>2197</v>
      </c>
      <c r="K31" t="str">
        <f>TRIM('Raw RetailSalesData'!K31)</f>
        <v>Unknown</v>
      </c>
      <c r="L31" t="s">
        <v>31</v>
      </c>
    </row>
    <row r="32" spans="1:12" x14ac:dyDescent="0.3">
      <c r="A32" t="str">
        <f>IF(COUNTIF('Raw RetailSalesData'!$A:$L,'Raw RetailSalesData'!A32)=1,'Raw RetailSalesData'!A32,"")</f>
        <v>ORD-10032</v>
      </c>
      <c r="B32" t="str">
        <f>IF('Raw RetailSalesData'!B32="","UNKNOWN",'Raw RetailSalesData'!B32)</f>
        <v>2024-01-07</v>
      </c>
      <c r="C32" t="str">
        <f>IF('Raw RetailSalesData'!C32="","UNKNOW",'Raw RetailSalesData'!C32)</f>
        <v xml:space="preserve"> CUST-1063 </v>
      </c>
      <c r="D32" t="str">
        <f>IF('Raw RetailSalesData'!D32="","UNKNOW",'Raw RetailSalesData'!D32)</f>
        <v>P102</v>
      </c>
      <c r="E32" s="5">
        <f>IF('Raw RetailSalesData'!E32="",'Raw RetailSalesData'!F32/'Raw RetailSalesData'!G32,'Raw RetailSalesData'!E32)</f>
        <v>11</v>
      </c>
      <c r="F32" s="7">
        <f>IF('Raw RetailSalesData'!F32="",'Raw RetailSalesData'!G32/'Raw RetailSalesData'!E32,'Raw RetailSalesData'!F32)</f>
        <v>75</v>
      </c>
      <c r="G32" s="7">
        <f t="shared" si="0"/>
        <v>825</v>
      </c>
      <c r="H32" s="5" t="str">
        <f>IF('Raw RetailSalesData'!H32="","Unknown",'Raw RetailSalesData'!H32)</f>
        <v>LATAM</v>
      </c>
      <c r="I32" t="s">
        <v>90</v>
      </c>
      <c r="J32" t="s">
        <v>2198</v>
      </c>
      <c r="K32" t="str">
        <f>TRIM('Raw RetailSalesData'!K32)</f>
        <v>Sales Rep 4</v>
      </c>
      <c r="L32" t="s">
        <v>31</v>
      </c>
    </row>
    <row r="33" spans="1:12" x14ac:dyDescent="0.3">
      <c r="A33" t="str">
        <f>IF(COUNTIF('Raw RetailSalesData'!$A:$L,'Raw RetailSalesData'!A33)=1,'Raw RetailSalesData'!A33,"")</f>
        <v>ORD-10033</v>
      </c>
      <c r="B33" t="str">
        <f>IF('Raw RetailSalesData'!B33="","UNKNOWN",'Raw RetailSalesData'!B33)</f>
        <v>2023-07-22</v>
      </c>
      <c r="C33" t="str">
        <f>IF('Raw RetailSalesData'!C33="","UNKNOW",'Raw RetailSalesData'!C33)</f>
        <v>CUST-1003</v>
      </c>
      <c r="D33" t="str">
        <f>IF('Raw RetailSalesData'!D33="","UNKNOW",'Raw RetailSalesData'!D33)</f>
        <v>P101</v>
      </c>
      <c r="E33" s="5">
        <f>IF('Raw RetailSalesData'!E33="",'Raw RetailSalesData'!F33/'Raw RetailSalesData'!G33,'Raw RetailSalesData'!E33)</f>
        <v>14</v>
      </c>
      <c r="F33" s="7">
        <f>IF('Raw RetailSalesData'!F33="",'Raw RetailSalesData'!G33/'Raw RetailSalesData'!E33,'Raw RetailSalesData'!F33)</f>
        <v>80</v>
      </c>
      <c r="G33" s="7">
        <f t="shared" si="0"/>
        <v>1120</v>
      </c>
      <c r="H33" s="5" t="str">
        <f>IF('Raw RetailSalesData'!H33="","Unknown",'Raw RetailSalesData'!H33)</f>
        <v>LATAM</v>
      </c>
      <c r="I33" t="s">
        <v>18</v>
      </c>
      <c r="J33" t="s">
        <v>2197</v>
      </c>
      <c r="K33" t="str">
        <f>TRIM('Raw RetailSalesData'!K33)</f>
        <v>Sales Rep 4</v>
      </c>
      <c r="L33" t="s">
        <v>21</v>
      </c>
    </row>
    <row r="34" spans="1:12" x14ac:dyDescent="0.3">
      <c r="A34" t="str">
        <f>IF(COUNTIF('Raw RetailSalesData'!$A:$L,'Raw RetailSalesData'!A34)=1,'Raw RetailSalesData'!A34,"")</f>
        <v>ORD-10034</v>
      </c>
      <c r="B34" t="str">
        <f>IF('Raw RetailSalesData'!B34="","UNKNOWN",'Raw RetailSalesData'!B34)</f>
        <v>2024-08-22</v>
      </c>
      <c r="C34" t="str">
        <f>IF('Raw RetailSalesData'!C34="","UNKNOW",'Raw RetailSalesData'!C34)</f>
        <v>CUST-1114</v>
      </c>
      <c r="D34" t="str">
        <f>IF('Raw RetailSalesData'!D34="","UNKNOW",'Raw RetailSalesData'!D34)</f>
        <v>C303</v>
      </c>
      <c r="E34" s="5">
        <f>IF('Raw RetailSalesData'!E34="",'Raw RetailSalesData'!F34/'Raw RetailSalesData'!G34,'Raw RetailSalesData'!E34)</f>
        <v>20</v>
      </c>
      <c r="F34" s="7">
        <f>IF('Raw RetailSalesData'!F34="",'Raw RetailSalesData'!G34/'Raw RetailSalesData'!E34,'Raw RetailSalesData'!F34)</f>
        <v>60</v>
      </c>
      <c r="G34" s="7">
        <f t="shared" si="0"/>
        <v>1200</v>
      </c>
      <c r="H34" s="5" t="str">
        <f>IF('Raw RetailSalesData'!H34="","Unknown",'Raw RetailSalesData'!H34)</f>
        <v>APAC</v>
      </c>
      <c r="I34" t="s">
        <v>183</v>
      </c>
      <c r="J34" t="s">
        <v>184</v>
      </c>
      <c r="K34" t="str">
        <f>TRIM('Raw RetailSalesData'!K34)</f>
        <v>Sales Rep 3</v>
      </c>
      <c r="L34" t="s">
        <v>31</v>
      </c>
    </row>
    <row r="35" spans="1:12" x14ac:dyDescent="0.3">
      <c r="A35" t="str">
        <f>IF(COUNTIF('Raw RetailSalesData'!$A:$L,'Raw RetailSalesData'!A35)=1,'Raw RetailSalesData'!A35,"")</f>
        <v>ORD-10035</v>
      </c>
      <c r="B35" t="str">
        <f>IF('Raw RetailSalesData'!B35="","UNKNOWN",'Raw RetailSalesData'!B35)</f>
        <v>2025-10-07</v>
      </c>
      <c r="C35" t="str">
        <f>IF('Raw RetailSalesData'!C35="","UNKNOW",'Raw RetailSalesData'!C35)</f>
        <v>CUST-1120</v>
      </c>
      <c r="D35" t="str">
        <f>IF('Raw RetailSalesData'!D35="","UNKNOW",'Raw RetailSalesData'!D35)</f>
        <v>C302</v>
      </c>
      <c r="E35" s="5">
        <f>IF('Raw RetailSalesData'!E35="",'Raw RetailSalesData'!F35/'Raw RetailSalesData'!G35,'Raw RetailSalesData'!E35)</f>
        <v>18</v>
      </c>
      <c r="F35" s="7">
        <f>IF('Raw RetailSalesData'!F35="",'Raw RetailSalesData'!G35/'Raw RetailSalesData'!E35,'Raw RetailSalesData'!F35)</f>
        <v>50</v>
      </c>
      <c r="G35" s="7">
        <f t="shared" si="0"/>
        <v>900</v>
      </c>
      <c r="H35" s="5" t="str">
        <f>IF('Raw RetailSalesData'!H35="","Unknown",'Raw RetailSalesData'!H35)</f>
        <v>APAC</v>
      </c>
      <c r="I35" t="s">
        <v>151</v>
      </c>
      <c r="J35" t="s">
        <v>188</v>
      </c>
      <c r="K35" t="str">
        <f>TRIM('Raw RetailSalesData'!K35)</f>
        <v>Sales Rep 5</v>
      </c>
      <c r="L35" t="s">
        <v>21</v>
      </c>
    </row>
    <row r="36" spans="1:12" x14ac:dyDescent="0.3">
      <c r="A36" t="str">
        <f>IF(COUNTIF('Raw RetailSalesData'!$A:$L,'Raw RetailSalesData'!A36)=1,'Raw RetailSalesData'!A36,"")</f>
        <v>ORD-10037</v>
      </c>
      <c r="B36" t="str">
        <f>IF('Raw RetailSalesData'!B36="","UNKNOWN",'Raw RetailSalesData'!B36)</f>
        <v>#N/A</v>
      </c>
      <c r="C36" t="str">
        <f>IF('Raw RetailSalesData'!C36="","UNKNOW",'Raw RetailSalesData'!C36)</f>
        <v>CUST-1076</v>
      </c>
      <c r="D36" t="str">
        <f>IF('Raw RetailSalesData'!D36="","UNKNOW",'Raw RetailSalesData'!D36)</f>
        <v>P103</v>
      </c>
      <c r="E36" s="5">
        <f>IF('Raw RetailSalesData'!E36="",'Raw RetailSalesData'!F36/'Raw RetailSalesData'!G36,'Raw RetailSalesData'!E36)</f>
        <v>19</v>
      </c>
      <c r="F36" s="7">
        <f>IF('Raw RetailSalesData'!F36="",'Raw RetailSalesData'!G36/'Raw RetailSalesData'!E36,'Raw RetailSalesData'!F36)</f>
        <v>90</v>
      </c>
      <c r="G36" s="7">
        <f t="shared" si="0"/>
        <v>1710</v>
      </c>
      <c r="H36" s="5" t="str">
        <f>IF('Raw RetailSalesData'!H36="","Unknown",'Raw RetailSalesData'!H36)</f>
        <v>LATAM</v>
      </c>
      <c r="I36" t="s">
        <v>90</v>
      </c>
      <c r="J36" t="s">
        <v>2198</v>
      </c>
      <c r="K36" t="str">
        <f>TRIM('Raw RetailSalesData'!K36)</f>
        <v>Sales Rep 4</v>
      </c>
      <c r="L36" t="s">
        <v>21</v>
      </c>
    </row>
    <row r="37" spans="1:12" x14ac:dyDescent="0.3">
      <c r="A37" t="str">
        <f>IF(COUNTIF('Raw RetailSalesData'!$A:$L,'Raw RetailSalesData'!A37)=1,'Raw RetailSalesData'!A37,"")</f>
        <v>ORD-10038</v>
      </c>
      <c r="B37" t="str">
        <f>IF('Raw RetailSalesData'!B37="","UNKNOWN",'Raw RetailSalesData'!B37)</f>
        <v>2024-01-29</v>
      </c>
      <c r="C37" t="str">
        <f>IF('Raw RetailSalesData'!C37="","UNKNOW",'Raw RetailSalesData'!C37)</f>
        <v>CUST-1076</v>
      </c>
      <c r="D37" t="str">
        <f>IF('Raw RetailSalesData'!D37="","UNKNOW",'Raw RetailSalesData'!D37)</f>
        <v>P103</v>
      </c>
      <c r="E37" s="5">
        <f>IF('Raw RetailSalesData'!E37="",'Raw RetailSalesData'!F37/'Raw RetailSalesData'!G37,'Raw RetailSalesData'!E37)</f>
        <v>19</v>
      </c>
      <c r="F37" s="7">
        <f>IF('Raw RetailSalesData'!F37="",'Raw RetailSalesData'!G37/'Raw RetailSalesData'!E37,'Raw RetailSalesData'!F37)</f>
        <v>90</v>
      </c>
      <c r="G37" s="7">
        <f t="shared" si="0"/>
        <v>1710</v>
      </c>
      <c r="H37" s="5" t="str">
        <f>IF('Raw RetailSalesData'!H37="","Unknown",'Raw RetailSalesData'!H37)</f>
        <v>LATAM</v>
      </c>
      <c r="I37" t="s">
        <v>90</v>
      </c>
      <c r="J37" t="s">
        <v>2198</v>
      </c>
      <c r="K37" t="str">
        <f>TRIM('Raw RetailSalesData'!K37)</f>
        <v>Sales Rep 4</v>
      </c>
      <c r="L37" t="s">
        <v>21</v>
      </c>
    </row>
    <row r="38" spans="1:12" x14ac:dyDescent="0.3">
      <c r="A38" t="str">
        <f>IF(COUNTIF('Raw RetailSalesData'!$A:$L,'Raw RetailSalesData'!A38)=1,'Raw RetailSalesData'!A38,"")</f>
        <v>ORD-10039</v>
      </c>
      <c r="B38" t="str">
        <f>IF('Raw RetailSalesData'!B38="","UNKNOWN",'Raw RetailSalesData'!B38)</f>
        <v>2024-07-15</v>
      </c>
      <c r="C38" t="str">
        <f>IF('Raw RetailSalesData'!C38="","UNKNOW",'Raw RetailSalesData'!C38)</f>
        <v>CUST-1079</v>
      </c>
      <c r="D38" t="str">
        <f>IF('Raw RetailSalesData'!D38="","UNKNOW",'Raw RetailSalesData'!D38)</f>
        <v>C301</v>
      </c>
      <c r="E38" s="5">
        <f>IF('Raw RetailSalesData'!E38="",'Raw RetailSalesData'!F38/'Raw RetailSalesData'!G38,'Raw RetailSalesData'!E38)</f>
        <v>19</v>
      </c>
      <c r="F38" s="7">
        <f>IF('Raw RetailSalesData'!F38="",'Raw RetailSalesData'!G38/'Raw RetailSalesData'!E38,'Raw RetailSalesData'!F38)</f>
        <v>55</v>
      </c>
      <c r="G38" s="7">
        <f t="shared" si="0"/>
        <v>1045</v>
      </c>
      <c r="H38" s="5" t="str">
        <f>IF('Raw RetailSalesData'!H38="","Unknown",'Raw RetailSalesData'!H38)</f>
        <v>APAC</v>
      </c>
      <c r="I38" t="s">
        <v>71</v>
      </c>
      <c r="J38" t="s">
        <v>72</v>
      </c>
      <c r="K38" t="str">
        <f>TRIM('Raw RetailSalesData'!K38)</f>
        <v>Hiroshi Tanaka</v>
      </c>
      <c r="L38" t="s">
        <v>31</v>
      </c>
    </row>
    <row r="39" spans="1:12" x14ac:dyDescent="0.3">
      <c r="A39" t="str">
        <f>IF(COUNTIF('Raw RetailSalesData'!$A:$L,'Raw RetailSalesData'!A39)=1,'Raw RetailSalesData'!A39,"")</f>
        <v>ORD-10041</v>
      </c>
      <c r="B39" t="str">
        <f>IF('Raw RetailSalesData'!B39="","UNKNOWN",'Raw RetailSalesData'!B39)</f>
        <v>2023-03-11</v>
      </c>
      <c r="C39" t="str">
        <f>IF('Raw RetailSalesData'!C39="","UNKNOW",'Raw RetailSalesData'!C39)</f>
        <v>CUST-1076</v>
      </c>
      <c r="D39" t="str">
        <f>IF('Raw RetailSalesData'!D39="","UNKNOW",'Raw RetailSalesData'!D39)</f>
        <v>UNKNOW</v>
      </c>
      <c r="E39" s="5">
        <f>IF('Raw RetailSalesData'!E39="",'Raw RetailSalesData'!F39/'Raw RetailSalesData'!G39,'Raw RetailSalesData'!E39)</f>
        <v>3</v>
      </c>
      <c r="F39" s="7">
        <f>IF('Raw RetailSalesData'!F39="",'Raw RetailSalesData'!G39/'Raw RetailSalesData'!E39,'Raw RetailSalesData'!F39)</f>
        <v>65</v>
      </c>
      <c r="G39" s="7">
        <f t="shared" si="0"/>
        <v>195</v>
      </c>
      <c r="H39" s="5" t="str">
        <f>IF('Raw RetailSalesData'!H39="","Unknown",'Raw RetailSalesData'!H39)</f>
        <v>APAC</v>
      </c>
      <c r="I39" t="s">
        <v>151</v>
      </c>
      <c r="J39" t="s">
        <v>188</v>
      </c>
      <c r="K39" t="str">
        <f>TRIM('Raw RetailSalesData'!K39)</f>
        <v>Sales Rep 2</v>
      </c>
      <c r="L39" t="s">
        <v>21</v>
      </c>
    </row>
    <row r="40" spans="1:12" x14ac:dyDescent="0.3">
      <c r="A40" t="str">
        <f>IF(COUNTIF('Raw RetailSalesData'!$A:$L,'Raw RetailSalesData'!A40)=1,'Raw RetailSalesData'!A40,"")</f>
        <v>ORD-10042</v>
      </c>
      <c r="B40" t="str">
        <f>IF('Raw RetailSalesData'!B40="","UNKNOWN",'Raw RetailSalesData'!B40)</f>
        <v>2023-05-23</v>
      </c>
      <c r="C40" t="str">
        <f>IF('Raw RetailSalesData'!C40="","UNKNOW",'Raw RetailSalesData'!C40)</f>
        <v>CUST-1080</v>
      </c>
      <c r="D40" t="str">
        <f>IF('Raw RetailSalesData'!D40="","UNKNOW",'Raw RetailSalesData'!D40)</f>
        <v>P202</v>
      </c>
      <c r="E40" s="5">
        <f>IF('Raw RetailSalesData'!E40="",'Raw RetailSalesData'!F40/'Raw RetailSalesData'!G40,'Raw RetailSalesData'!E40)</f>
        <v>17</v>
      </c>
      <c r="F40" s="7">
        <f>IF('Raw RetailSalesData'!F40="",'Raw RetailSalesData'!G40/'Raw RetailSalesData'!E40,'Raw RetailSalesData'!F40)</f>
        <v>65</v>
      </c>
      <c r="G40" s="7">
        <f t="shared" si="0"/>
        <v>1105</v>
      </c>
      <c r="H40" s="5" t="str">
        <f>IF('Raw RetailSalesData'!H40="","Unknown",'Raw RetailSalesData'!H40)</f>
        <v>EMEA</v>
      </c>
      <c r="I40" t="s">
        <v>38</v>
      </c>
      <c r="J40" t="s">
        <v>39</v>
      </c>
      <c r="K40" t="str">
        <f>TRIM('Raw RetailSalesData'!K40)</f>
        <v>Sales Rep 2</v>
      </c>
      <c r="L40" t="s">
        <v>21</v>
      </c>
    </row>
    <row r="41" spans="1:12" x14ac:dyDescent="0.3">
      <c r="A41" t="str">
        <f>IF(COUNTIF('Raw RetailSalesData'!$A:$L,'Raw RetailSalesData'!A41)=1,'Raw RetailSalesData'!A41,"")</f>
        <v>ORD-10044</v>
      </c>
      <c r="B41" t="str">
        <f>IF('Raw RetailSalesData'!B41="","UNKNOWN",'Raw RetailSalesData'!B41)</f>
        <v>2023-08-07</v>
      </c>
      <c r="C41" t="str">
        <f>IF('Raw RetailSalesData'!C41="","UNKNOW",'Raw RetailSalesData'!C41)</f>
        <v>CUST-1066</v>
      </c>
      <c r="D41" t="str">
        <f>IF('Raw RetailSalesData'!D41="","UNKNOW",'Raw RetailSalesData'!D41)</f>
        <v>C302</v>
      </c>
      <c r="E41" s="5">
        <f>IF('Raw RetailSalesData'!E41="",'Raw RetailSalesData'!F41/'Raw RetailSalesData'!G41,'Raw RetailSalesData'!E41)</f>
        <v>7</v>
      </c>
      <c r="F41" s="7">
        <f>IF('Raw RetailSalesData'!F41="",'Raw RetailSalesData'!G41/'Raw RetailSalesData'!E41,'Raw RetailSalesData'!F41)</f>
        <v>50</v>
      </c>
      <c r="G41" s="7">
        <f t="shared" si="0"/>
        <v>350</v>
      </c>
      <c r="H41" s="5" t="str">
        <f>IF('Raw RetailSalesData'!H41="","Unknown",'Raw RetailSalesData'!H41)</f>
        <v>APAC</v>
      </c>
      <c r="I41" t="s">
        <v>183</v>
      </c>
      <c r="J41" t="s">
        <v>184</v>
      </c>
      <c r="K41" t="str">
        <f>TRIM('Raw RetailSalesData'!K41)</f>
        <v>Sales Rep 3</v>
      </c>
      <c r="L41" t="s">
        <v>31</v>
      </c>
    </row>
    <row r="42" spans="1:12" x14ac:dyDescent="0.3">
      <c r="A42" t="str">
        <f>IF(COUNTIF('Raw RetailSalesData'!$A:$L,'Raw RetailSalesData'!A42)=1,'Raw RetailSalesData'!A42,"")</f>
        <v>ORD-10045</v>
      </c>
      <c r="B42" t="str">
        <f>IF('Raw RetailSalesData'!B42="","UNKNOWN",'Raw RetailSalesData'!B42)</f>
        <v>2022-11-09</v>
      </c>
      <c r="C42" t="str">
        <f>IF('Raw RetailSalesData'!C42="","UNKNOW",'Raw RetailSalesData'!C42)</f>
        <v>CUST-1178</v>
      </c>
      <c r="D42" t="str">
        <f>IF('Raw RetailSalesData'!D42="","UNKNOW",'Raw RetailSalesData'!D42)</f>
        <v>P103</v>
      </c>
      <c r="E42" s="5">
        <f>IF('Raw RetailSalesData'!E42="",'Raw RetailSalesData'!F42/'Raw RetailSalesData'!G42,'Raw RetailSalesData'!E42)</f>
        <v>20</v>
      </c>
      <c r="F42" s="7">
        <f>IF('Raw RetailSalesData'!F42="",'Raw RetailSalesData'!G42/'Raw RetailSalesData'!E42,'Raw RetailSalesData'!F42)</f>
        <v>100</v>
      </c>
      <c r="G42" s="7">
        <f t="shared" si="0"/>
        <v>2000</v>
      </c>
      <c r="H42" s="5" t="str">
        <f>IF('Raw RetailSalesData'!H42="","Unknown",'Raw RetailSalesData'!H42)</f>
        <v>NA</v>
      </c>
      <c r="I42" t="s">
        <v>100</v>
      </c>
      <c r="J42" t="s">
        <v>101</v>
      </c>
      <c r="K42" t="str">
        <f>TRIM('Raw RetailSalesData'!K42)</f>
        <v>Sales Rep 5</v>
      </c>
      <c r="L42" t="s">
        <v>46</v>
      </c>
    </row>
    <row r="43" spans="1:12" x14ac:dyDescent="0.3">
      <c r="A43" t="str">
        <f>IF(COUNTIF('Raw RetailSalesData'!$A:$L,'Raw RetailSalesData'!A43)=1,'Raw RetailSalesData'!A43,"")</f>
        <v>ORD-10046</v>
      </c>
      <c r="B43" t="str">
        <f>IF('Raw RetailSalesData'!B43="","UNKNOWN",'Raw RetailSalesData'!B43)</f>
        <v xml:space="preserve"> 2025-01-20 </v>
      </c>
      <c r="C43" t="str">
        <f>IF('Raw RetailSalesData'!C43="","UNKNOW",'Raw RetailSalesData'!C43)</f>
        <v>CUST-1144</v>
      </c>
      <c r="D43" t="str">
        <f>IF('Raw RetailSalesData'!D43="","UNKNOW",'Raw RetailSalesData'!D43)</f>
        <v xml:space="preserve"> C302 </v>
      </c>
      <c r="E43" s="5">
        <f>IF('Raw RetailSalesData'!E43="",'Raw RetailSalesData'!F43/'Raw RetailSalesData'!G43,'Raw RetailSalesData'!E43)</f>
        <v>6</v>
      </c>
      <c r="F43" s="7">
        <f>IF('Raw RetailSalesData'!F43="",'Raw RetailSalesData'!G43/'Raw RetailSalesData'!E43,'Raw RetailSalesData'!F43)</f>
        <v>55</v>
      </c>
      <c r="G43" s="7">
        <f t="shared" si="0"/>
        <v>330</v>
      </c>
      <c r="H43" s="5" t="str">
        <f>IF('Raw RetailSalesData'!H43="","Unknown",'Raw RetailSalesData'!H43)</f>
        <v>NA</v>
      </c>
      <c r="I43" t="s">
        <v>28</v>
      </c>
      <c r="J43" t="s">
        <v>29</v>
      </c>
      <c r="K43" t="str">
        <f>TRIM('Raw RetailSalesData'!K43)</f>
        <v>Sales Rep 3</v>
      </c>
      <c r="L43" t="s">
        <v>31</v>
      </c>
    </row>
    <row r="44" spans="1:12" x14ac:dyDescent="0.3">
      <c r="A44" t="str">
        <f>IF(COUNTIF('Raw RetailSalesData'!$A:$L,'Raw RetailSalesData'!A44)=1,'Raw RetailSalesData'!A44,"")</f>
        <v>ORD-10047</v>
      </c>
      <c r="B44" t="str">
        <f>IF('Raw RetailSalesData'!B44="","UNKNOWN",'Raw RetailSalesData'!B44)</f>
        <v>2022-05-14</v>
      </c>
      <c r="C44" t="str">
        <f>IF('Raw RetailSalesData'!C44="","UNKNOW",'Raw RetailSalesData'!C44)</f>
        <v>CUST-1158</v>
      </c>
      <c r="D44" t="str">
        <f>IF('Raw RetailSalesData'!D44="","UNKNOW",'Raw RetailSalesData'!D44)</f>
        <v>P203</v>
      </c>
      <c r="E44" s="5">
        <f>IF('Raw RetailSalesData'!E44="",'Raw RetailSalesData'!F44/'Raw RetailSalesData'!G44,'Raw RetailSalesData'!E44)</f>
        <v>3</v>
      </c>
      <c r="F44" s="7">
        <f>IF('Raw RetailSalesData'!F44="",'Raw RetailSalesData'!G44/'Raw RetailSalesData'!E44,'Raw RetailSalesData'!F44)</f>
        <v>73</v>
      </c>
      <c r="G44" s="7">
        <f t="shared" si="0"/>
        <v>219</v>
      </c>
      <c r="H44" s="5" t="str">
        <f>IF('Raw RetailSalesData'!H44="","Unknown",'Raw RetailSalesData'!H44)</f>
        <v>NA</v>
      </c>
      <c r="I44" t="s">
        <v>28</v>
      </c>
      <c r="J44" t="s">
        <v>29</v>
      </c>
      <c r="K44" t="str">
        <f>TRIM('Raw RetailSalesData'!K44)</f>
        <v>Sales Rep 2</v>
      </c>
      <c r="L44" t="s">
        <v>31</v>
      </c>
    </row>
    <row r="45" spans="1:12" x14ac:dyDescent="0.3">
      <c r="A45" t="str">
        <f>IF(COUNTIF('Raw RetailSalesData'!$A:$L,'Raw RetailSalesData'!A45)=1,'Raw RetailSalesData'!A45,"")</f>
        <v>ORD-10048</v>
      </c>
      <c r="B45" t="str">
        <f>IF('Raw RetailSalesData'!B45="","UNKNOWN",'Raw RetailSalesData'!B45)</f>
        <v>2026-05-23</v>
      </c>
      <c r="C45" t="str">
        <f>IF('Raw RetailSalesData'!C45="","UNKNOW",'Raw RetailSalesData'!C45)</f>
        <v>CUST-1089</v>
      </c>
      <c r="D45" t="str">
        <f>IF('Raw RetailSalesData'!D45="","UNKNOW",'Raw RetailSalesData'!D45)</f>
        <v>P101</v>
      </c>
      <c r="E45" s="5">
        <f>IF('Raw RetailSalesData'!E45="",'Raw RetailSalesData'!F45/'Raw RetailSalesData'!G45,'Raw RetailSalesData'!E45)</f>
        <v>19</v>
      </c>
      <c r="F45" s="7">
        <f>IF('Raw RetailSalesData'!F45="",'Raw RetailSalesData'!G45/'Raw RetailSalesData'!E45,'Raw RetailSalesData'!F45)</f>
        <v>80</v>
      </c>
      <c r="G45" s="7">
        <f t="shared" si="0"/>
        <v>1520</v>
      </c>
      <c r="H45" s="5" t="str">
        <f>IF('Raw RetailSalesData'!H45="","Unknown",'Raw RetailSalesData'!H45)</f>
        <v>LATAM</v>
      </c>
      <c r="I45" t="s">
        <v>90</v>
      </c>
      <c r="J45" t="s">
        <v>2198</v>
      </c>
      <c r="K45" t="str">
        <f>TRIM('Raw RetailSalesData'!K45)</f>
        <v>Sales Rep 4</v>
      </c>
      <c r="L45" t="s">
        <v>31</v>
      </c>
    </row>
    <row r="46" spans="1:12" x14ac:dyDescent="0.3">
      <c r="A46" t="str">
        <f>IF(COUNTIF('Raw RetailSalesData'!$A:$L,'Raw RetailSalesData'!A46)=1,'Raw RetailSalesData'!A46,"")</f>
        <v>ORD-10049</v>
      </c>
      <c r="B46" t="str">
        <f>IF('Raw RetailSalesData'!B46="","UNKNOWN",'Raw RetailSalesData'!B46)</f>
        <v>2022-07-19</v>
      </c>
      <c r="C46" t="str">
        <f>IF('Raw RetailSalesData'!C46="","UNKNOW",'Raw RetailSalesData'!C46)</f>
        <v>CUST-1190</v>
      </c>
      <c r="D46" t="str">
        <f>IF('Raw RetailSalesData'!D46="","UNKNOW",'Raw RetailSalesData'!D46)</f>
        <v>P203</v>
      </c>
      <c r="E46" s="5">
        <f>IF('Raw RetailSalesData'!E46="",'Raw RetailSalesData'!F46/'Raw RetailSalesData'!G46,'Raw RetailSalesData'!E46)</f>
        <v>9</v>
      </c>
      <c r="F46" s="7">
        <f>IF('Raw RetailSalesData'!F46="",'Raw RetailSalesData'!G46/'Raw RetailSalesData'!E46,'Raw RetailSalesData'!F46)</f>
        <v>68</v>
      </c>
      <c r="G46" s="7">
        <f t="shared" si="0"/>
        <v>612</v>
      </c>
      <c r="H46" s="5" t="str">
        <f>IF('Raw RetailSalesData'!H46="","Unknown",'Raw RetailSalesData'!H46)</f>
        <v>EMEA</v>
      </c>
      <c r="I46" t="s">
        <v>225</v>
      </c>
      <c r="J46" t="s">
        <v>226</v>
      </c>
      <c r="K46" t="str">
        <f>TRIM('Raw RetailSalesData'!K46)</f>
        <v>Sales Rep 3</v>
      </c>
      <c r="L46" t="s">
        <v>2190</v>
      </c>
    </row>
    <row r="47" spans="1:12" x14ac:dyDescent="0.3">
      <c r="A47" t="str">
        <f>IF(COUNTIF('Raw RetailSalesData'!$A:$L,'Raw RetailSalesData'!A47)=1,'Raw RetailSalesData'!A47,"")</f>
        <v>ORD-10050</v>
      </c>
      <c r="B47" t="str">
        <f>IF('Raw RetailSalesData'!B47="","UNKNOWN",'Raw RetailSalesData'!B47)</f>
        <v>2022-07-17</v>
      </c>
      <c r="C47" t="str">
        <f>IF('Raw RetailSalesData'!C47="","UNKNOW",'Raw RetailSalesData'!C47)</f>
        <v>CUST-1149</v>
      </c>
      <c r="D47" t="str">
        <f>IF('Raw RetailSalesData'!D47="","UNKNOW",'Raw RetailSalesData'!D47)</f>
        <v>P203</v>
      </c>
      <c r="E47" s="5">
        <f>IF('Raw RetailSalesData'!E47="",'Raw RetailSalesData'!F47/'Raw RetailSalesData'!G47,'Raw RetailSalesData'!E47)</f>
        <v>7</v>
      </c>
      <c r="F47" s="7">
        <f>IF('Raw RetailSalesData'!F47="",'Raw RetailSalesData'!G47/'Raw RetailSalesData'!E47,'Raw RetailSalesData'!F47)</f>
        <v>68</v>
      </c>
      <c r="G47" s="7">
        <f t="shared" si="0"/>
        <v>476</v>
      </c>
      <c r="H47" s="5" t="str">
        <f>IF('Raw RetailSalesData'!H47="","Unknown",'Raw RetailSalesData'!H47)</f>
        <v xml:space="preserve"> APAC </v>
      </c>
      <c r="I47" t="s">
        <v>2190</v>
      </c>
      <c r="J47" t="s">
        <v>152</v>
      </c>
      <c r="K47" t="str">
        <f>TRIM('Raw RetailSalesData'!K47)</f>
        <v>Aarav Patel</v>
      </c>
      <c r="L47" t="s">
        <v>21</v>
      </c>
    </row>
    <row r="48" spans="1:12" x14ac:dyDescent="0.3">
      <c r="A48" t="str">
        <f>IF(COUNTIF('Raw RetailSalesData'!$A:$L,'Raw RetailSalesData'!A48)=1,'Raw RetailSalesData'!A48,"")</f>
        <v>ORD-10051</v>
      </c>
      <c r="B48" t="str">
        <f>IF('Raw RetailSalesData'!B48="","UNKNOWN",'Raw RetailSalesData'!B48)</f>
        <v>2025-05-23</v>
      </c>
      <c r="C48" t="str">
        <f>IF('Raw RetailSalesData'!C48="","UNKNOW",'Raw RetailSalesData'!C48)</f>
        <v>CUST-1108</v>
      </c>
      <c r="D48" t="str">
        <f>IF('Raw RetailSalesData'!D48="","UNKNOW",'Raw RetailSalesData'!D48)</f>
        <v>C303</v>
      </c>
      <c r="E48" s="5">
        <f>IF('Raw RetailSalesData'!E48="",'Raw RetailSalesData'!F48/'Raw RetailSalesData'!G48,'Raw RetailSalesData'!E48)</f>
        <v>14</v>
      </c>
      <c r="F48" s="7">
        <f>IF('Raw RetailSalesData'!F48="",'Raw RetailSalesData'!G48/'Raw RetailSalesData'!E48,'Raw RetailSalesData'!F48)</f>
        <v>55</v>
      </c>
      <c r="G48" s="7">
        <f t="shared" si="0"/>
        <v>770</v>
      </c>
      <c r="H48" s="5" t="str">
        <f>IF('Raw RetailSalesData'!H48="","Unknown",'Raw RetailSalesData'!H48)</f>
        <v>Unknown</v>
      </c>
      <c r="I48" t="s">
        <v>90</v>
      </c>
      <c r="J48" t="s">
        <v>2198</v>
      </c>
      <c r="K48" t="str">
        <f>TRIM('Raw RetailSalesData'!K48)</f>
        <v>Sales Rep 1</v>
      </c>
      <c r="L48" t="s">
        <v>46</v>
      </c>
    </row>
    <row r="49" spans="1:12" x14ac:dyDescent="0.3">
      <c r="A49" t="str">
        <f>IF(COUNTIF('Raw RetailSalesData'!$A:$L,'Raw RetailSalesData'!A49)=1,'Raw RetailSalesData'!A49,"")</f>
        <v>ORD-10052</v>
      </c>
      <c r="B49" t="str">
        <f>IF('Raw RetailSalesData'!B49="","UNKNOWN",'Raw RetailSalesData'!B49)</f>
        <v>2025-04-28</v>
      </c>
      <c r="C49" t="str">
        <f>IF('Raw RetailSalesData'!C49="","UNKNOW",'Raw RetailSalesData'!C49)</f>
        <v>CUST-1178</v>
      </c>
      <c r="D49" t="str">
        <f>IF('Raw RetailSalesData'!D49="","UNKNOW",'Raw RetailSalesData'!D49)</f>
        <v>C302</v>
      </c>
      <c r="E49" s="5">
        <f>IF('Raw RetailSalesData'!E49="",'Raw RetailSalesData'!F49/'Raw RetailSalesData'!G49,'Raw RetailSalesData'!E49)</f>
        <v>18</v>
      </c>
      <c r="F49" s="7">
        <f>IF('Raw RetailSalesData'!F49="",'Raw RetailSalesData'!G49/'Raw RetailSalesData'!E49,'Raw RetailSalesData'!F49)</f>
        <v>50</v>
      </c>
      <c r="G49" s="7">
        <f t="shared" si="0"/>
        <v>900</v>
      </c>
      <c r="H49" s="5" t="str">
        <f>IF('Raw RetailSalesData'!H49="","Unknown",'Raw RetailSalesData'!H49)</f>
        <v>EMEA</v>
      </c>
      <c r="I49" t="s">
        <v>38</v>
      </c>
      <c r="J49" t="s">
        <v>39</v>
      </c>
      <c r="K49" t="str">
        <f>TRIM('Raw RetailSalesData'!K49)</f>
        <v>Sales Rep 1</v>
      </c>
      <c r="L49" t="s">
        <v>31</v>
      </c>
    </row>
    <row r="50" spans="1:12" x14ac:dyDescent="0.3">
      <c r="A50" t="str">
        <f>IF(COUNTIF('Raw RetailSalesData'!$A:$L,'Raw RetailSalesData'!A50)=1,'Raw RetailSalesData'!A50,"")</f>
        <v>ORD-10053</v>
      </c>
      <c r="B50" t="str">
        <f>IF('Raw RetailSalesData'!B50="","UNKNOWN",'Raw RetailSalesData'!B50)</f>
        <v>2022-02-03</v>
      </c>
      <c r="C50" t="str">
        <f>IF('Raw RetailSalesData'!C50="","UNKNOW",'Raw RetailSalesData'!C50)</f>
        <v>CUST-1095</v>
      </c>
      <c r="D50" t="str">
        <f>IF('Raw RetailSalesData'!D50="","UNKNOW",'Raw RetailSalesData'!D50)</f>
        <v>P102</v>
      </c>
      <c r="E50" s="5">
        <f>IF('Raw RetailSalesData'!E50="",'Raw RetailSalesData'!F50/'Raw RetailSalesData'!G50,'Raw RetailSalesData'!E50)</f>
        <v>3</v>
      </c>
      <c r="F50" s="7">
        <f>IF('Raw RetailSalesData'!F50="",'Raw RetailSalesData'!G50/'Raw RetailSalesData'!E50,'Raw RetailSalesData'!F50)</f>
        <v>85</v>
      </c>
      <c r="G50" s="7">
        <f t="shared" si="0"/>
        <v>255</v>
      </c>
      <c r="H50" s="5" t="str">
        <f>IF('Raw RetailSalesData'!H50="","Unknown",'Raw RetailSalesData'!H50)</f>
        <v>NA</v>
      </c>
      <c r="I50" t="s">
        <v>100</v>
      </c>
      <c r="J50" t="s">
        <v>101</v>
      </c>
      <c r="K50" t="str">
        <f>TRIM('Raw RetailSalesData'!K50)</f>
        <v>Sales Rep 1</v>
      </c>
      <c r="L50" t="s">
        <v>21</v>
      </c>
    </row>
    <row r="51" spans="1:12" x14ac:dyDescent="0.3">
      <c r="A51" t="str">
        <f>IF(COUNTIF('Raw RetailSalesData'!$A:$L,'Raw RetailSalesData'!A51)=1,'Raw RetailSalesData'!A51,"")</f>
        <v>ORD-10054</v>
      </c>
      <c r="B51" t="str">
        <f>IF('Raw RetailSalesData'!B51="","UNKNOWN",'Raw RetailSalesData'!B51)</f>
        <v>2023-05-21</v>
      </c>
      <c r="C51" t="str">
        <f>IF('Raw RetailSalesData'!C51="","UNKNOW",'Raw RetailSalesData'!C51)</f>
        <v>CUST-1094</v>
      </c>
      <c r="D51" t="str">
        <f>IF('Raw RetailSalesData'!D51="","UNKNOW",'Raw RetailSalesData'!D51)</f>
        <v>P102</v>
      </c>
      <c r="E51" s="5">
        <f>IF('Raw RetailSalesData'!E51="",'Raw RetailSalesData'!F51/'Raw RetailSalesData'!G51,'Raw RetailSalesData'!E51)</f>
        <v>18</v>
      </c>
      <c r="F51" s="7">
        <f>IF('Raw RetailSalesData'!F51="",'Raw RetailSalesData'!G51/'Raw RetailSalesData'!E51,'Raw RetailSalesData'!F51)</f>
        <v>85</v>
      </c>
      <c r="G51" s="7">
        <f t="shared" si="0"/>
        <v>1530</v>
      </c>
      <c r="H51" s="5" t="str">
        <f>IF('Raw RetailSalesData'!H51="","Unknown",'Raw RetailSalesData'!H51)</f>
        <v>NA</v>
      </c>
      <c r="I51" t="s">
        <v>28</v>
      </c>
      <c r="J51" t="s">
        <v>2196</v>
      </c>
      <c r="K51" t="str">
        <f>TRIM('Raw RetailSalesData'!K51)</f>
        <v>Michael Johnson</v>
      </c>
      <c r="L51" t="s">
        <v>31</v>
      </c>
    </row>
    <row r="52" spans="1:12" x14ac:dyDescent="0.3">
      <c r="A52" t="str">
        <f>IF(COUNTIF('Raw RetailSalesData'!$A:$L,'Raw RetailSalesData'!A52)=1,'Raw RetailSalesData'!A52,"")</f>
        <v>ORD-10055</v>
      </c>
      <c r="B52" t="str">
        <f>IF('Raw RetailSalesData'!B52="","UNKNOWN",'Raw RetailSalesData'!B52)</f>
        <v>2022-03-02</v>
      </c>
      <c r="C52" t="str">
        <f>IF('Raw RetailSalesData'!C52="","UNKNOW",'Raw RetailSalesData'!C52)</f>
        <v>CUST-1080</v>
      </c>
      <c r="D52" t="str">
        <f>IF('Raw RetailSalesData'!D52="","UNKNOW",'Raw RetailSalesData'!D52)</f>
        <v>C303</v>
      </c>
      <c r="E52" s="5">
        <f>IF('Raw RetailSalesData'!E52="",'Raw RetailSalesData'!F52/'Raw RetailSalesData'!G52,'Raw RetailSalesData'!E52)</f>
        <v>6</v>
      </c>
      <c r="F52" s="7">
        <f>IF('Raw RetailSalesData'!F52="",'Raw RetailSalesData'!G52/'Raw RetailSalesData'!E52,'Raw RetailSalesData'!F52)</f>
        <v>60</v>
      </c>
      <c r="G52" s="7">
        <f t="shared" si="0"/>
        <v>360</v>
      </c>
      <c r="H52" s="5" t="str">
        <f>IF('Raw RetailSalesData'!H52="","Unknown",'Raw RetailSalesData'!H52)</f>
        <v>EMEA</v>
      </c>
      <c r="I52" t="s">
        <v>83</v>
      </c>
      <c r="J52" t="s">
        <v>84</v>
      </c>
      <c r="K52" t="str">
        <f>TRIM('Raw RetailSalesData'!K52)</f>
        <v>John Smith</v>
      </c>
      <c r="L52" t="s">
        <v>31</v>
      </c>
    </row>
    <row r="53" spans="1:12" x14ac:dyDescent="0.3">
      <c r="A53" t="str">
        <f>IF(COUNTIF('Raw RetailSalesData'!$A:$L,'Raw RetailSalesData'!A53)=1,'Raw RetailSalesData'!A53,"")</f>
        <v>ORD-10056</v>
      </c>
      <c r="B53" t="str">
        <f>IF('Raw RetailSalesData'!B53="","UNKNOWN",'Raw RetailSalesData'!B53)</f>
        <v>2024-06-30</v>
      </c>
      <c r="C53" t="str">
        <f>IF('Raw RetailSalesData'!C53="","UNKNOW",'Raw RetailSalesData'!C53)</f>
        <v>CUST-1127</v>
      </c>
      <c r="D53" t="str">
        <f>IF('Raw RetailSalesData'!D53="","UNKNOW",'Raw RetailSalesData'!D53)</f>
        <v>C304</v>
      </c>
      <c r="E53" s="5">
        <f>IF('Raw RetailSalesData'!E53="",'Raw RetailSalesData'!F53/'Raw RetailSalesData'!G53,'Raw RetailSalesData'!E53)</f>
        <v>20</v>
      </c>
      <c r="F53" s="7">
        <f>IF('Raw RetailSalesData'!F53="",'Raw RetailSalesData'!G53/'Raw RetailSalesData'!E53,'Raw RetailSalesData'!F53)</f>
        <v>58</v>
      </c>
      <c r="G53" s="7">
        <f t="shared" si="0"/>
        <v>1160</v>
      </c>
      <c r="H53" s="5" t="str">
        <f>IF('Raw RetailSalesData'!H53="","Unknown",'Raw RetailSalesData'!H53)</f>
        <v>EMEA</v>
      </c>
      <c r="I53" t="s">
        <v>38</v>
      </c>
      <c r="J53" t="s">
        <v>39</v>
      </c>
      <c r="K53" t="str">
        <f>TRIM('Raw RetailSalesData'!K53)</f>
        <v>Sales Rep 5</v>
      </c>
      <c r="L53" t="s">
        <v>2190</v>
      </c>
    </row>
    <row r="54" spans="1:12" x14ac:dyDescent="0.3">
      <c r="A54" t="str">
        <f>IF(COUNTIF('Raw RetailSalesData'!$A:$L,'Raw RetailSalesData'!A54)=1,'Raw RetailSalesData'!A54,"")</f>
        <v>ORD-10057</v>
      </c>
      <c r="B54" t="str">
        <f>IF('Raw RetailSalesData'!B54="","UNKNOWN",'Raw RetailSalesData'!B54)</f>
        <v>2025-02-10</v>
      </c>
      <c r="C54" t="str">
        <f>IF('Raw RetailSalesData'!C54="","UNKNOW",'Raw RetailSalesData'!C54)</f>
        <v>CUST-1122</v>
      </c>
      <c r="D54" t="str">
        <f>IF('Raw RetailSalesData'!D54="","UNKNOW",'Raw RetailSalesData'!D54)</f>
        <v>P102</v>
      </c>
      <c r="E54" s="5">
        <f>IF('Raw RetailSalesData'!E54="",'Raw RetailSalesData'!F54/'Raw RetailSalesData'!G54,'Raw RetailSalesData'!E54)</f>
        <v>10</v>
      </c>
      <c r="F54" s="7">
        <f>IF('Raw RetailSalesData'!F54="",'Raw RetailSalesData'!G54/'Raw RetailSalesData'!E54,'Raw RetailSalesData'!F54)</f>
        <v>80</v>
      </c>
      <c r="G54" s="7">
        <f t="shared" si="0"/>
        <v>800</v>
      </c>
      <c r="H54" s="5" t="str">
        <f>IF('Raw RetailSalesData'!H54="","Unknown",'Raw RetailSalesData'!H54)</f>
        <v>APAC</v>
      </c>
      <c r="I54" t="s">
        <v>183</v>
      </c>
      <c r="J54" t="s">
        <v>184</v>
      </c>
      <c r="K54" t="str">
        <f>TRIM('Raw RetailSalesData'!K54)</f>
        <v>Sales Rep 2</v>
      </c>
      <c r="L54" t="s">
        <v>31</v>
      </c>
    </row>
    <row r="55" spans="1:12" x14ac:dyDescent="0.3">
      <c r="A55" t="str">
        <f>IF(COUNTIF('Raw RetailSalesData'!$A:$L,'Raw RetailSalesData'!A55)=1,'Raw RetailSalesData'!A55,"")</f>
        <v>ORD-10058</v>
      </c>
      <c r="B55" t="str">
        <f>IF('Raw RetailSalesData'!B55="","UNKNOWN",'Raw RetailSalesData'!B55)</f>
        <v>2023-08-21</v>
      </c>
      <c r="C55" t="str">
        <f>IF('Raw RetailSalesData'!C55="","UNKNOW",'Raw RetailSalesData'!C55)</f>
        <v>CUST-1073</v>
      </c>
      <c r="D55" t="str">
        <f>IF('Raw RetailSalesData'!D55="","UNKNOW",'Raw RetailSalesData'!D55)</f>
        <v>C301</v>
      </c>
      <c r="E55" s="5">
        <f>IF('Raw RetailSalesData'!E55="",'Raw RetailSalesData'!F55/'Raw RetailSalesData'!G55,'Raw RetailSalesData'!E55)</f>
        <v>19</v>
      </c>
      <c r="F55" s="7">
        <f>IF('Raw RetailSalesData'!F55="",'Raw RetailSalesData'!G55/'Raw RetailSalesData'!E55,'Raw RetailSalesData'!F55)</f>
        <v>55</v>
      </c>
      <c r="G55" s="7">
        <f t="shared" si="0"/>
        <v>1045</v>
      </c>
      <c r="H55" s="5" t="str">
        <f>IF('Raw RetailSalesData'!H55="","Unknown",'Raw RetailSalesData'!H55)</f>
        <v>APAC</v>
      </c>
      <c r="I55" t="s">
        <v>183</v>
      </c>
      <c r="J55" t="s">
        <v>184</v>
      </c>
      <c r="K55" t="str">
        <f>TRIM('Raw RetailSalesData'!K55)</f>
        <v>Sales Rep 2</v>
      </c>
      <c r="L55" t="s">
        <v>46</v>
      </c>
    </row>
    <row r="56" spans="1:12" x14ac:dyDescent="0.3">
      <c r="A56" t="str">
        <f>IF(COUNTIF('Raw RetailSalesData'!$A:$L,'Raw RetailSalesData'!A56)=1,'Raw RetailSalesData'!A56,"")</f>
        <v>ORD-10060</v>
      </c>
      <c r="B56" t="str">
        <f>IF('Raw RetailSalesData'!B56="","UNKNOWN",'Raw RetailSalesData'!B56)</f>
        <v>2024-03-04</v>
      </c>
      <c r="C56" t="str">
        <f>IF('Raw RetailSalesData'!C56="","UNKNOW",'Raw RetailSalesData'!C56)</f>
        <v>CUST-1037</v>
      </c>
      <c r="D56" t="str">
        <f>IF('Raw RetailSalesData'!D56="","UNKNOW",'Raw RetailSalesData'!D56)</f>
        <v>C303</v>
      </c>
      <c r="E56" s="5">
        <f>IF('Raw RetailSalesData'!E56="",'Raw RetailSalesData'!F56/'Raw RetailSalesData'!G56,'Raw RetailSalesData'!E56)</f>
        <v>14</v>
      </c>
      <c r="F56" s="7">
        <f>IF('Raw RetailSalesData'!F56="",'Raw RetailSalesData'!G56/'Raw RetailSalesData'!E56,'Raw RetailSalesData'!F56)</f>
        <v>55</v>
      </c>
      <c r="G56" s="7">
        <f t="shared" si="0"/>
        <v>770</v>
      </c>
      <c r="H56" s="5" t="str">
        <f>IF('Raw RetailSalesData'!H56="","Unknown",'Raw RetailSalesData'!H56)</f>
        <v>LATAM</v>
      </c>
      <c r="I56" t="s">
        <v>18</v>
      </c>
      <c r="J56" t="s">
        <v>2197</v>
      </c>
      <c r="K56" t="str">
        <f>TRIM('Raw RetailSalesData'!K56)</f>
        <v>Sales Rep 2</v>
      </c>
      <c r="L56" t="s">
        <v>31</v>
      </c>
    </row>
    <row r="57" spans="1:12" x14ac:dyDescent="0.3">
      <c r="A57" t="str">
        <f>IF(COUNTIF('Raw RetailSalesData'!$A:$L,'Raw RetailSalesData'!A57)=1,'Raw RetailSalesData'!A57,"")</f>
        <v>ORD-10061</v>
      </c>
      <c r="B57" t="str">
        <f>IF('Raw RetailSalesData'!B57="","UNKNOWN",'Raw RetailSalesData'!B57)</f>
        <v>2025-09-27</v>
      </c>
      <c r="C57" t="str">
        <f>IF('Raw RetailSalesData'!C57="","UNKNOW",'Raw RetailSalesData'!C57)</f>
        <v>CUST-1193</v>
      </c>
      <c r="D57" t="str">
        <f>IF('Raw RetailSalesData'!D57="","UNKNOW",'Raw RetailSalesData'!D57)</f>
        <v>P103</v>
      </c>
      <c r="E57" s="5">
        <f>IF('Raw RetailSalesData'!E57="",'Raw RetailSalesData'!F57/'Raw RetailSalesData'!G57,'Raw RetailSalesData'!E57)</f>
        <v>3</v>
      </c>
      <c r="F57" s="7">
        <f>IF('Raw RetailSalesData'!F57="",'Raw RetailSalesData'!G57/'Raw RetailSalesData'!E57,'Raw RetailSalesData'!F57)</f>
        <v>95</v>
      </c>
      <c r="G57" s="7">
        <f t="shared" si="0"/>
        <v>285</v>
      </c>
      <c r="H57" s="5" t="str">
        <f>IF('Raw RetailSalesData'!H57="","Unknown",'Raw RetailSalesData'!H57)</f>
        <v>APAC</v>
      </c>
      <c r="I57" t="s">
        <v>71</v>
      </c>
      <c r="J57" t="s">
        <v>72</v>
      </c>
      <c r="K57" t="str">
        <f>TRIM('Raw RetailSalesData'!K57)</f>
        <v>Hiroshi Tanaka</v>
      </c>
      <c r="L57" t="s">
        <v>21</v>
      </c>
    </row>
    <row r="58" spans="1:12" x14ac:dyDescent="0.3">
      <c r="A58" t="str">
        <f>IF(COUNTIF('Raw RetailSalesData'!$A:$L,'Raw RetailSalesData'!A58)=1,'Raw RetailSalesData'!A58,"")</f>
        <v>ORD-10062</v>
      </c>
      <c r="B58" t="str">
        <f>IF('Raw RetailSalesData'!B58="","UNKNOWN",'Raw RetailSalesData'!B58)</f>
        <v>2026-04-04</v>
      </c>
      <c r="C58" t="str">
        <f>IF('Raw RetailSalesData'!C58="","UNKNOW",'Raw RetailSalesData'!C58)</f>
        <v>CUST-1057</v>
      </c>
      <c r="D58" t="str">
        <f>IF('Raw RetailSalesData'!D58="","UNKNOW",'Raw RetailSalesData'!D58)</f>
        <v>P103</v>
      </c>
      <c r="E58" s="5">
        <f>IF('Raw RetailSalesData'!E58="",'Raw RetailSalesData'!F58/'Raw RetailSalesData'!G58,'Raw RetailSalesData'!E58)</f>
        <v>1</v>
      </c>
      <c r="F58" s="7">
        <f>IF('Raw RetailSalesData'!F58="",'Raw RetailSalesData'!G58/'Raw RetailSalesData'!E58,'Raw RetailSalesData'!F58)</f>
        <v>100</v>
      </c>
      <c r="G58" s="7">
        <f t="shared" si="0"/>
        <v>100</v>
      </c>
      <c r="H58" s="5" t="str">
        <f>IF('Raw RetailSalesData'!H58="","Unknown",'Raw RetailSalesData'!H58)</f>
        <v>NA</v>
      </c>
      <c r="I58" t="s">
        <v>100</v>
      </c>
      <c r="J58" t="s">
        <v>101</v>
      </c>
      <c r="K58" t="str">
        <f>TRIM('Raw RetailSalesData'!K58)</f>
        <v>Sales Rep 1</v>
      </c>
      <c r="L58" t="s">
        <v>46</v>
      </c>
    </row>
    <row r="59" spans="1:12" x14ac:dyDescent="0.3">
      <c r="A59" t="str">
        <f>IF(COUNTIF('Raw RetailSalesData'!$A:$L,'Raw RetailSalesData'!A59)=1,'Raw RetailSalesData'!A59,"")</f>
        <v>ORD-10063</v>
      </c>
      <c r="B59" t="str">
        <f>IF('Raw RetailSalesData'!B59="","UNKNOWN",'Raw RetailSalesData'!B59)</f>
        <v>2022-08-15</v>
      </c>
      <c r="C59" t="str">
        <f>IF('Raw RetailSalesData'!C59="","UNKNOW",'Raw RetailSalesData'!C59)</f>
        <v>CUST-1104</v>
      </c>
      <c r="D59" t="str">
        <f>IF('Raw RetailSalesData'!D59="","UNKNOW",'Raw RetailSalesData'!D59)</f>
        <v>C301</v>
      </c>
      <c r="E59" s="5">
        <f>IF('Raw RetailSalesData'!E59="",'Raw RetailSalesData'!F59/'Raw RetailSalesData'!G59,'Raw RetailSalesData'!E59)</f>
        <v>4</v>
      </c>
      <c r="F59" s="7">
        <f>IF('Raw RetailSalesData'!F59="",'Raw RetailSalesData'!G59/'Raw RetailSalesData'!E59,'Raw RetailSalesData'!F59)</f>
        <v>55</v>
      </c>
      <c r="G59" s="7">
        <f t="shared" si="0"/>
        <v>220</v>
      </c>
      <c r="H59" s="5" t="str">
        <f>IF('Raw RetailSalesData'!H59="","Unknown",'Raw RetailSalesData'!H59)</f>
        <v>Unknown</v>
      </c>
      <c r="I59" t="s">
        <v>151</v>
      </c>
      <c r="J59" t="s">
        <v>152</v>
      </c>
      <c r="K59" t="str">
        <f>TRIM('Raw RetailSalesData'!K59)</f>
        <v>Aarav Patel</v>
      </c>
      <c r="L59" t="s">
        <v>31</v>
      </c>
    </row>
    <row r="60" spans="1:12" x14ac:dyDescent="0.3">
      <c r="A60" t="str">
        <f>IF(COUNTIF('Raw RetailSalesData'!$A:$L,'Raw RetailSalesData'!A60)=1,'Raw RetailSalesData'!A60,"")</f>
        <v>ORD-10064</v>
      </c>
      <c r="B60" t="str">
        <f>IF('Raw RetailSalesData'!B60="","UNKNOWN",'Raw RetailSalesData'!B60)</f>
        <v>2022-08-15</v>
      </c>
      <c r="C60" t="str">
        <f>IF('Raw RetailSalesData'!C60="","UNKNOW",'Raw RetailSalesData'!C60)</f>
        <v>CUST-1104</v>
      </c>
      <c r="D60" t="str">
        <f>IF('Raw RetailSalesData'!D60="","UNKNOW",'Raw RetailSalesData'!D60)</f>
        <v>C301</v>
      </c>
      <c r="E60" s="5">
        <f>IF('Raw RetailSalesData'!E60="",'Raw RetailSalesData'!F60/'Raw RetailSalesData'!G60,'Raw RetailSalesData'!E60)</f>
        <v>4</v>
      </c>
      <c r="F60" s="7">
        <f>IF('Raw RetailSalesData'!F60="",'Raw RetailSalesData'!G60/'Raw RetailSalesData'!E60,'Raw RetailSalesData'!F60)</f>
        <v>55</v>
      </c>
      <c r="G60" s="7">
        <f t="shared" si="0"/>
        <v>220</v>
      </c>
      <c r="H60" s="5" t="str">
        <f>IF('Raw RetailSalesData'!H60="","Unknown",'Raw RetailSalesData'!H60)</f>
        <v>APAC</v>
      </c>
      <c r="I60" t="s">
        <v>151</v>
      </c>
      <c r="J60" t="s">
        <v>152</v>
      </c>
      <c r="K60" t="str">
        <f>TRIM('Raw RetailSalesData'!K60)</f>
        <v>Aarav Patel</v>
      </c>
      <c r="L60" t="s">
        <v>31</v>
      </c>
    </row>
    <row r="61" spans="1:12" x14ac:dyDescent="0.3">
      <c r="A61" t="str">
        <f>IF(COUNTIF('Raw RetailSalesData'!$A:$L,'Raw RetailSalesData'!A61)=1,'Raw RetailSalesData'!A61,"")</f>
        <v>ORD-10065</v>
      </c>
      <c r="B61" t="str">
        <f>IF('Raw RetailSalesData'!B61="","UNKNOWN",'Raw RetailSalesData'!B61)</f>
        <v>2023-11-05</v>
      </c>
      <c r="C61" t="str">
        <f>IF('Raw RetailSalesData'!C61="","UNKNOW",'Raw RetailSalesData'!C61)</f>
        <v>CUST-1084</v>
      </c>
      <c r="D61" t="str">
        <f>IF('Raw RetailSalesData'!D61="","UNKNOW",'Raw RetailSalesData'!D61)</f>
        <v>C304</v>
      </c>
      <c r="E61" s="5">
        <f>IF('Raw RetailSalesData'!E61="",'Raw RetailSalesData'!F61/'Raw RetailSalesData'!G61,'Raw RetailSalesData'!E61)</f>
        <v>15</v>
      </c>
      <c r="F61" s="7">
        <f>IF('Raw RetailSalesData'!F61="",'Raw RetailSalesData'!G61/'Raw RetailSalesData'!E61,'Raw RetailSalesData'!F61)</f>
        <v>63</v>
      </c>
      <c r="G61" s="7">
        <f t="shared" si="0"/>
        <v>945</v>
      </c>
      <c r="H61" s="5" t="str">
        <f>IF('Raw RetailSalesData'!H61="","Unknown",'Raw RetailSalesData'!H61)</f>
        <v>NA</v>
      </c>
      <c r="I61" t="s">
        <v>28</v>
      </c>
      <c r="J61" t="s">
        <v>2196</v>
      </c>
      <c r="K61" t="str">
        <f>TRIM('Raw RetailSalesData'!K61)</f>
        <v>Michael Johnson</v>
      </c>
      <c r="L61" t="s">
        <v>46</v>
      </c>
    </row>
    <row r="62" spans="1:12" x14ac:dyDescent="0.3">
      <c r="A62" t="str">
        <f>IF(COUNTIF('Raw RetailSalesData'!$A:$L,'Raw RetailSalesData'!A62)=1,'Raw RetailSalesData'!A62,"")</f>
        <v>ORD-10066</v>
      </c>
      <c r="B62" t="str">
        <f>IF('Raw RetailSalesData'!B62="","UNKNOWN",'Raw RetailSalesData'!B62)</f>
        <v>2023-01-22</v>
      </c>
      <c r="C62" t="str">
        <f>IF('Raw RetailSalesData'!C62="","UNKNOW",'Raw RetailSalesData'!C62)</f>
        <v>CUST-1127</v>
      </c>
      <c r="D62" t="str">
        <f>IF('Raw RetailSalesData'!D62="","UNKNOW",'Raw RetailSalesData'!D62)</f>
        <v>P101</v>
      </c>
      <c r="E62" s="5">
        <f>IF('Raw RetailSalesData'!E62="",'Raw RetailSalesData'!F62/'Raw RetailSalesData'!G62,'Raw RetailSalesData'!E62)</f>
        <v>1</v>
      </c>
      <c r="F62" s="7">
        <f>IF('Raw RetailSalesData'!F62="",'Raw RetailSalesData'!G62/'Raw RetailSalesData'!E62,'Raw RetailSalesData'!F62)</f>
        <v>80</v>
      </c>
      <c r="G62" s="7">
        <f t="shared" si="0"/>
        <v>80</v>
      </c>
      <c r="H62" s="5" t="str">
        <f>IF('Raw RetailSalesData'!H62="","Unknown",'Raw RetailSalesData'!H62)</f>
        <v>LATAM</v>
      </c>
      <c r="I62" t="s">
        <v>90</v>
      </c>
      <c r="J62" t="s">
        <v>2198</v>
      </c>
      <c r="K62" t="str">
        <f>TRIM('Raw RetailSalesData'!K62)</f>
        <v>Sales Rep 4</v>
      </c>
      <c r="L62" t="s">
        <v>21</v>
      </c>
    </row>
    <row r="63" spans="1:12" x14ac:dyDescent="0.3">
      <c r="A63" t="str">
        <f>IF(COUNTIF('Raw RetailSalesData'!$A:$L,'Raw RetailSalesData'!A63)=1,'Raw RetailSalesData'!A63,"")</f>
        <v>ORD-10067</v>
      </c>
      <c r="B63" t="str">
        <f>IF('Raw RetailSalesData'!B63="","UNKNOWN",'Raw RetailSalesData'!B63)</f>
        <v>2025-04-12</v>
      </c>
      <c r="C63" t="str">
        <f>IF('Raw RetailSalesData'!C63="","UNKNOW",'Raw RetailSalesData'!C63)</f>
        <v>CUST-1191</v>
      </c>
      <c r="D63" t="str">
        <f>IF('Raw RetailSalesData'!D63="","UNKNOW",'Raw RetailSalesData'!D63)</f>
        <v>P201</v>
      </c>
      <c r="E63" s="5">
        <f>IF('Raw RetailSalesData'!E63="",'Raw RetailSalesData'!F63/'Raw RetailSalesData'!G63,'Raw RetailSalesData'!E63)</f>
        <v>0.33333333333333331</v>
      </c>
      <c r="F63" s="7">
        <f>IF('Raw RetailSalesData'!F63="",'Raw RetailSalesData'!G63/'Raw RetailSalesData'!E63,'Raw RetailSalesData'!F63)</f>
        <v>70</v>
      </c>
      <c r="G63" s="7">
        <f t="shared" si="0"/>
        <v>23.333333333333332</v>
      </c>
      <c r="H63" s="5" t="str">
        <f>IF('Raw RetailSalesData'!H63="","Unknown",'Raw RetailSalesData'!H63)</f>
        <v>APAC</v>
      </c>
      <c r="I63" t="s">
        <v>71</v>
      </c>
      <c r="J63" t="s">
        <v>72</v>
      </c>
      <c r="K63" t="str">
        <f>TRIM('Raw RetailSalesData'!K63)</f>
        <v>Hiroshi Tanaka</v>
      </c>
      <c r="L63" t="s">
        <v>21</v>
      </c>
    </row>
    <row r="64" spans="1:12" x14ac:dyDescent="0.3">
      <c r="A64" t="str">
        <f>IF(COUNTIF('Raw RetailSalesData'!$A:$L,'Raw RetailSalesData'!A64)=1,'Raw RetailSalesData'!A64,"")</f>
        <v>ORD-10068</v>
      </c>
      <c r="B64" t="str">
        <f>IF('Raw RetailSalesData'!B64="","UNKNOWN",'Raw RetailSalesData'!B64)</f>
        <v>2023-10-25</v>
      </c>
      <c r="C64" t="str">
        <f>IF('Raw RetailSalesData'!C64="","UNKNOW",'Raw RetailSalesData'!C64)</f>
        <v>CUST-1044</v>
      </c>
      <c r="D64" t="str">
        <f>IF('Raw RetailSalesData'!D64="","UNKNOW",'Raw RetailSalesData'!D64)</f>
        <v>C304</v>
      </c>
      <c r="E64" s="5">
        <f>IF('Raw RetailSalesData'!E64="",'Raw RetailSalesData'!F64/'Raw RetailSalesData'!G64,'Raw RetailSalesData'!E64)</f>
        <v>17</v>
      </c>
      <c r="F64" s="7">
        <f>IF('Raw RetailSalesData'!F64="",'Raw RetailSalesData'!G64/'Raw RetailSalesData'!E64,'Raw RetailSalesData'!F64)</f>
        <v>53</v>
      </c>
      <c r="G64" s="7">
        <f t="shared" si="0"/>
        <v>901</v>
      </c>
      <c r="H64" s="5" t="str">
        <f>IF('Raw RetailSalesData'!H64="","Unknown",'Raw RetailSalesData'!H64)</f>
        <v>LATAM</v>
      </c>
      <c r="I64" t="s">
        <v>90</v>
      </c>
      <c r="J64" t="s">
        <v>2198</v>
      </c>
      <c r="K64" t="str">
        <f>TRIM('Raw RetailSalesData'!K64)</f>
        <v>Sales Rep 3</v>
      </c>
      <c r="L64" t="s">
        <v>21</v>
      </c>
    </row>
    <row r="65" spans="1:12" x14ac:dyDescent="0.3">
      <c r="A65" t="str">
        <f>IF(COUNTIF('Raw RetailSalesData'!$A:$L,'Raw RetailSalesData'!A65)=1,'Raw RetailSalesData'!A65,"")</f>
        <v>ORD-10069</v>
      </c>
      <c r="B65" t="str">
        <f>IF('Raw RetailSalesData'!B65="","UNKNOWN",'Raw RetailSalesData'!B65)</f>
        <v xml:space="preserve"> 2024-03-29 </v>
      </c>
      <c r="C65" t="str">
        <f>IF('Raw RetailSalesData'!C65="","UNKNOW",'Raw RetailSalesData'!C65)</f>
        <v>CUST-1064</v>
      </c>
      <c r="D65" t="str">
        <f>IF('Raw RetailSalesData'!D65="","UNKNOW",'Raw RetailSalesData'!D65)</f>
        <v>UNKNOW</v>
      </c>
      <c r="E65" s="5">
        <f>IF('Raw RetailSalesData'!E65="",'Raw RetailSalesData'!F65/'Raw RetailSalesData'!G65,'Raw RetailSalesData'!E65)</f>
        <v>10</v>
      </c>
      <c r="F65" s="7">
        <f>IF('Raw RetailSalesData'!F65="",'Raw RetailSalesData'!G65/'Raw RetailSalesData'!E65,'Raw RetailSalesData'!F65)</f>
        <v>90</v>
      </c>
      <c r="G65" s="7">
        <f t="shared" si="0"/>
        <v>900</v>
      </c>
      <c r="H65" s="5" t="str">
        <f>IF('Raw RetailSalesData'!H65="","Unknown",'Raw RetailSalesData'!H65)</f>
        <v>LATAM</v>
      </c>
      <c r="I65" t="s">
        <v>90</v>
      </c>
      <c r="J65" t="s">
        <v>2198</v>
      </c>
      <c r="K65" t="str">
        <f>TRIM('Raw RetailSalesData'!K65)</f>
        <v>Sales Rep 5</v>
      </c>
      <c r="L65" t="s">
        <v>31</v>
      </c>
    </row>
    <row r="66" spans="1:12" x14ac:dyDescent="0.3">
      <c r="A66" t="str">
        <f>IF(COUNTIF('Raw RetailSalesData'!$A:$L,'Raw RetailSalesData'!A66)=1,'Raw RetailSalesData'!A66,"")</f>
        <v>ORD-10072</v>
      </c>
      <c r="B66" t="str">
        <f>IF('Raw RetailSalesData'!B66="","UNKNOWN",'Raw RetailSalesData'!B66)</f>
        <v>2026-05-17</v>
      </c>
      <c r="C66" t="str">
        <f>IF('Raw RetailSalesData'!C66="","UNKNOW",'Raw RetailSalesData'!C66)</f>
        <v>CUST-1131</v>
      </c>
      <c r="D66" t="str">
        <f>IF('Raw RetailSalesData'!D66="","UNKNOW",'Raw RetailSalesData'!D66)</f>
        <v>C302</v>
      </c>
      <c r="E66" s="5">
        <f>IF('Raw RetailSalesData'!E66="",'Raw RetailSalesData'!F66/'Raw RetailSalesData'!G66,'Raw RetailSalesData'!E66)</f>
        <v>8</v>
      </c>
      <c r="F66" s="7">
        <f>IF('Raw RetailSalesData'!F66="",'Raw RetailSalesData'!G66/'Raw RetailSalesData'!E66,'Raw RetailSalesData'!F66)</f>
        <v>50</v>
      </c>
      <c r="G66" s="7">
        <f t="shared" si="0"/>
        <v>400</v>
      </c>
      <c r="H66" s="5" t="str">
        <f>IF('Raw RetailSalesData'!H66="","Unknown",'Raw RetailSalesData'!H66)</f>
        <v>APAC</v>
      </c>
      <c r="I66" t="s">
        <v>183</v>
      </c>
      <c r="J66" t="s">
        <v>184</v>
      </c>
      <c r="K66" t="str">
        <f>TRIM('Raw RetailSalesData'!K66)</f>
        <v>Sales Rep 3</v>
      </c>
      <c r="L66" t="s">
        <v>21</v>
      </c>
    </row>
    <row r="67" spans="1:12" x14ac:dyDescent="0.3">
      <c r="A67" t="str">
        <f>IF(COUNTIF('Raw RetailSalesData'!$A:$L,'Raw RetailSalesData'!A67)=1,'Raw RetailSalesData'!A67,"")</f>
        <v>ORD-10073</v>
      </c>
      <c r="B67" t="str">
        <f>IF('Raw RetailSalesData'!B67="","UNKNOWN",'Raw RetailSalesData'!B67)</f>
        <v>2024-07-04</v>
      </c>
      <c r="C67" t="str">
        <f>IF('Raw RetailSalesData'!C67="","UNKNOW",'Raw RetailSalesData'!C67)</f>
        <v>CUST-1149</v>
      </c>
      <c r="D67" t="str">
        <f>IF('Raw RetailSalesData'!D67="","UNKNOW",'Raw RetailSalesData'!D67)</f>
        <v>C304</v>
      </c>
      <c r="E67" s="5">
        <f>IF('Raw RetailSalesData'!E67="",'Raw RetailSalesData'!F67/'Raw RetailSalesData'!G67,'Raw RetailSalesData'!E67)</f>
        <v>1</v>
      </c>
      <c r="F67" s="7">
        <f>IF('Raw RetailSalesData'!F67="",'Raw RetailSalesData'!G67/'Raw RetailSalesData'!E67,'Raw RetailSalesData'!F67)</f>
        <v>63</v>
      </c>
      <c r="G67" s="7">
        <f t="shared" ref="G67:G130" si="1">F67*E67</f>
        <v>63</v>
      </c>
      <c r="H67" s="5" t="str">
        <f>IF('Raw RetailSalesData'!H67="","Unknown",'Raw RetailSalesData'!H67)</f>
        <v>NA</v>
      </c>
      <c r="I67" t="s">
        <v>100</v>
      </c>
      <c r="J67" t="s">
        <v>101</v>
      </c>
      <c r="K67" t="str">
        <f>TRIM('Raw RetailSalesData'!K67)</f>
        <v>Sales Rep 5</v>
      </c>
      <c r="L67" t="s">
        <v>46</v>
      </c>
    </row>
    <row r="68" spans="1:12" x14ac:dyDescent="0.3">
      <c r="A68" t="str">
        <f>IF(COUNTIF('Raw RetailSalesData'!$A:$L,'Raw RetailSalesData'!A68)=1,'Raw RetailSalesData'!A68,"")</f>
        <v>ORD-10075</v>
      </c>
      <c r="B68" t="str">
        <f>IF('Raw RetailSalesData'!B68="","UNKNOWN",'Raw RetailSalesData'!B68)</f>
        <v>2024-11-05</v>
      </c>
      <c r="C68" t="str">
        <f>IF('Raw RetailSalesData'!C68="","UNKNOW",'Raw RetailSalesData'!C68)</f>
        <v>CUST-1105</v>
      </c>
      <c r="D68" t="str">
        <f>IF('Raw RetailSalesData'!D68="","UNKNOW",'Raw RetailSalesData'!D68)</f>
        <v>P103</v>
      </c>
      <c r="E68" s="5">
        <f>IF('Raw RetailSalesData'!E68="",'Raw RetailSalesData'!F68/'Raw RetailSalesData'!G68,'Raw RetailSalesData'!E68)</f>
        <v>20</v>
      </c>
      <c r="F68" s="7">
        <f>IF('Raw RetailSalesData'!F68="",'Raw RetailSalesData'!G68/'Raw RetailSalesData'!E68,'Raw RetailSalesData'!F68)</f>
        <v>95</v>
      </c>
      <c r="G68" s="7">
        <f t="shared" si="1"/>
        <v>1900</v>
      </c>
      <c r="H68" s="5" t="str">
        <f>IF('Raw RetailSalesData'!H68="","Unknown",'Raw RetailSalesData'!H68)</f>
        <v>APAC</v>
      </c>
      <c r="I68" t="s">
        <v>151</v>
      </c>
      <c r="J68" t="s">
        <v>188</v>
      </c>
      <c r="K68" t="str">
        <f>TRIM('Raw RetailSalesData'!K68)</f>
        <v>Sales Rep 2</v>
      </c>
      <c r="L68" t="s">
        <v>31</v>
      </c>
    </row>
    <row r="69" spans="1:12" x14ac:dyDescent="0.3">
      <c r="A69" t="str">
        <f>IF(COUNTIF('Raw RetailSalesData'!$A:$L,'Raw RetailSalesData'!A69)=1,'Raw RetailSalesData'!A69,"")</f>
        <v>ORD-10076</v>
      </c>
      <c r="B69" t="str">
        <f>IF('Raw RetailSalesData'!B69="","UNKNOWN",'Raw RetailSalesData'!B69)</f>
        <v>2024-12-06</v>
      </c>
      <c r="C69" t="str">
        <f>IF('Raw RetailSalesData'!C69="","UNKNOW",'Raw RetailSalesData'!C69)</f>
        <v>CUST-1167</v>
      </c>
      <c r="D69" t="str">
        <f>IF('Raw RetailSalesData'!D69="","UNKNOW",'Raw RetailSalesData'!D69)</f>
        <v>P203</v>
      </c>
      <c r="E69" s="5">
        <f>IF('Raw RetailSalesData'!E69="",'Raw RetailSalesData'!F69/'Raw RetailSalesData'!G69,'Raw RetailSalesData'!E69)</f>
        <v>20</v>
      </c>
      <c r="F69" s="7">
        <f>IF('Raw RetailSalesData'!F69="",'Raw RetailSalesData'!G69/'Raw RetailSalesData'!E69,'Raw RetailSalesData'!F69)</f>
        <v>68</v>
      </c>
      <c r="G69" s="7">
        <f t="shared" si="1"/>
        <v>1360</v>
      </c>
      <c r="H69" s="5" t="str">
        <f>IF('Raw RetailSalesData'!H69="","Unknown",'Raw RetailSalesData'!H69)</f>
        <v>APAC</v>
      </c>
      <c r="I69" t="s">
        <v>151</v>
      </c>
      <c r="J69" t="s">
        <v>188</v>
      </c>
      <c r="K69" t="str">
        <f>TRIM('Raw RetailSalesData'!K69)</f>
        <v>Sales Rep 4</v>
      </c>
      <c r="L69" t="s">
        <v>46</v>
      </c>
    </row>
    <row r="70" spans="1:12" x14ac:dyDescent="0.3">
      <c r="A70" t="str">
        <f>IF(COUNTIF('Raw RetailSalesData'!$A:$L,'Raw RetailSalesData'!A70)=1,'Raw RetailSalesData'!A70,"")</f>
        <v>ORD-10077</v>
      </c>
      <c r="B70" t="str">
        <f>IF('Raw RetailSalesData'!B70="","UNKNOWN",'Raw RetailSalesData'!B70)</f>
        <v>2025-11-08</v>
      </c>
      <c r="C70" t="str">
        <f>IF('Raw RetailSalesData'!C70="","UNKNOW",'Raw RetailSalesData'!C70)</f>
        <v>UNKNOW</v>
      </c>
      <c r="D70" t="str">
        <f>IF('Raw RetailSalesData'!D70="","UNKNOW",'Raw RetailSalesData'!D70)</f>
        <v>P103</v>
      </c>
      <c r="E70" s="5">
        <f>IF('Raw RetailSalesData'!E70="",'Raw RetailSalesData'!F70/'Raw RetailSalesData'!G70,'Raw RetailSalesData'!E70)</f>
        <v>11</v>
      </c>
      <c r="F70" s="7">
        <f>IF('Raw RetailSalesData'!F70="",'Raw RetailSalesData'!G70/'Raw RetailSalesData'!E70,'Raw RetailSalesData'!F70)</f>
        <v>100</v>
      </c>
      <c r="G70" s="7">
        <f t="shared" si="1"/>
        <v>1100</v>
      </c>
      <c r="H70" s="5" t="str">
        <f>IF('Raw RetailSalesData'!H70="","Unknown",'Raw RetailSalesData'!H70)</f>
        <v>NA</v>
      </c>
      <c r="I70" t="s">
        <v>28</v>
      </c>
      <c r="J70" t="s">
        <v>2196</v>
      </c>
      <c r="K70" t="str">
        <f>TRIM('Raw RetailSalesData'!K70)</f>
        <v>Michael Johnson</v>
      </c>
      <c r="L70" t="s">
        <v>21</v>
      </c>
    </row>
    <row r="71" spans="1:12" x14ac:dyDescent="0.3">
      <c r="A71" t="str">
        <f>IF(COUNTIF('Raw RetailSalesData'!$A:$L,'Raw RetailSalesData'!A71)=1,'Raw RetailSalesData'!A71,"")</f>
        <v>ORD-10078</v>
      </c>
      <c r="B71" t="str">
        <f>IF('Raw RetailSalesData'!B71="","UNKNOWN",'Raw RetailSalesData'!B71)</f>
        <v>2025-11-08</v>
      </c>
      <c r="C71" t="str">
        <f>IF('Raw RetailSalesData'!C71="","UNKNOW",'Raw RetailSalesData'!C71)</f>
        <v>CUST-1164</v>
      </c>
      <c r="D71" t="str">
        <f>IF('Raw RetailSalesData'!D71="","UNKNOW",'Raw RetailSalesData'!D71)</f>
        <v>P103</v>
      </c>
      <c r="E71" s="5">
        <f>IF('Raw RetailSalesData'!E71="",'Raw RetailSalesData'!F71/'Raw RetailSalesData'!G71,'Raw RetailSalesData'!E71)</f>
        <v>11</v>
      </c>
      <c r="F71" s="7">
        <f>IF('Raw RetailSalesData'!F71="",'Raw RetailSalesData'!G71/'Raw RetailSalesData'!E71,'Raw RetailSalesData'!F71)</f>
        <v>100</v>
      </c>
      <c r="G71" s="7">
        <f t="shared" si="1"/>
        <v>1100</v>
      </c>
      <c r="H71" s="5" t="str">
        <f>IF('Raw RetailSalesData'!H71="","Unknown",'Raw RetailSalesData'!H71)</f>
        <v>NA</v>
      </c>
      <c r="I71" t="s">
        <v>28</v>
      </c>
      <c r="J71" t="s">
        <v>2196</v>
      </c>
      <c r="K71" t="str">
        <f>TRIM('Raw RetailSalesData'!K71)</f>
        <v>Michael Johnson</v>
      </c>
      <c r="L71" t="s">
        <v>21</v>
      </c>
    </row>
    <row r="72" spans="1:12" x14ac:dyDescent="0.3">
      <c r="A72" t="str">
        <f>IF(COUNTIF('Raw RetailSalesData'!$A:$L,'Raw RetailSalesData'!A72)=1,'Raw RetailSalesData'!A72,"")</f>
        <v>ORD-10079</v>
      </c>
      <c r="B72" t="str">
        <f>IF('Raw RetailSalesData'!B72="","UNKNOWN",'Raw RetailSalesData'!B72)</f>
        <v>2023-05-25</v>
      </c>
      <c r="C72" t="str">
        <f>IF('Raw RetailSalesData'!C72="","UNKNOW",'Raw RetailSalesData'!C72)</f>
        <v>CUST-1154</v>
      </c>
      <c r="D72" t="str">
        <f>IF('Raw RetailSalesData'!D72="","UNKNOW",'Raw RetailSalesData'!D72)</f>
        <v>P203</v>
      </c>
      <c r="E72" s="5">
        <f>IF('Raw RetailSalesData'!E72="",'Raw RetailSalesData'!F72/'Raw RetailSalesData'!G72,'Raw RetailSalesData'!E72)</f>
        <v>14</v>
      </c>
      <c r="F72" s="7">
        <f>IF('Raw RetailSalesData'!F72="",'Raw RetailSalesData'!G72/'Raw RetailSalesData'!E72,'Raw RetailSalesData'!F72)</f>
        <v>68</v>
      </c>
      <c r="G72" s="7">
        <f t="shared" si="1"/>
        <v>952</v>
      </c>
      <c r="H72" s="5" t="str">
        <f>IF('Raw RetailSalesData'!H72="","Unknown",'Raw RetailSalesData'!H72)</f>
        <v>EMEA</v>
      </c>
      <c r="I72" t="s">
        <v>83</v>
      </c>
      <c r="J72" t="s">
        <v>84</v>
      </c>
      <c r="K72" t="str">
        <f>TRIM('Raw RetailSalesData'!K72)</f>
        <v>John Smith</v>
      </c>
      <c r="L72" t="s">
        <v>46</v>
      </c>
    </row>
    <row r="73" spans="1:12" x14ac:dyDescent="0.3">
      <c r="A73" t="str">
        <f>IF(COUNTIF('Raw RetailSalesData'!$A:$L,'Raw RetailSalesData'!A73)=1,'Raw RetailSalesData'!A73,"")</f>
        <v>ORD-10080</v>
      </c>
      <c r="B73" t="str">
        <f>IF('Raw RetailSalesData'!B73="","UNKNOWN",'Raw RetailSalesData'!B73)</f>
        <v>2022-01-22</v>
      </c>
      <c r="C73" t="str">
        <f>IF('Raw RetailSalesData'!C73="","UNKNOW",'Raw RetailSalesData'!C73)</f>
        <v>CUST-1174</v>
      </c>
      <c r="D73" t="str">
        <f>IF('Raw RetailSalesData'!D73="","UNKNOW",'Raw RetailSalesData'!D73)</f>
        <v>P101</v>
      </c>
      <c r="E73" s="5">
        <f>IF('Raw RetailSalesData'!E73="",'Raw RetailSalesData'!F73/'Raw RetailSalesData'!G73,'Raw RetailSalesData'!E73)</f>
        <v>7</v>
      </c>
      <c r="F73" s="7">
        <f>IF('Raw RetailSalesData'!F73="",'Raw RetailSalesData'!G73/'Raw RetailSalesData'!E73,'Raw RetailSalesData'!F73)</f>
        <v>80</v>
      </c>
      <c r="G73" s="7">
        <f t="shared" si="1"/>
        <v>560</v>
      </c>
      <c r="H73" s="5" t="str">
        <f>IF('Raw RetailSalesData'!H73="","Unknown",'Raw RetailSalesData'!H73)</f>
        <v>LATAM</v>
      </c>
      <c r="I73" t="s">
        <v>18</v>
      </c>
      <c r="J73" t="s">
        <v>2197</v>
      </c>
      <c r="K73" t="str">
        <f>TRIM('Raw RetailSalesData'!K73)</f>
        <v>Sales Rep 1</v>
      </c>
      <c r="L73" t="s">
        <v>21</v>
      </c>
    </row>
    <row r="74" spans="1:12" x14ac:dyDescent="0.3">
      <c r="A74" t="str">
        <f>IF(COUNTIF('Raw RetailSalesData'!$A:$L,'Raw RetailSalesData'!A74)=1,'Raw RetailSalesData'!A74,"")</f>
        <v>ORD-10081</v>
      </c>
      <c r="B74" t="str">
        <f>IF('Raw RetailSalesData'!B74="","UNKNOWN",'Raw RetailSalesData'!B74)</f>
        <v>2023-12-29</v>
      </c>
      <c r="C74" t="str">
        <f>IF('Raw RetailSalesData'!C74="","UNKNOW",'Raw RetailSalesData'!C74)</f>
        <v>CUST-1074</v>
      </c>
      <c r="D74" t="str">
        <f>IF('Raw RetailSalesData'!D74="","UNKNOW",'Raw RetailSalesData'!D74)</f>
        <v>P103</v>
      </c>
      <c r="E74" s="5">
        <f>IF('Raw RetailSalesData'!E74="",'Raw RetailSalesData'!F74/'Raw RetailSalesData'!G74,'Raw RetailSalesData'!E74)</f>
        <v>6</v>
      </c>
      <c r="F74" s="7">
        <f>IF('Raw RetailSalesData'!F74="",'Raw RetailSalesData'!G74/'Raw RetailSalesData'!E74,'Raw RetailSalesData'!F74)</f>
        <v>100</v>
      </c>
      <c r="G74" s="7">
        <f t="shared" si="1"/>
        <v>600</v>
      </c>
      <c r="H74" s="5" t="str">
        <f>IF('Raw RetailSalesData'!H74="","Unknown",'Raw RetailSalesData'!H74)</f>
        <v>NA</v>
      </c>
      <c r="I74" t="s">
        <v>28</v>
      </c>
      <c r="J74" t="s">
        <v>29</v>
      </c>
      <c r="K74" t="str">
        <f>TRIM('Raw RetailSalesData'!K74)</f>
        <v>Sales Rep 2</v>
      </c>
      <c r="L74" t="s">
        <v>31</v>
      </c>
    </row>
    <row r="75" spans="1:12" x14ac:dyDescent="0.3">
      <c r="A75" t="str">
        <f>IF(COUNTIF('Raw RetailSalesData'!$A:$L,'Raw RetailSalesData'!A75)=1,'Raw RetailSalesData'!A75,"")</f>
        <v>ORD-10082</v>
      </c>
      <c r="B75" t="str">
        <f>IF('Raw RetailSalesData'!B75="","UNKNOWN",'Raw RetailSalesData'!B75)</f>
        <v>2023-12-29</v>
      </c>
      <c r="C75" t="str">
        <f>IF('Raw RetailSalesData'!C75="","UNKNOW",'Raw RetailSalesData'!C75)</f>
        <v>CUST-1074</v>
      </c>
      <c r="D75" t="str">
        <f>IF('Raw RetailSalesData'!D75="","UNKNOW",'Raw RetailSalesData'!D75)</f>
        <v>P103</v>
      </c>
      <c r="E75" s="5">
        <f>IF('Raw RetailSalesData'!E75="",'Raw RetailSalesData'!F75/'Raw RetailSalesData'!G75,'Raw RetailSalesData'!E75)</f>
        <v>6</v>
      </c>
      <c r="F75" s="7">
        <f>IF('Raw RetailSalesData'!F75="",'Raw RetailSalesData'!G75/'Raw RetailSalesData'!E75,'Raw RetailSalesData'!F75)</f>
        <v>100</v>
      </c>
      <c r="G75" s="7">
        <f t="shared" si="1"/>
        <v>600</v>
      </c>
      <c r="H75" s="5" t="str">
        <f>IF('Raw RetailSalesData'!H75="","Unknown",'Raw RetailSalesData'!H75)</f>
        <v>NA</v>
      </c>
      <c r="I75" t="s">
        <v>28</v>
      </c>
      <c r="J75" t="s">
        <v>29</v>
      </c>
      <c r="K75" t="str">
        <f>TRIM('Raw RetailSalesData'!K75)</f>
        <v>Sales Rep 2</v>
      </c>
      <c r="L75" t="s">
        <v>31</v>
      </c>
    </row>
    <row r="76" spans="1:12" x14ac:dyDescent="0.3">
      <c r="A76" t="str">
        <f>IF(COUNTIF('Raw RetailSalesData'!$A:$L,'Raw RetailSalesData'!A76)=1,'Raw RetailSalesData'!A76,"")</f>
        <v>ORD-10083</v>
      </c>
      <c r="B76" t="str">
        <f>IF('Raw RetailSalesData'!B76="","UNKNOWN",'Raw RetailSalesData'!B76)</f>
        <v>2022-03-04</v>
      </c>
      <c r="C76" t="str">
        <f>IF('Raw RetailSalesData'!C76="","UNKNOW",'Raw RetailSalesData'!C76)</f>
        <v>CUST-1015</v>
      </c>
      <c r="D76" t="str">
        <f>IF('Raw RetailSalesData'!D76="","UNKNOW",'Raw RetailSalesData'!D76)</f>
        <v>C302</v>
      </c>
      <c r="E76" s="5">
        <f>IF('Raw RetailSalesData'!E76="",'Raw RetailSalesData'!F76/'Raw RetailSalesData'!G76,'Raw RetailSalesData'!E76)</f>
        <v>9</v>
      </c>
      <c r="F76" s="7">
        <f>IF('Raw RetailSalesData'!F76="",'Raw RetailSalesData'!G76/'Raw RetailSalesData'!E76,'Raw RetailSalesData'!F76)</f>
        <v>50</v>
      </c>
      <c r="G76" s="7">
        <f t="shared" si="1"/>
        <v>450</v>
      </c>
      <c r="H76" s="5" t="str">
        <f>IF('Raw RetailSalesData'!H76="","Unknown",'Raw RetailSalesData'!H76)</f>
        <v>EMEA</v>
      </c>
      <c r="I76" t="s">
        <v>83</v>
      </c>
      <c r="J76" t="s">
        <v>84</v>
      </c>
      <c r="K76" t="str">
        <f>TRIM('Raw RetailSalesData'!K76)</f>
        <v>John Smith</v>
      </c>
      <c r="L76" t="s">
        <v>46</v>
      </c>
    </row>
    <row r="77" spans="1:12" x14ac:dyDescent="0.3">
      <c r="A77" t="str">
        <f>IF(COUNTIF('Raw RetailSalesData'!$A:$L,'Raw RetailSalesData'!A77)=1,'Raw RetailSalesData'!A77,"")</f>
        <v>ORD-10084</v>
      </c>
      <c r="B77" t="str">
        <f>IF('Raw RetailSalesData'!B77="","UNKNOWN",'Raw RetailSalesData'!B77)</f>
        <v>2023-05-03</v>
      </c>
      <c r="C77" t="str">
        <f>IF('Raw RetailSalesData'!C77="","UNKNOW",'Raw RetailSalesData'!C77)</f>
        <v>CUST-1082</v>
      </c>
      <c r="D77" t="str">
        <f>IF('Raw RetailSalesData'!D77="","UNKNOW",'Raw RetailSalesData'!D77)</f>
        <v>P103</v>
      </c>
      <c r="E77" s="5">
        <f>IF('Raw RetailSalesData'!E77="",'Raw RetailSalesData'!F77/'Raw RetailSalesData'!G77,'Raw RetailSalesData'!E77)</f>
        <v>11</v>
      </c>
      <c r="F77" s="7">
        <f>IF('Raw RetailSalesData'!F77="",'Raw RetailSalesData'!G77/'Raw RetailSalesData'!E77,'Raw RetailSalesData'!F77)</f>
        <v>95</v>
      </c>
      <c r="G77" s="7">
        <f t="shared" si="1"/>
        <v>1045</v>
      </c>
      <c r="H77" s="5" t="str">
        <f>IF('Raw RetailSalesData'!H77="","Unknown",'Raw RetailSalesData'!H77)</f>
        <v>APAC</v>
      </c>
      <c r="I77" t="s">
        <v>183</v>
      </c>
      <c r="J77" t="s">
        <v>184</v>
      </c>
      <c r="K77" t="str">
        <f>TRIM('Raw RetailSalesData'!K77)</f>
        <v>Sales Rep 1</v>
      </c>
      <c r="L77" t="s">
        <v>46</v>
      </c>
    </row>
    <row r="78" spans="1:12" x14ac:dyDescent="0.3">
      <c r="A78" t="str">
        <f>IF(COUNTIF('Raw RetailSalesData'!$A:$L,'Raw RetailSalesData'!A78)=1,'Raw RetailSalesData'!A78,"")</f>
        <v>ORD-10085</v>
      </c>
      <c r="B78" t="str">
        <f>IF('Raw RetailSalesData'!B78="","UNKNOWN",'Raw RetailSalesData'!B78)</f>
        <v>2025-06-11</v>
      </c>
      <c r="C78" t="str">
        <f>IF('Raw RetailSalesData'!C78="","UNKNOW",'Raw RetailSalesData'!C78)</f>
        <v>CUST-1101</v>
      </c>
      <c r="D78" t="str">
        <f>IF('Raw RetailSalesData'!D78="","UNKNOW",'Raw RetailSalesData'!D78)</f>
        <v>C303</v>
      </c>
      <c r="E78" s="5">
        <f>IF('Raw RetailSalesData'!E78="",'Raw RetailSalesData'!F78/'Raw RetailSalesData'!G78,'Raw RetailSalesData'!E78)</f>
        <v>10</v>
      </c>
      <c r="F78" s="7">
        <f>IF('Raw RetailSalesData'!F78="",'Raw RetailSalesData'!G78/'Raw RetailSalesData'!E78,'Raw RetailSalesData'!F78)</f>
        <v>60</v>
      </c>
      <c r="G78" s="7">
        <f t="shared" si="1"/>
        <v>600</v>
      </c>
      <c r="H78" s="5" t="str">
        <f>IF('Raw RetailSalesData'!H78="","Unknown",'Raw RetailSalesData'!H78)</f>
        <v>EMEA</v>
      </c>
      <c r="I78" t="s">
        <v>225</v>
      </c>
      <c r="J78" t="s">
        <v>226</v>
      </c>
      <c r="K78" t="str">
        <f>TRIM('Raw RetailSalesData'!K78)</f>
        <v>Sales Rep 5</v>
      </c>
      <c r="L78" t="s">
        <v>21</v>
      </c>
    </row>
    <row r="79" spans="1:12" x14ac:dyDescent="0.3">
      <c r="A79" t="str">
        <f>IF(COUNTIF('Raw RetailSalesData'!$A:$L,'Raw RetailSalesData'!A79)=1,'Raw RetailSalesData'!A79,"")</f>
        <v>ORD-10086</v>
      </c>
      <c r="B79" t="str">
        <f>IF('Raw RetailSalesData'!B79="","UNKNOWN",'Raw RetailSalesData'!B79)</f>
        <v>2026-08-17</v>
      </c>
      <c r="C79" t="str">
        <f>IF('Raw RetailSalesData'!C79="","UNKNOW",'Raw RetailSalesData'!C79)</f>
        <v>CUST-1021</v>
      </c>
      <c r="D79" t="str">
        <f>IF('Raw RetailSalesData'!D79="","UNKNOW",'Raw RetailSalesData'!D79)</f>
        <v>P201</v>
      </c>
      <c r="E79" s="5">
        <f>IF('Raw RetailSalesData'!E79="",'Raw RetailSalesData'!F79/'Raw RetailSalesData'!G79,'Raw RetailSalesData'!E79)</f>
        <v>14</v>
      </c>
      <c r="F79" s="7">
        <f>IF('Raw RetailSalesData'!F79="",'Raw RetailSalesData'!G79/'Raw RetailSalesData'!E79,'Raw RetailSalesData'!F79)</f>
        <v>65</v>
      </c>
      <c r="G79" s="7">
        <f t="shared" si="1"/>
        <v>910</v>
      </c>
      <c r="H79" s="5" t="str">
        <f>IF('Raw RetailSalesData'!H79="","Unknown",'Raw RetailSalesData'!H79)</f>
        <v>LATAM</v>
      </c>
      <c r="I79" t="s">
        <v>18</v>
      </c>
      <c r="J79" t="s">
        <v>2197</v>
      </c>
      <c r="K79" t="str">
        <f>TRIM('Raw RetailSalesData'!K79)</f>
        <v>Sales Rep 3</v>
      </c>
      <c r="L79" t="s">
        <v>46</v>
      </c>
    </row>
    <row r="80" spans="1:12" x14ac:dyDescent="0.3">
      <c r="A80" t="str">
        <f>IF(COUNTIF('Raw RetailSalesData'!$A:$L,'Raw RetailSalesData'!A80)=1,'Raw RetailSalesData'!A80,"")</f>
        <v>ORD-10088</v>
      </c>
      <c r="B80" t="str">
        <f>IF('Raw RetailSalesData'!B80="","UNKNOWN",'Raw RetailSalesData'!B80)</f>
        <v>2022-10-20</v>
      </c>
      <c r="C80" t="str">
        <f>IF('Raw RetailSalesData'!C80="","UNKNOW",'Raw RetailSalesData'!C80)</f>
        <v>CUST-1095</v>
      </c>
      <c r="D80" t="str">
        <f>IF('Raw RetailSalesData'!D80="","UNKNOW",'Raw RetailSalesData'!D80)</f>
        <v>P103</v>
      </c>
      <c r="E80" s="5">
        <f>IF('Raw RetailSalesData'!E80="",'Raw RetailSalesData'!F80/'Raw RetailSalesData'!G80,'Raw RetailSalesData'!E80)</f>
        <v>10</v>
      </c>
      <c r="F80" s="7">
        <f>IF('Raw RetailSalesData'!F80="",'Raw RetailSalesData'!G80/'Raw RetailSalesData'!E80,'Raw RetailSalesData'!F80)</f>
        <v>95</v>
      </c>
      <c r="G80" s="7">
        <f t="shared" si="1"/>
        <v>950</v>
      </c>
      <c r="H80" s="5" t="str">
        <f>IF('Raw RetailSalesData'!H80="","Unknown",'Raw RetailSalesData'!H80)</f>
        <v>EMEA</v>
      </c>
      <c r="I80" t="s">
        <v>83</v>
      </c>
      <c r="J80" t="s">
        <v>84</v>
      </c>
      <c r="K80" t="str">
        <f>TRIM('Raw RetailSalesData'!K80)</f>
        <v>John Smith</v>
      </c>
      <c r="L80" t="s">
        <v>46</v>
      </c>
    </row>
    <row r="81" spans="1:12" x14ac:dyDescent="0.3">
      <c r="A81" t="str">
        <f>IF(COUNTIF('Raw RetailSalesData'!$A:$L,'Raw RetailSalesData'!A81)=1,'Raw RetailSalesData'!A81,"")</f>
        <v>ORD-10089</v>
      </c>
      <c r="B81" t="str">
        <f>IF('Raw RetailSalesData'!B81="","UNKNOWN",'Raw RetailSalesData'!B81)</f>
        <v>2025-09-12</v>
      </c>
      <c r="C81" t="str">
        <f>IF('Raw RetailSalesData'!C81="","UNKNOW",'Raw RetailSalesData'!C81)</f>
        <v>CUST-1179</v>
      </c>
      <c r="D81" t="str">
        <f>IF('Raw RetailSalesData'!D81="","UNKNOW",'Raw RetailSalesData'!D81)</f>
        <v>UNKNOW</v>
      </c>
      <c r="E81" s="5">
        <f>IF('Raw RetailSalesData'!E81="",'Raw RetailSalesData'!F81/'Raw RetailSalesData'!G81,'Raw RetailSalesData'!E81)</f>
        <v>19</v>
      </c>
      <c r="F81" s="7">
        <f>IF('Raw RetailSalesData'!F81="",'Raw RetailSalesData'!G81/'Raw RetailSalesData'!E81,'Raw RetailSalesData'!F81)</f>
        <v>60</v>
      </c>
      <c r="G81" s="7">
        <f t="shared" si="1"/>
        <v>1140</v>
      </c>
      <c r="H81" s="5" t="str">
        <f>IF('Raw RetailSalesData'!H81="","Unknown",'Raw RetailSalesData'!H81)</f>
        <v>EMEA</v>
      </c>
      <c r="I81" t="s">
        <v>225</v>
      </c>
      <c r="J81" t="s">
        <v>226</v>
      </c>
      <c r="K81" t="str">
        <f>TRIM('Raw RetailSalesData'!K81)</f>
        <v>Sales Rep 1</v>
      </c>
      <c r="L81" t="s">
        <v>31</v>
      </c>
    </row>
    <row r="82" spans="1:12" x14ac:dyDescent="0.3">
      <c r="A82" t="str">
        <f>IF(COUNTIF('Raw RetailSalesData'!$A:$L,'Raw RetailSalesData'!A82)=1,'Raw RetailSalesData'!A82,"")</f>
        <v>ORD-10090</v>
      </c>
      <c r="B82" t="str">
        <f>IF('Raw RetailSalesData'!B82="","UNKNOWN",'Raw RetailSalesData'!B82)</f>
        <v>2024-12-18</v>
      </c>
      <c r="C82" t="str">
        <f>IF('Raw RetailSalesData'!C82="","UNKNOW",'Raw RetailSalesData'!C82)</f>
        <v>CUST-1088</v>
      </c>
      <c r="D82" t="str">
        <f>IF('Raw RetailSalesData'!D82="","UNKNOW",'Raw RetailSalesData'!D82)</f>
        <v>P102</v>
      </c>
      <c r="E82" s="5">
        <f>IF('Raw RetailSalesData'!E82="",'Raw RetailSalesData'!F82/'Raw RetailSalesData'!G82,'Raw RetailSalesData'!E82)</f>
        <v>16</v>
      </c>
      <c r="F82" s="7">
        <f>IF('Raw RetailSalesData'!F82="",'Raw RetailSalesData'!G82/'Raw RetailSalesData'!E82,'Raw RetailSalesData'!F82)</f>
        <v>80</v>
      </c>
      <c r="G82" s="7">
        <f t="shared" si="1"/>
        <v>1280</v>
      </c>
      <c r="H82" s="5" t="str">
        <f>IF('Raw RetailSalesData'!H82="","Unknown",'Raw RetailSalesData'!H82)</f>
        <v>EMEA</v>
      </c>
      <c r="I82" t="s">
        <v>225</v>
      </c>
      <c r="J82" t="s">
        <v>226</v>
      </c>
      <c r="K82" t="str">
        <f>TRIM('Raw RetailSalesData'!K82)</f>
        <v>Sales Rep 3</v>
      </c>
      <c r="L82" t="s">
        <v>46</v>
      </c>
    </row>
    <row r="83" spans="1:12" x14ac:dyDescent="0.3">
      <c r="A83" t="str">
        <f>IF(COUNTIF('Raw RetailSalesData'!$A:$L,'Raw RetailSalesData'!A83)=1,'Raw RetailSalesData'!A83,"")</f>
        <v>ORD-10091</v>
      </c>
      <c r="B83" t="str">
        <f>IF('Raw RetailSalesData'!B83="","UNKNOWN",'Raw RetailSalesData'!B83)</f>
        <v>2026-06-04</v>
      </c>
      <c r="C83" t="str">
        <f>IF('Raw RetailSalesData'!C83="","UNKNOW",'Raw RetailSalesData'!C83)</f>
        <v>CUST-1174</v>
      </c>
      <c r="D83" t="str">
        <f>IF('Raw RetailSalesData'!D83="","UNKNOW",'Raw RetailSalesData'!D83)</f>
        <v>P202</v>
      </c>
      <c r="E83" s="5">
        <f>IF('Raw RetailSalesData'!E83="",'Raw RetailSalesData'!F83/'Raw RetailSalesData'!G83,'Raw RetailSalesData'!E83)</f>
        <v>19</v>
      </c>
      <c r="F83" s="7">
        <f>IF('Raw RetailSalesData'!F83="",'Raw RetailSalesData'!G83/'Raw RetailSalesData'!E83,'Raw RetailSalesData'!F83)</f>
        <v>65</v>
      </c>
      <c r="G83" s="7">
        <f t="shared" si="1"/>
        <v>1235</v>
      </c>
      <c r="H83" s="5" t="str">
        <f>IF('Raw RetailSalesData'!H83="","Unknown",'Raw RetailSalesData'!H83)</f>
        <v>APAC</v>
      </c>
      <c r="I83" t="s">
        <v>183</v>
      </c>
      <c r="J83" t="s">
        <v>184</v>
      </c>
      <c r="K83" t="str">
        <f>TRIM('Raw RetailSalesData'!K83)</f>
        <v>Sales Rep 4</v>
      </c>
      <c r="L83" t="s">
        <v>31</v>
      </c>
    </row>
    <row r="84" spans="1:12" x14ac:dyDescent="0.3">
      <c r="A84" t="str">
        <f>IF(COUNTIF('Raw RetailSalesData'!$A:$L,'Raw RetailSalesData'!A84)=1,'Raw RetailSalesData'!A84,"")</f>
        <v>ORD-10092</v>
      </c>
      <c r="B84" t="str">
        <f>IF('Raw RetailSalesData'!B84="","UNKNOWN",'Raw RetailSalesData'!B84)</f>
        <v>2022-09-16</v>
      </c>
      <c r="C84" t="str">
        <f>IF('Raw RetailSalesData'!C84="","UNKNOW",'Raw RetailSalesData'!C84)</f>
        <v>CUST-1120</v>
      </c>
      <c r="D84" t="str">
        <f>IF('Raw RetailSalesData'!D84="","UNKNOW",'Raw RetailSalesData'!D84)</f>
        <v>UNKNOW</v>
      </c>
      <c r="E84" s="5">
        <f>IF('Raw RetailSalesData'!E84="",'Raw RetailSalesData'!F84/'Raw RetailSalesData'!G84,'Raw RetailSalesData'!E84)</f>
        <v>13</v>
      </c>
      <c r="F84" s="7">
        <f>IF('Raw RetailSalesData'!F84="",'Raw RetailSalesData'!G84/'Raw RetailSalesData'!E84,'Raw RetailSalesData'!F84)</f>
        <v>58</v>
      </c>
      <c r="G84" s="7">
        <f t="shared" si="1"/>
        <v>754</v>
      </c>
      <c r="H84" s="5" t="str">
        <f>IF('Raw RetailSalesData'!H84="","Unknown",'Raw RetailSalesData'!H84)</f>
        <v>APAC</v>
      </c>
      <c r="I84" t="s">
        <v>183</v>
      </c>
      <c r="J84" t="s">
        <v>184</v>
      </c>
      <c r="K84" t="str">
        <f>TRIM('Raw RetailSalesData'!K84)</f>
        <v>Sales Rep 4</v>
      </c>
      <c r="L84" t="s">
        <v>31</v>
      </c>
    </row>
    <row r="85" spans="1:12" x14ac:dyDescent="0.3">
      <c r="A85" t="str">
        <f>IF(COUNTIF('Raw RetailSalesData'!$A:$L,'Raw RetailSalesData'!A85)=1,'Raw RetailSalesData'!A85,"")</f>
        <v>ORD-10093</v>
      </c>
      <c r="B85" t="str">
        <f>IF('Raw RetailSalesData'!B85="","UNKNOWN",'Raw RetailSalesData'!B85)</f>
        <v>2022-08-27</v>
      </c>
      <c r="C85" t="str">
        <f>IF('Raw RetailSalesData'!C85="","UNKNOW",'Raw RetailSalesData'!C85)</f>
        <v>CUST-1130</v>
      </c>
      <c r="D85" t="str">
        <f>IF('Raw RetailSalesData'!D85="","UNKNOW",'Raw RetailSalesData'!D85)</f>
        <v>P203</v>
      </c>
      <c r="E85" s="5">
        <f>IF('Raw RetailSalesData'!E85="",'Raw RetailSalesData'!F85/'Raw RetailSalesData'!G85,'Raw RetailSalesData'!E85)</f>
        <v>10</v>
      </c>
      <c r="F85" s="7">
        <f>IF('Raw RetailSalesData'!F85="",'Raw RetailSalesData'!G85/'Raw RetailSalesData'!E85,'Raw RetailSalesData'!F85)</f>
        <v>68</v>
      </c>
      <c r="G85" s="7">
        <f t="shared" si="1"/>
        <v>680</v>
      </c>
      <c r="H85" s="5" t="str">
        <f>IF('Raw RetailSalesData'!H85="","Unknown",'Raw RetailSalesData'!H85)</f>
        <v>APAC</v>
      </c>
      <c r="I85" t="s">
        <v>71</v>
      </c>
      <c r="J85" t="s">
        <v>72</v>
      </c>
      <c r="K85" t="str">
        <f>TRIM('Raw RetailSalesData'!K85)</f>
        <v>Hiroshi Tanaka</v>
      </c>
      <c r="L85" t="s">
        <v>46</v>
      </c>
    </row>
    <row r="86" spans="1:12" x14ac:dyDescent="0.3">
      <c r="A86" t="str">
        <f>IF(COUNTIF('Raw RetailSalesData'!$A:$L,'Raw RetailSalesData'!A86)=1,'Raw RetailSalesData'!A86,"")</f>
        <v>ORD-10094</v>
      </c>
      <c r="B86" t="str">
        <f>IF('Raw RetailSalesData'!B86="","UNKNOWN",'Raw RetailSalesData'!B86)</f>
        <v>2023-11-20</v>
      </c>
      <c r="C86" t="str">
        <f>IF('Raw RetailSalesData'!C86="","UNKNOW",'Raw RetailSalesData'!C86)</f>
        <v>CUST-1029</v>
      </c>
      <c r="D86" t="str">
        <f>IF('Raw RetailSalesData'!D86="","UNKNOW",'Raw RetailSalesData'!D86)</f>
        <v>UNKNOW</v>
      </c>
      <c r="E86" s="5">
        <f>IF('Raw RetailSalesData'!E86="",'Raw RetailSalesData'!F86/'Raw RetailSalesData'!G86,'Raw RetailSalesData'!E86)</f>
        <v>5</v>
      </c>
      <c r="F86" s="7">
        <f>IF('Raw RetailSalesData'!F86="",'Raw RetailSalesData'!G86/'Raw RetailSalesData'!E86,'Raw RetailSalesData'!F86)</f>
        <v>80</v>
      </c>
      <c r="G86" s="7">
        <f t="shared" si="1"/>
        <v>400</v>
      </c>
      <c r="H86" s="5" t="str">
        <f>IF('Raw RetailSalesData'!H86="","Unknown",'Raw RetailSalesData'!H86)</f>
        <v>Unknown</v>
      </c>
      <c r="I86" t="s">
        <v>18</v>
      </c>
      <c r="J86" t="s">
        <v>2197</v>
      </c>
      <c r="K86" t="str">
        <f>TRIM('Raw RetailSalesData'!K86)</f>
        <v>Sales Rep 1</v>
      </c>
      <c r="L86" t="s">
        <v>2190</v>
      </c>
    </row>
    <row r="87" spans="1:12" x14ac:dyDescent="0.3">
      <c r="A87" t="str">
        <f>IF(COUNTIF('Raw RetailSalesData'!$A:$L,'Raw RetailSalesData'!A87)=1,'Raw RetailSalesData'!A87,"")</f>
        <v>ORD-10095</v>
      </c>
      <c r="B87" t="str">
        <f>IF('Raw RetailSalesData'!B87="","UNKNOWN",'Raw RetailSalesData'!B87)</f>
        <v>2026-10-07</v>
      </c>
      <c r="C87" t="str">
        <f>IF('Raw RetailSalesData'!C87="","UNKNOW",'Raw RetailSalesData'!C87)</f>
        <v>CUST-1189</v>
      </c>
      <c r="D87" t="str">
        <f>IF('Raw RetailSalesData'!D87="","UNKNOW",'Raw RetailSalesData'!D87)</f>
        <v>P102</v>
      </c>
      <c r="E87" s="5">
        <f>IF('Raw RetailSalesData'!E87="",'Raw RetailSalesData'!F87/'Raw RetailSalesData'!G87,'Raw RetailSalesData'!E87)</f>
        <v>7</v>
      </c>
      <c r="F87" s="7">
        <f>IF('Raw RetailSalesData'!F87="",'Raw RetailSalesData'!G87/'Raw RetailSalesData'!E87,'Raw RetailSalesData'!F87)</f>
        <v>75</v>
      </c>
      <c r="G87" s="7">
        <f t="shared" si="1"/>
        <v>525</v>
      </c>
      <c r="H87" s="5" t="str">
        <f>IF('Raw RetailSalesData'!H87="","Unknown",'Raw RetailSalesData'!H87)</f>
        <v>LATAM</v>
      </c>
      <c r="I87" t="s">
        <v>2190</v>
      </c>
      <c r="J87" t="s">
        <v>2197</v>
      </c>
      <c r="K87" t="str">
        <f>TRIM('Raw RetailSalesData'!K87)</f>
        <v>Sales Rep 2</v>
      </c>
      <c r="L87" t="s">
        <v>46</v>
      </c>
    </row>
    <row r="88" spans="1:12" x14ac:dyDescent="0.3">
      <c r="A88" t="str">
        <f>IF(COUNTIF('Raw RetailSalesData'!$A:$L,'Raw RetailSalesData'!A88)=1,'Raw RetailSalesData'!A88,"")</f>
        <v>ORD-10097</v>
      </c>
      <c r="B88" t="str">
        <f>IF('Raw RetailSalesData'!B88="","UNKNOWN",'Raw RetailSalesData'!B88)</f>
        <v xml:space="preserve"> 2026-04-23 </v>
      </c>
      <c r="C88" t="str">
        <f>IF('Raw RetailSalesData'!C88="","UNKNOW",'Raw RetailSalesData'!C88)</f>
        <v>CUST-1078</v>
      </c>
      <c r="D88" t="str">
        <f>IF('Raw RetailSalesData'!D88="","UNKNOW",'Raw RetailSalesData'!D88)</f>
        <v>P201</v>
      </c>
      <c r="E88" s="5">
        <f>IF('Raw RetailSalesData'!E88="",'Raw RetailSalesData'!F88/'Raw RetailSalesData'!G88,'Raw RetailSalesData'!E88)</f>
        <v>6</v>
      </c>
      <c r="F88" s="7">
        <f>IF('Raw RetailSalesData'!F88="",'Raw RetailSalesData'!G88/'Raw RetailSalesData'!E88,'Raw RetailSalesData'!F88)</f>
        <v>70</v>
      </c>
      <c r="G88" s="7">
        <f t="shared" si="1"/>
        <v>420</v>
      </c>
      <c r="H88" s="5" t="str">
        <f>IF('Raw RetailSalesData'!H88="","Unknown",'Raw RetailSalesData'!H88)</f>
        <v>APAC</v>
      </c>
      <c r="I88" t="s">
        <v>151</v>
      </c>
      <c r="J88" t="s">
        <v>152</v>
      </c>
      <c r="K88" t="str">
        <f>TRIM('Raw RetailSalesData'!K88)</f>
        <v>Aarav Patel</v>
      </c>
      <c r="L88" t="s">
        <v>31</v>
      </c>
    </row>
    <row r="89" spans="1:12" x14ac:dyDescent="0.3">
      <c r="A89" t="str">
        <f>IF(COUNTIF('Raw RetailSalesData'!$A:$L,'Raw RetailSalesData'!A89)=1,'Raw RetailSalesData'!A89,"")</f>
        <v>ORD-10098</v>
      </c>
      <c r="B89" t="str">
        <f>IF('Raw RetailSalesData'!B89="","UNKNOWN",'Raw RetailSalesData'!B89)</f>
        <v>2025-04-04</v>
      </c>
      <c r="C89" t="str">
        <f>IF('Raw RetailSalesData'!C89="","UNKNOW",'Raw RetailSalesData'!C89)</f>
        <v>CUST-1012</v>
      </c>
      <c r="D89" t="str">
        <f>IF('Raw RetailSalesData'!D89="","UNKNOW",'Raw RetailSalesData'!D89)</f>
        <v>P103</v>
      </c>
      <c r="E89" s="5">
        <f>IF('Raw RetailSalesData'!E89="",'Raw RetailSalesData'!F89/'Raw RetailSalesData'!G89,'Raw RetailSalesData'!E89)</f>
        <v>19</v>
      </c>
      <c r="F89" s="7">
        <f>IF('Raw RetailSalesData'!F89="",'Raw RetailSalesData'!G89/'Raw RetailSalesData'!E89,'Raw RetailSalesData'!F89)</f>
        <v>95</v>
      </c>
      <c r="G89" s="7">
        <f t="shared" si="1"/>
        <v>1805</v>
      </c>
      <c r="H89" s="5" t="str">
        <f>IF('Raw RetailSalesData'!H89="","Unknown",'Raw RetailSalesData'!H89)</f>
        <v>EMEA</v>
      </c>
      <c r="I89" t="s">
        <v>225</v>
      </c>
      <c r="J89" t="s">
        <v>226</v>
      </c>
      <c r="K89" t="str">
        <f>TRIM('Raw RetailSalesData'!K89)</f>
        <v>Sales Rep 1</v>
      </c>
      <c r="L89" t="s">
        <v>31</v>
      </c>
    </row>
    <row r="90" spans="1:12" x14ac:dyDescent="0.3">
      <c r="A90" t="str">
        <f>IF(COUNTIF('Raw RetailSalesData'!$A:$L,'Raw RetailSalesData'!A90)=1,'Raw RetailSalesData'!A90,"")</f>
        <v>ORD-10099</v>
      </c>
      <c r="B90" t="str">
        <f>IF('Raw RetailSalesData'!B90="","UNKNOWN",'Raw RetailSalesData'!B90)</f>
        <v>2025-11-14</v>
      </c>
      <c r="C90" t="str">
        <f>IF('Raw RetailSalesData'!C90="","UNKNOW",'Raw RetailSalesData'!C90)</f>
        <v xml:space="preserve"> CUST-1191 </v>
      </c>
      <c r="D90" t="str">
        <f>IF('Raw RetailSalesData'!D90="","UNKNOW",'Raw RetailSalesData'!D90)</f>
        <v>C304</v>
      </c>
      <c r="E90" s="5">
        <f>IF('Raw RetailSalesData'!E90="",'Raw RetailSalesData'!F90/'Raw RetailSalesData'!G90,'Raw RetailSalesData'!E90)</f>
        <v>19</v>
      </c>
      <c r="F90" s="7">
        <f>IF('Raw RetailSalesData'!F90="",'Raw RetailSalesData'!G90/'Raw RetailSalesData'!E90,'Raw RetailSalesData'!F90)</f>
        <v>58</v>
      </c>
      <c r="G90" s="7">
        <f t="shared" si="1"/>
        <v>1102</v>
      </c>
      <c r="H90" s="5" t="str">
        <f>IF('Raw RetailSalesData'!H90="","Unknown",'Raw RetailSalesData'!H90)</f>
        <v>EMEA</v>
      </c>
      <c r="I90" t="s">
        <v>38</v>
      </c>
      <c r="J90" t="s">
        <v>39</v>
      </c>
      <c r="K90" t="str">
        <f>TRIM('Raw RetailSalesData'!K90)</f>
        <v>Sales Rep 1</v>
      </c>
      <c r="L90" t="s">
        <v>21</v>
      </c>
    </row>
    <row r="91" spans="1:12" x14ac:dyDescent="0.3">
      <c r="A91" t="str">
        <f>IF(COUNTIF('Raw RetailSalesData'!$A:$L,'Raw RetailSalesData'!A91)=1,'Raw RetailSalesData'!A91,"")</f>
        <v>ORD-10100</v>
      </c>
      <c r="B91" t="str">
        <f>IF('Raw RetailSalesData'!B91="","UNKNOWN",'Raw RetailSalesData'!B91)</f>
        <v>2025-02-10</v>
      </c>
      <c r="C91" t="str">
        <f>IF('Raw RetailSalesData'!C91="","UNKNOW",'Raw RetailSalesData'!C91)</f>
        <v>CUST-1052</v>
      </c>
      <c r="D91" t="str">
        <f>IF('Raw RetailSalesData'!D91="","UNKNOW",'Raw RetailSalesData'!D91)</f>
        <v>P101</v>
      </c>
      <c r="E91" s="5">
        <f>IF('Raw RetailSalesData'!E91="",'Raw RetailSalesData'!F91/'Raw RetailSalesData'!G91,'Raw RetailSalesData'!E91)</f>
        <v>1</v>
      </c>
      <c r="F91" s="7">
        <f>IF('Raw RetailSalesData'!F91="",'Raw RetailSalesData'!G91/'Raw RetailSalesData'!E91,'Raw RetailSalesData'!F91)</f>
        <v>80</v>
      </c>
      <c r="G91" s="7">
        <f t="shared" si="1"/>
        <v>80</v>
      </c>
      <c r="H91" s="5" t="str">
        <f>IF('Raw RetailSalesData'!H91="","Unknown",'Raw RetailSalesData'!H91)</f>
        <v>LATAM</v>
      </c>
      <c r="I91" t="s">
        <v>18</v>
      </c>
      <c r="J91" t="s">
        <v>2197</v>
      </c>
      <c r="K91" t="str">
        <f>TRIM('Raw RetailSalesData'!K91)</f>
        <v>Sales Rep 1</v>
      </c>
      <c r="L91" t="s">
        <v>2190</v>
      </c>
    </row>
    <row r="92" spans="1:12" x14ac:dyDescent="0.3">
      <c r="A92" t="str">
        <f>IF(COUNTIF('Raw RetailSalesData'!$A:$L,'Raw RetailSalesData'!A92)=1,'Raw RetailSalesData'!A92,"")</f>
        <v>ORD-10101</v>
      </c>
      <c r="B92" t="str">
        <f>IF('Raw RetailSalesData'!B92="","UNKNOWN",'Raw RetailSalesData'!B92)</f>
        <v>2022-08-08</v>
      </c>
      <c r="C92" t="str">
        <f>IF('Raw RetailSalesData'!C92="","UNKNOW",'Raw RetailSalesData'!C92)</f>
        <v>CUST-1096</v>
      </c>
      <c r="D92" t="str">
        <f>IF('Raw RetailSalesData'!D92="","UNKNOW",'Raw RetailSalesData'!D92)</f>
        <v>P203</v>
      </c>
      <c r="E92" s="5">
        <f>IF('Raw RetailSalesData'!E92="",'Raw RetailSalesData'!F92/'Raw RetailSalesData'!G92,'Raw RetailSalesData'!E92)</f>
        <v>3</v>
      </c>
      <c r="F92" s="7">
        <f>IF('Raw RetailSalesData'!F92="",'Raw RetailSalesData'!G92/'Raw RetailSalesData'!E92,'Raw RetailSalesData'!F92)</f>
        <v>68</v>
      </c>
      <c r="G92" s="7">
        <f t="shared" si="1"/>
        <v>204</v>
      </c>
      <c r="H92" s="5" t="str">
        <f>IF('Raw RetailSalesData'!H92="","Unknown",'Raw RetailSalesData'!H92)</f>
        <v>APAC</v>
      </c>
      <c r="I92" t="s">
        <v>151</v>
      </c>
      <c r="J92" t="s">
        <v>188</v>
      </c>
      <c r="K92" t="str">
        <f>TRIM('Raw RetailSalesData'!K92)</f>
        <v>Sales Rep 4</v>
      </c>
      <c r="L92" t="s">
        <v>31</v>
      </c>
    </row>
    <row r="93" spans="1:12" x14ac:dyDescent="0.3">
      <c r="A93" t="str">
        <f>IF(COUNTIF('Raw RetailSalesData'!$A:$L,'Raw RetailSalesData'!A93)=1,'Raw RetailSalesData'!A93,"")</f>
        <v>ORD-10102</v>
      </c>
      <c r="B93" t="str">
        <f>IF('Raw RetailSalesData'!B93="","UNKNOWN",'Raw RetailSalesData'!B93)</f>
        <v>2023-11-02</v>
      </c>
      <c r="C93" t="str">
        <f>IF('Raw RetailSalesData'!C93="","UNKNOW",'Raw RetailSalesData'!C93)</f>
        <v>CUST-1076</v>
      </c>
      <c r="D93" t="str">
        <f>IF('Raw RetailSalesData'!D93="","UNKNOW",'Raw RetailSalesData'!D93)</f>
        <v>C302</v>
      </c>
      <c r="E93" s="5">
        <f>IF('Raw RetailSalesData'!E93="",'Raw RetailSalesData'!F93/'Raw RetailSalesData'!G93,'Raw RetailSalesData'!E93)</f>
        <v>7</v>
      </c>
      <c r="F93" s="7">
        <f>IF('Raw RetailSalesData'!F93="",'Raw RetailSalesData'!G93/'Raw RetailSalesData'!E93,'Raw RetailSalesData'!F93)</f>
        <v>50</v>
      </c>
      <c r="G93" s="7">
        <f t="shared" si="1"/>
        <v>350</v>
      </c>
      <c r="H93" s="5" t="str">
        <f>IF('Raw RetailSalesData'!H93="","Unknown",'Raw RetailSalesData'!H93)</f>
        <v>APAC</v>
      </c>
      <c r="I93" t="s">
        <v>183</v>
      </c>
      <c r="J93" t="s">
        <v>184</v>
      </c>
      <c r="K93" t="str">
        <f>TRIM('Raw RetailSalesData'!K93)</f>
        <v>Sales Rep 2</v>
      </c>
      <c r="L93" t="s">
        <v>46</v>
      </c>
    </row>
    <row r="94" spans="1:12" x14ac:dyDescent="0.3">
      <c r="A94" t="str">
        <f>IF(COUNTIF('Raw RetailSalesData'!$A:$L,'Raw RetailSalesData'!A94)=1,'Raw RetailSalesData'!A94,"")</f>
        <v>ORD-10103</v>
      </c>
      <c r="B94" t="str">
        <f>IF('Raw RetailSalesData'!B94="","UNKNOWN",'Raw RetailSalesData'!B94)</f>
        <v>2022-09-29</v>
      </c>
      <c r="C94" t="str">
        <f>IF('Raw RetailSalesData'!C94="","UNKNOW",'Raw RetailSalesData'!C94)</f>
        <v>CUST-1149</v>
      </c>
      <c r="D94" t="str">
        <f>IF('Raw RetailSalesData'!D94="","UNKNOW",'Raw RetailSalesData'!D94)</f>
        <v>P202</v>
      </c>
      <c r="E94" s="5">
        <f>IF('Raw RetailSalesData'!E94="",'Raw RetailSalesData'!F94/'Raw RetailSalesData'!G94,'Raw RetailSalesData'!E94)</f>
        <v>8</v>
      </c>
      <c r="F94" s="7">
        <f>IF('Raw RetailSalesData'!F94="",'Raw RetailSalesData'!G94/'Raw RetailSalesData'!E94,'Raw RetailSalesData'!F94)</f>
        <v>70</v>
      </c>
      <c r="G94" s="7">
        <f t="shared" si="1"/>
        <v>560</v>
      </c>
      <c r="H94" s="5" t="str">
        <f>IF('Raw RetailSalesData'!H94="","Unknown",'Raw RetailSalesData'!H94)</f>
        <v>NA</v>
      </c>
      <c r="I94" t="s">
        <v>100</v>
      </c>
      <c r="J94" t="s">
        <v>101</v>
      </c>
      <c r="K94" t="str">
        <f>TRIM('Raw RetailSalesData'!K94)</f>
        <v>Sales Rep 4</v>
      </c>
      <c r="L94" t="s">
        <v>31</v>
      </c>
    </row>
    <row r="95" spans="1:12" x14ac:dyDescent="0.3">
      <c r="A95" t="str">
        <f>IF(COUNTIF('Raw RetailSalesData'!$A:$L,'Raw RetailSalesData'!A95)=1,'Raw RetailSalesData'!A95,"")</f>
        <v>ORD-10104</v>
      </c>
      <c r="B95" t="str">
        <f>IF('Raw RetailSalesData'!B95="","UNKNOWN",'Raw RetailSalesData'!B95)</f>
        <v>2024-11-05</v>
      </c>
      <c r="C95" t="str">
        <f>IF('Raw RetailSalesData'!C95="","UNKNOW",'Raw RetailSalesData'!C95)</f>
        <v>CUST-1125</v>
      </c>
      <c r="D95" t="str">
        <f>IF('Raw RetailSalesData'!D95="","UNKNOW",'Raw RetailSalesData'!D95)</f>
        <v>C304</v>
      </c>
      <c r="E95" s="5">
        <f>IF('Raw RetailSalesData'!E95="",'Raw RetailSalesData'!F95/'Raw RetailSalesData'!G95,'Raw RetailSalesData'!E95)</f>
        <v>4</v>
      </c>
      <c r="F95" s="7">
        <f>IF('Raw RetailSalesData'!F95="",'Raw RetailSalesData'!G95/'Raw RetailSalesData'!E95,'Raw RetailSalesData'!F95)</f>
        <v>58</v>
      </c>
      <c r="G95" s="7">
        <f t="shared" si="1"/>
        <v>232</v>
      </c>
      <c r="H95" s="5" t="str">
        <f>IF('Raw RetailSalesData'!H95="","Unknown",'Raw RetailSalesData'!H95)</f>
        <v>APAC</v>
      </c>
      <c r="I95" t="s">
        <v>183</v>
      </c>
      <c r="J95" t="s">
        <v>184</v>
      </c>
      <c r="K95" t="str">
        <f>TRIM('Raw RetailSalesData'!K95)</f>
        <v>Sales Rep 3</v>
      </c>
      <c r="L95" t="s">
        <v>31</v>
      </c>
    </row>
    <row r="96" spans="1:12" x14ac:dyDescent="0.3">
      <c r="A96" t="str">
        <f>IF(COUNTIF('Raw RetailSalesData'!$A:$L,'Raw RetailSalesData'!A96)=1,'Raw RetailSalesData'!A96,"")</f>
        <v>ORD-10105</v>
      </c>
      <c r="B96" t="str">
        <f>IF('Raw RetailSalesData'!B96="","UNKNOWN",'Raw RetailSalesData'!B96)</f>
        <v>2025-10-13</v>
      </c>
      <c r="C96" t="str">
        <f>IF('Raw RetailSalesData'!C96="","UNKNOW",'Raw RetailSalesData'!C96)</f>
        <v>CUST-1131</v>
      </c>
      <c r="D96" t="str">
        <f>IF('Raw RetailSalesData'!D96="","UNKNOW",'Raw RetailSalesData'!D96)</f>
        <v>P102</v>
      </c>
      <c r="E96" s="5">
        <f>IF('Raw RetailSalesData'!E96="",'Raw RetailSalesData'!F96/'Raw RetailSalesData'!G96,'Raw RetailSalesData'!E96)</f>
        <v>13</v>
      </c>
      <c r="F96" s="7">
        <f>IF('Raw RetailSalesData'!F96="",'Raw RetailSalesData'!G96/'Raw RetailSalesData'!E96,'Raw RetailSalesData'!F96)</f>
        <v>80</v>
      </c>
      <c r="G96" s="7">
        <f t="shared" si="1"/>
        <v>1040</v>
      </c>
      <c r="H96" s="5" t="str">
        <f>IF('Raw RetailSalesData'!H96="","Unknown",'Raw RetailSalesData'!H96)</f>
        <v>EMEA</v>
      </c>
      <c r="I96" t="s">
        <v>38</v>
      </c>
      <c r="J96" t="s">
        <v>39</v>
      </c>
      <c r="K96" t="str">
        <f>TRIM('Raw RetailSalesData'!K96)</f>
        <v>Sales Rep 3</v>
      </c>
      <c r="L96" t="s">
        <v>31</v>
      </c>
    </row>
    <row r="97" spans="1:12" x14ac:dyDescent="0.3">
      <c r="A97" t="str">
        <f>IF(COUNTIF('Raw RetailSalesData'!$A:$L,'Raw RetailSalesData'!A97)=1,'Raw RetailSalesData'!A97,"")</f>
        <v>ORD-10106</v>
      </c>
      <c r="B97" t="str">
        <f>IF('Raw RetailSalesData'!B97="","UNKNOWN",'Raw RetailSalesData'!B97)</f>
        <v>2025-10-13</v>
      </c>
      <c r="C97" t="str">
        <f>IF('Raw RetailSalesData'!C97="","UNKNOW",'Raw RetailSalesData'!C97)</f>
        <v>CUST-1131</v>
      </c>
      <c r="D97" t="str">
        <f>IF('Raw RetailSalesData'!D97="","UNKNOW",'Raw RetailSalesData'!D97)</f>
        <v>P102</v>
      </c>
      <c r="E97" s="5">
        <f>IF('Raw RetailSalesData'!E97="",'Raw RetailSalesData'!F97/'Raw RetailSalesData'!G97,'Raw RetailSalesData'!E97)</f>
        <v>13</v>
      </c>
      <c r="F97" s="7">
        <f>IF('Raw RetailSalesData'!F97="",'Raw RetailSalesData'!G97/'Raw RetailSalesData'!E97,'Raw RetailSalesData'!F97)</f>
        <v>80</v>
      </c>
      <c r="G97" s="7">
        <f t="shared" si="1"/>
        <v>1040</v>
      </c>
      <c r="H97" s="5" t="str">
        <f>IF('Raw RetailSalesData'!H97="","Unknown",'Raw RetailSalesData'!H97)</f>
        <v>EMEA</v>
      </c>
      <c r="I97" t="s">
        <v>38</v>
      </c>
      <c r="J97" t="s">
        <v>39</v>
      </c>
      <c r="K97" t="str">
        <f>TRIM('Raw RetailSalesData'!K97)</f>
        <v>Sales Rep 3</v>
      </c>
      <c r="L97" t="s">
        <v>31</v>
      </c>
    </row>
    <row r="98" spans="1:12" x14ac:dyDescent="0.3">
      <c r="A98" t="str">
        <f>IF(COUNTIF('Raw RetailSalesData'!$A:$L,'Raw RetailSalesData'!A98)=1,'Raw RetailSalesData'!A98,"")</f>
        <v>ORD-10107</v>
      </c>
      <c r="B98" t="str">
        <f>IF('Raw RetailSalesData'!B98="","UNKNOWN",'Raw RetailSalesData'!B98)</f>
        <v>2022-07-20</v>
      </c>
      <c r="C98" t="str">
        <f>IF('Raw RetailSalesData'!C98="","UNKNOW",'Raw RetailSalesData'!C98)</f>
        <v>CUST-1088</v>
      </c>
      <c r="D98" t="str">
        <f>IF('Raw RetailSalesData'!D98="","UNKNOW",'Raw RetailSalesData'!D98)</f>
        <v>C302</v>
      </c>
      <c r="E98" s="5">
        <f>IF('Raw RetailSalesData'!E98="",'Raw RetailSalesData'!F98/'Raw RetailSalesData'!G98,'Raw RetailSalesData'!E98)</f>
        <v>18</v>
      </c>
      <c r="F98" s="7">
        <f>IF('Raw RetailSalesData'!F98="",'Raw RetailSalesData'!G98/'Raw RetailSalesData'!E98,'Raw RetailSalesData'!F98)</f>
        <v>50</v>
      </c>
      <c r="G98" s="7">
        <f t="shared" si="1"/>
        <v>900</v>
      </c>
      <c r="H98" s="5" t="str">
        <f>IF('Raw RetailSalesData'!H98="","Unknown",'Raw RetailSalesData'!H98)</f>
        <v>APAC</v>
      </c>
      <c r="I98" t="s">
        <v>151</v>
      </c>
      <c r="J98" t="s">
        <v>188</v>
      </c>
      <c r="K98" t="str">
        <f>TRIM('Raw RetailSalesData'!K98)</f>
        <v>Sales Rep 3</v>
      </c>
      <c r="L98" t="s">
        <v>31</v>
      </c>
    </row>
    <row r="99" spans="1:12" x14ac:dyDescent="0.3">
      <c r="A99" t="str">
        <f>IF(COUNTIF('Raw RetailSalesData'!$A:$L,'Raw RetailSalesData'!A99)=1,'Raw RetailSalesData'!A99,"")</f>
        <v>ORD-10108</v>
      </c>
      <c r="B99" t="str">
        <f>IF('Raw RetailSalesData'!B99="","UNKNOWN",'Raw RetailSalesData'!B99)</f>
        <v>2023-07-26</v>
      </c>
      <c r="C99" t="str">
        <f>IF('Raw RetailSalesData'!C99="","UNKNOW",'Raw RetailSalesData'!C99)</f>
        <v>CUST-1020</v>
      </c>
      <c r="D99" t="str">
        <f>IF('Raw RetailSalesData'!D99="","UNKNOW",'Raw RetailSalesData'!D99)</f>
        <v>C304</v>
      </c>
      <c r="E99" s="5">
        <f>IF('Raw RetailSalesData'!E99="",'Raw RetailSalesData'!F99/'Raw RetailSalesData'!G99,'Raw RetailSalesData'!E99)</f>
        <v>5</v>
      </c>
      <c r="F99" s="7">
        <f>IF('Raw RetailSalesData'!F99="",'Raw RetailSalesData'!G99/'Raw RetailSalesData'!E99,'Raw RetailSalesData'!F99)</f>
        <v>63</v>
      </c>
      <c r="G99" s="7">
        <f t="shared" si="1"/>
        <v>315</v>
      </c>
      <c r="H99" s="5" t="str">
        <f>IF('Raw RetailSalesData'!H99="","Unknown",'Raw RetailSalesData'!H99)</f>
        <v>NA</v>
      </c>
      <c r="I99" t="s">
        <v>100</v>
      </c>
      <c r="J99" t="s">
        <v>101</v>
      </c>
      <c r="K99" t="str">
        <f>TRIM('Raw RetailSalesData'!K99)</f>
        <v>Sales Rep 1</v>
      </c>
      <c r="L99" t="s">
        <v>31</v>
      </c>
    </row>
    <row r="100" spans="1:12" x14ac:dyDescent="0.3">
      <c r="A100" t="str">
        <f>IF(COUNTIF('Raw RetailSalesData'!$A:$L,'Raw RetailSalesData'!A100)=1,'Raw RetailSalesData'!A100,"")</f>
        <v>ORD-10109</v>
      </c>
      <c r="B100" t="str">
        <f>IF('Raw RetailSalesData'!B100="","UNKNOWN",'Raw RetailSalesData'!B100)</f>
        <v>2023-09-28</v>
      </c>
      <c r="C100" t="str">
        <f>IF('Raw RetailSalesData'!C100="","UNKNOW",'Raw RetailSalesData'!C100)</f>
        <v>CUST-1114</v>
      </c>
      <c r="D100" t="str">
        <f>IF('Raw RetailSalesData'!D100="","UNKNOW",'Raw RetailSalesData'!D100)</f>
        <v>P102</v>
      </c>
      <c r="E100" s="5">
        <f>IF('Raw RetailSalesData'!E100="",'Raw RetailSalesData'!F100/'Raw RetailSalesData'!G100,'Raw RetailSalesData'!E100)</f>
        <v>11</v>
      </c>
      <c r="F100" s="7">
        <f>IF('Raw RetailSalesData'!F100="",'Raw RetailSalesData'!G100/'Raw RetailSalesData'!E100,'Raw RetailSalesData'!F100)</f>
        <v>85</v>
      </c>
      <c r="G100" s="7">
        <f t="shared" si="1"/>
        <v>935</v>
      </c>
      <c r="H100" s="5" t="str">
        <f>IF('Raw RetailSalesData'!H100="","Unknown",'Raw RetailSalesData'!H100)</f>
        <v>NA</v>
      </c>
      <c r="I100" t="s">
        <v>100</v>
      </c>
      <c r="J100" t="s">
        <v>2190</v>
      </c>
      <c r="K100" t="str">
        <f>TRIM('Raw RetailSalesData'!K100)</f>
        <v>Sales Rep 5</v>
      </c>
      <c r="L100" t="s">
        <v>21</v>
      </c>
    </row>
    <row r="101" spans="1:12" x14ac:dyDescent="0.3">
      <c r="A101" t="str">
        <f>IF(COUNTIF('Raw RetailSalesData'!$A:$L,'Raw RetailSalesData'!A101)=1,'Raw RetailSalesData'!A101,"")</f>
        <v>ORD-10110</v>
      </c>
      <c r="B101" t="str">
        <f>IF('Raw RetailSalesData'!B101="","UNKNOWN",'Raw RetailSalesData'!B101)</f>
        <v>2022-10-05</v>
      </c>
      <c r="C101" t="str">
        <f>IF('Raw RetailSalesData'!C101="","UNKNOW",'Raw RetailSalesData'!C101)</f>
        <v>CUST-1014</v>
      </c>
      <c r="D101" t="str">
        <f>IF('Raw RetailSalesData'!D101="","UNKNOW",'Raw RetailSalesData'!D101)</f>
        <v>P103</v>
      </c>
      <c r="E101" s="5">
        <f>IF('Raw RetailSalesData'!E101="",'Raw RetailSalesData'!F101/'Raw RetailSalesData'!G101,'Raw RetailSalesData'!E101)</f>
        <v>16</v>
      </c>
      <c r="F101" s="7">
        <f>IF('Raw RetailSalesData'!F101="",'Raw RetailSalesData'!G101/'Raw RetailSalesData'!E101,'Raw RetailSalesData'!F101)</f>
        <v>95</v>
      </c>
      <c r="G101" s="7">
        <f t="shared" si="1"/>
        <v>1520</v>
      </c>
      <c r="H101" s="5" t="str">
        <f>IF('Raw RetailSalesData'!H101="","Unknown",'Raw RetailSalesData'!H101)</f>
        <v>APAC</v>
      </c>
      <c r="I101" t="s">
        <v>151</v>
      </c>
      <c r="J101" t="s">
        <v>152</v>
      </c>
      <c r="K101" t="str">
        <f>TRIM('Raw RetailSalesData'!K101)</f>
        <v>Aarav Patel</v>
      </c>
      <c r="L101" t="s">
        <v>21</v>
      </c>
    </row>
    <row r="102" spans="1:12" x14ac:dyDescent="0.3">
      <c r="A102" t="str">
        <f>IF(COUNTIF('Raw RetailSalesData'!$A:$L,'Raw RetailSalesData'!A102)=1,'Raw RetailSalesData'!A102,"")</f>
        <v>ORD-10111</v>
      </c>
      <c r="B102" t="str">
        <f>IF('Raw RetailSalesData'!B102="","UNKNOWN",'Raw RetailSalesData'!B102)</f>
        <v>2024-07-08</v>
      </c>
      <c r="C102" t="str">
        <f>IF('Raw RetailSalesData'!C102="","UNKNOW",'Raw RetailSalesData'!C102)</f>
        <v>CUST-1142</v>
      </c>
      <c r="D102" t="str">
        <f>IF('Raw RetailSalesData'!D102="","UNKNOW",'Raw RetailSalesData'!D102)</f>
        <v>C304</v>
      </c>
      <c r="E102" s="5">
        <f>IF('Raw RetailSalesData'!E102="",'Raw RetailSalesData'!F102/'Raw RetailSalesData'!G102,'Raw RetailSalesData'!E102)</f>
        <v>4</v>
      </c>
      <c r="F102" s="7">
        <f>IF('Raw RetailSalesData'!F102="",'Raw RetailSalesData'!G102/'Raw RetailSalesData'!E102,'Raw RetailSalesData'!F102)</f>
        <v>53</v>
      </c>
      <c r="G102" s="7">
        <f t="shared" si="1"/>
        <v>212</v>
      </c>
      <c r="H102" s="5" t="str">
        <f>IF('Raw RetailSalesData'!H102="","Unknown",'Raw RetailSalesData'!H102)</f>
        <v xml:space="preserve"> LATAM </v>
      </c>
      <c r="I102" t="s">
        <v>18</v>
      </c>
      <c r="J102" t="s">
        <v>2197</v>
      </c>
      <c r="K102" t="str">
        <f>TRIM('Raw RetailSalesData'!K102)</f>
        <v>Unknown</v>
      </c>
      <c r="L102" t="s">
        <v>21</v>
      </c>
    </row>
    <row r="103" spans="1:12" x14ac:dyDescent="0.3">
      <c r="A103" t="str">
        <f>IF(COUNTIF('Raw RetailSalesData'!$A:$L,'Raw RetailSalesData'!A103)=1,'Raw RetailSalesData'!A103,"")</f>
        <v>ORD-10112</v>
      </c>
      <c r="B103" t="str">
        <f>IF('Raw RetailSalesData'!B103="","UNKNOWN",'Raw RetailSalesData'!B103)</f>
        <v>2026-09-27</v>
      </c>
      <c r="C103" t="str">
        <f>IF('Raw RetailSalesData'!C103="","UNKNOW",'Raw RetailSalesData'!C103)</f>
        <v>CUST-1042</v>
      </c>
      <c r="D103" t="str">
        <f>IF('Raw RetailSalesData'!D103="","UNKNOW",'Raw RetailSalesData'!D103)</f>
        <v>C302</v>
      </c>
      <c r="E103" s="5">
        <f>IF('Raw RetailSalesData'!E103="",'Raw RetailSalesData'!F103/'Raw RetailSalesData'!G103,'Raw RetailSalesData'!E103)</f>
        <v>9</v>
      </c>
      <c r="F103" s="7">
        <f>IF('Raw RetailSalesData'!F103="",'Raw RetailSalesData'!G103/'Raw RetailSalesData'!E103,'Raw RetailSalesData'!F103)</f>
        <v>50</v>
      </c>
      <c r="G103" s="7">
        <f t="shared" si="1"/>
        <v>450</v>
      </c>
      <c r="H103" s="5" t="str">
        <f>IF('Raw RetailSalesData'!H103="","Unknown",'Raw RetailSalesData'!H103)</f>
        <v>EMEA</v>
      </c>
      <c r="I103" t="s">
        <v>83</v>
      </c>
      <c r="J103" t="s">
        <v>84</v>
      </c>
      <c r="K103" t="str">
        <f>TRIM('Raw RetailSalesData'!K103)</f>
        <v>John Smith</v>
      </c>
      <c r="L103" t="s">
        <v>46</v>
      </c>
    </row>
    <row r="104" spans="1:12" x14ac:dyDescent="0.3">
      <c r="A104" t="str">
        <f>IF(COUNTIF('Raw RetailSalesData'!$A:$L,'Raw RetailSalesData'!A104)=1,'Raw RetailSalesData'!A104,"")</f>
        <v>ORD-10113</v>
      </c>
      <c r="B104" t="str">
        <f>IF('Raw RetailSalesData'!B104="","UNKNOWN",'Raw RetailSalesData'!B104)</f>
        <v>2025-11-04</v>
      </c>
      <c r="C104" t="str">
        <f>IF('Raw RetailSalesData'!C104="","UNKNOW",'Raw RetailSalesData'!C104)</f>
        <v>CUST-1170</v>
      </c>
      <c r="D104" t="str">
        <f>IF('Raw RetailSalesData'!D104="","UNKNOW",'Raw RetailSalesData'!D104)</f>
        <v>P102</v>
      </c>
      <c r="E104" s="5">
        <f>IF('Raw RetailSalesData'!E104="",'Raw RetailSalesData'!F104/'Raw RetailSalesData'!G104,'Raw RetailSalesData'!E104)</f>
        <v>12</v>
      </c>
      <c r="F104" s="7">
        <f>IF('Raw RetailSalesData'!F104="",'Raw RetailSalesData'!G104/'Raw RetailSalesData'!E104,'Raw RetailSalesData'!F104)</f>
        <v>80</v>
      </c>
      <c r="G104" s="7">
        <f t="shared" si="1"/>
        <v>960</v>
      </c>
      <c r="H104" s="5" t="str">
        <f>IF('Raw RetailSalesData'!H104="","Unknown",'Raw RetailSalesData'!H104)</f>
        <v>APAC</v>
      </c>
      <c r="I104" t="s">
        <v>183</v>
      </c>
      <c r="J104" t="s">
        <v>184</v>
      </c>
      <c r="K104" t="str">
        <f>TRIM('Raw RetailSalesData'!K104)</f>
        <v>Sales Rep 4</v>
      </c>
      <c r="L104" t="s">
        <v>21</v>
      </c>
    </row>
    <row r="105" spans="1:12" x14ac:dyDescent="0.3">
      <c r="A105" t="str">
        <f>IF(COUNTIF('Raw RetailSalesData'!$A:$L,'Raw RetailSalesData'!A105)=1,'Raw RetailSalesData'!A105,"")</f>
        <v>ORD-10114</v>
      </c>
      <c r="B105" t="str">
        <f>IF('Raw RetailSalesData'!B105="","UNKNOWN",'Raw RetailSalesData'!B105)</f>
        <v>2024-02-18</v>
      </c>
      <c r="C105" t="str">
        <f>IF('Raw RetailSalesData'!C105="","UNKNOW",'Raw RetailSalesData'!C105)</f>
        <v>CUST-1169</v>
      </c>
      <c r="D105" t="str">
        <f>IF('Raw RetailSalesData'!D105="","UNKNOW",'Raw RetailSalesData'!D105)</f>
        <v>P202</v>
      </c>
      <c r="E105" s="5">
        <f>IF('Raw RetailSalesData'!E105="",'Raw RetailSalesData'!F105/'Raw RetailSalesData'!G105,'Raw RetailSalesData'!E105)</f>
        <v>14</v>
      </c>
      <c r="F105" s="7">
        <f>IF('Raw RetailSalesData'!F105="",'Raw RetailSalesData'!G105/'Raw RetailSalesData'!E105,'Raw RetailSalesData'!F105)</f>
        <v>65</v>
      </c>
      <c r="G105" s="7">
        <f t="shared" si="1"/>
        <v>910</v>
      </c>
      <c r="H105" s="5" t="str">
        <f>IF('Raw RetailSalesData'!H105="","Unknown",'Raw RetailSalesData'!H105)</f>
        <v>#N/A</v>
      </c>
      <c r="I105" t="s">
        <v>183</v>
      </c>
      <c r="J105" t="s">
        <v>184</v>
      </c>
      <c r="K105" t="str">
        <f>TRIM('Raw RetailSalesData'!K105)</f>
        <v>Sales Rep 3</v>
      </c>
      <c r="L105" t="s">
        <v>21</v>
      </c>
    </row>
    <row r="106" spans="1:12" x14ac:dyDescent="0.3">
      <c r="A106" t="str">
        <f>IF(COUNTIF('Raw RetailSalesData'!$A:$L,'Raw RetailSalesData'!A106)=1,'Raw RetailSalesData'!A106,"")</f>
        <v>ORD-10115</v>
      </c>
      <c r="B106" t="str">
        <f>IF('Raw RetailSalesData'!B106="","UNKNOWN",'Raw RetailSalesData'!B106)</f>
        <v>2023-07-30</v>
      </c>
      <c r="C106" t="str">
        <f>IF('Raw RetailSalesData'!C106="","UNKNOW",'Raw RetailSalesData'!C106)</f>
        <v>CUST-1029</v>
      </c>
      <c r="D106" t="str">
        <f>IF('Raw RetailSalesData'!D106="","UNKNOW",'Raw RetailSalesData'!D106)</f>
        <v>UNKNOW</v>
      </c>
      <c r="E106" s="5">
        <f>IF('Raw RetailSalesData'!E106="",'Raw RetailSalesData'!F106/'Raw RetailSalesData'!G106,'Raw RetailSalesData'!E106)</f>
        <v>0.125</v>
      </c>
      <c r="F106" s="7">
        <f>IF('Raw RetailSalesData'!F106="",'Raw RetailSalesData'!G106/'Raw RetailSalesData'!E106,'Raw RetailSalesData'!F106)</f>
        <v>90</v>
      </c>
      <c r="G106" s="7">
        <f t="shared" si="1"/>
        <v>11.25</v>
      </c>
      <c r="H106" s="5" t="str">
        <f>IF('Raw RetailSalesData'!H106="","Unknown",'Raw RetailSalesData'!H106)</f>
        <v>LATAM</v>
      </c>
      <c r="I106" t="s">
        <v>90</v>
      </c>
      <c r="J106" t="s">
        <v>2198</v>
      </c>
      <c r="K106" t="str">
        <f>TRIM('Raw RetailSalesData'!K106)</f>
        <v>Sales Rep 4</v>
      </c>
      <c r="L106" t="s">
        <v>21</v>
      </c>
    </row>
    <row r="107" spans="1:12" x14ac:dyDescent="0.3">
      <c r="A107" t="str">
        <f>IF(COUNTIF('Raw RetailSalesData'!$A:$L,'Raw RetailSalesData'!A107)=1,'Raw RetailSalesData'!A107,"")</f>
        <v>ORD-10117</v>
      </c>
      <c r="B107" t="str">
        <f>IF('Raw RetailSalesData'!B107="","UNKNOWN",'Raw RetailSalesData'!B107)</f>
        <v>2023-04-21</v>
      </c>
      <c r="C107" t="str">
        <f>IF('Raw RetailSalesData'!C107="","UNKNOW",'Raw RetailSalesData'!C107)</f>
        <v>CUST-1118</v>
      </c>
      <c r="D107" t="str">
        <f>IF('Raw RetailSalesData'!D107="","UNKNOW",'Raw RetailSalesData'!D107)</f>
        <v>C301</v>
      </c>
      <c r="E107" s="5">
        <f>IF('Raw RetailSalesData'!E107="",'Raw RetailSalesData'!F107/'Raw RetailSalesData'!G107,'Raw RetailSalesData'!E107)</f>
        <v>1</v>
      </c>
      <c r="F107" s="7">
        <f>IF('Raw RetailSalesData'!F107="",'Raw RetailSalesData'!G107/'Raw RetailSalesData'!E107,'Raw RetailSalesData'!F107)</f>
        <v>50</v>
      </c>
      <c r="G107" s="7">
        <f t="shared" si="1"/>
        <v>50</v>
      </c>
      <c r="H107" s="5" t="str">
        <f>IF('Raw RetailSalesData'!H107="","Unknown",'Raw RetailSalesData'!H107)</f>
        <v>LATAM</v>
      </c>
      <c r="I107" t="s">
        <v>18</v>
      </c>
      <c r="J107" t="s">
        <v>2197</v>
      </c>
      <c r="K107" t="str">
        <f>TRIM('Raw RetailSalesData'!K107)</f>
        <v>Sales Rep 4</v>
      </c>
      <c r="L107" t="s">
        <v>21</v>
      </c>
    </row>
    <row r="108" spans="1:12" x14ac:dyDescent="0.3">
      <c r="A108" t="str">
        <f>IF(COUNTIF('Raw RetailSalesData'!$A:$L,'Raw RetailSalesData'!A108)=1,'Raw RetailSalesData'!A108,"")</f>
        <v>ORD-10118</v>
      </c>
      <c r="B108" t="str">
        <f>IF('Raw RetailSalesData'!B108="","UNKNOWN",'Raw RetailSalesData'!B108)</f>
        <v>2022-10-24</v>
      </c>
      <c r="C108" t="str">
        <f>IF('Raw RetailSalesData'!C108="","UNKNOW",'Raw RetailSalesData'!C108)</f>
        <v>CUST-1194</v>
      </c>
      <c r="D108" t="str">
        <f>IF('Raw RetailSalesData'!D108="","UNKNOW",'Raw RetailSalesData'!D108)</f>
        <v>P203</v>
      </c>
      <c r="E108" s="5">
        <f>IF('Raw RetailSalesData'!E108="",'Raw RetailSalesData'!F108/'Raw RetailSalesData'!G108,'Raw RetailSalesData'!E108)</f>
        <v>12</v>
      </c>
      <c r="F108" s="7">
        <f>IF('Raw RetailSalesData'!F108="",'Raw RetailSalesData'!G108/'Raw RetailSalesData'!E108,'Raw RetailSalesData'!F108)</f>
        <v>68</v>
      </c>
      <c r="G108" s="7">
        <f t="shared" si="1"/>
        <v>816</v>
      </c>
      <c r="H108" s="5" t="str">
        <f>IF('Raw RetailSalesData'!H108="","Unknown",'Raw RetailSalesData'!H108)</f>
        <v>EMEA</v>
      </c>
      <c r="I108" t="s">
        <v>38</v>
      </c>
      <c r="J108" t="s">
        <v>39</v>
      </c>
      <c r="K108" t="str">
        <f>TRIM('Raw RetailSalesData'!K108)</f>
        <v>Sales Rep 2</v>
      </c>
      <c r="L108" t="s">
        <v>46</v>
      </c>
    </row>
    <row r="109" spans="1:12" x14ac:dyDescent="0.3">
      <c r="A109" t="str">
        <f>IF(COUNTIF('Raw RetailSalesData'!$A:$L,'Raw RetailSalesData'!A109)=1,'Raw RetailSalesData'!A109,"")</f>
        <v>ORD-10119</v>
      </c>
      <c r="B109" t="str">
        <f>IF('Raw RetailSalesData'!B109="","UNKNOWN",'Raw RetailSalesData'!B109)</f>
        <v>2024-12-08</v>
      </c>
      <c r="C109" t="str">
        <f>IF('Raw RetailSalesData'!C109="","UNKNOW",'Raw RetailSalesData'!C109)</f>
        <v>CUST-1152</v>
      </c>
      <c r="D109" t="str">
        <f>IF('Raw RetailSalesData'!D109="","UNKNOW",'Raw RetailSalesData'!D109)</f>
        <v xml:space="preserve"> C304 </v>
      </c>
      <c r="E109" s="5">
        <f>IF('Raw RetailSalesData'!E109="",'Raw RetailSalesData'!F109/'Raw RetailSalesData'!G109,'Raw RetailSalesData'!E109)</f>
        <v>16</v>
      </c>
      <c r="F109" s="7">
        <f>IF('Raw RetailSalesData'!F109="",'Raw RetailSalesData'!G109/'Raw RetailSalesData'!E109,'Raw RetailSalesData'!F109)</f>
        <v>63</v>
      </c>
      <c r="G109" s="7">
        <f t="shared" si="1"/>
        <v>1008</v>
      </c>
      <c r="H109" s="5" t="str">
        <f>IF('Raw RetailSalesData'!H109="","Unknown",'Raw RetailSalesData'!H109)</f>
        <v>NA</v>
      </c>
      <c r="I109" t="s">
        <v>100</v>
      </c>
      <c r="J109" t="s">
        <v>101</v>
      </c>
      <c r="K109" t="str">
        <f>TRIM('Raw RetailSalesData'!K109)</f>
        <v>Sales Rep 1</v>
      </c>
      <c r="L109" t="s">
        <v>46</v>
      </c>
    </row>
    <row r="110" spans="1:12" x14ac:dyDescent="0.3">
      <c r="A110" t="str">
        <f>IF(COUNTIF('Raw RetailSalesData'!$A:$L,'Raw RetailSalesData'!A110)=1,'Raw RetailSalesData'!A110,"")</f>
        <v>ORD-10120</v>
      </c>
      <c r="B110" t="str">
        <f>IF('Raw RetailSalesData'!B110="","UNKNOWN",'Raw RetailSalesData'!B110)</f>
        <v>2025-02-24</v>
      </c>
      <c r="C110" t="str">
        <f>IF('Raw RetailSalesData'!C110="","UNKNOW",'Raw RetailSalesData'!C110)</f>
        <v>CUST-1062</v>
      </c>
      <c r="D110" t="str">
        <f>IF('Raw RetailSalesData'!D110="","UNKNOW",'Raw RetailSalesData'!D110)</f>
        <v>C301</v>
      </c>
      <c r="E110" s="5">
        <f>IF('Raw RetailSalesData'!E110="",'Raw RetailSalesData'!F110/'Raw RetailSalesData'!G110,'Raw RetailSalesData'!E110)</f>
        <v>11</v>
      </c>
      <c r="F110" s="7">
        <f>IF('Raw RetailSalesData'!F110="",'Raw RetailSalesData'!G110/'Raw RetailSalesData'!E110,'Raw RetailSalesData'!F110)</f>
        <v>55</v>
      </c>
      <c r="G110" s="7">
        <f t="shared" si="1"/>
        <v>605</v>
      </c>
      <c r="H110" s="5" t="str">
        <f>IF('Raw RetailSalesData'!H110="","Unknown",'Raw RetailSalesData'!H110)</f>
        <v>APAC</v>
      </c>
      <c r="I110" t="s">
        <v>151</v>
      </c>
      <c r="J110" t="s">
        <v>152</v>
      </c>
      <c r="K110" t="str">
        <f>TRIM('Raw RetailSalesData'!K110)</f>
        <v>Aarav Patel</v>
      </c>
      <c r="L110" t="s">
        <v>46</v>
      </c>
    </row>
    <row r="111" spans="1:12" x14ac:dyDescent="0.3">
      <c r="A111" t="str">
        <f>IF(COUNTIF('Raw RetailSalesData'!$A:$L,'Raw RetailSalesData'!A111)=1,'Raw RetailSalesData'!A111,"")</f>
        <v>ORD-10121</v>
      </c>
      <c r="B111" t="str">
        <f>IF('Raw RetailSalesData'!B111="","UNKNOWN",'Raw RetailSalesData'!B111)</f>
        <v>2023-05-14</v>
      </c>
      <c r="C111" t="str">
        <f>IF('Raw RetailSalesData'!C111="","UNKNOW",'Raw RetailSalesData'!C111)</f>
        <v>CUST-1179</v>
      </c>
      <c r="D111" t="str">
        <f>IF('Raw RetailSalesData'!D111="","UNKNOW",'Raw RetailSalesData'!D111)</f>
        <v>UNKNOW</v>
      </c>
      <c r="E111" s="5">
        <f>IF('Raw RetailSalesData'!E111="",'Raw RetailSalesData'!F111/'Raw RetailSalesData'!G111,'Raw RetailSalesData'!E111)</f>
        <v>20</v>
      </c>
      <c r="F111" s="7">
        <f>IF('Raw RetailSalesData'!F111="",'Raw RetailSalesData'!G111/'Raw RetailSalesData'!E111,'Raw RetailSalesData'!F111)</f>
        <v>100</v>
      </c>
      <c r="G111" s="7">
        <f t="shared" si="1"/>
        <v>2000</v>
      </c>
      <c r="H111" s="5" t="str">
        <f>IF('Raw RetailSalesData'!H111="","Unknown",'Raw RetailSalesData'!H111)</f>
        <v>NA</v>
      </c>
      <c r="I111" t="s">
        <v>28</v>
      </c>
      <c r="J111" t="s">
        <v>29</v>
      </c>
      <c r="K111" t="str">
        <f>TRIM('Raw RetailSalesData'!K111)</f>
        <v>Sales Rep 4</v>
      </c>
      <c r="L111" t="s">
        <v>46</v>
      </c>
    </row>
    <row r="112" spans="1:12" x14ac:dyDescent="0.3">
      <c r="A112" t="str">
        <f>IF(COUNTIF('Raw RetailSalesData'!$A:$L,'Raw RetailSalesData'!A112)=1,'Raw RetailSalesData'!A112,"")</f>
        <v>ORD-10122</v>
      </c>
      <c r="B112" t="str">
        <f>IF('Raw RetailSalesData'!B112="","UNKNOWN",'Raw RetailSalesData'!B112)</f>
        <v>2022-01-24</v>
      </c>
      <c r="C112" t="str">
        <f>IF('Raw RetailSalesData'!C112="","UNKNOW",'Raw RetailSalesData'!C112)</f>
        <v>CUST-1020</v>
      </c>
      <c r="D112" t="str">
        <f>IF('Raw RetailSalesData'!D112="","UNKNOW",'Raw RetailSalesData'!D112)</f>
        <v>P201</v>
      </c>
      <c r="E112" s="5">
        <f>IF('Raw RetailSalesData'!E112="",'Raw RetailSalesData'!F112/'Raw RetailSalesData'!G112,'Raw RetailSalesData'!E112)</f>
        <v>1</v>
      </c>
      <c r="F112" s="7">
        <f>IF('Raw RetailSalesData'!F112="",'Raw RetailSalesData'!G112/'Raw RetailSalesData'!E112,'Raw RetailSalesData'!F112)</f>
        <v>65</v>
      </c>
      <c r="G112" s="7">
        <f t="shared" si="1"/>
        <v>65</v>
      </c>
      <c r="H112" s="5" t="str">
        <f>IF('Raw RetailSalesData'!H112="","Unknown",'Raw RetailSalesData'!H112)</f>
        <v>LATAM</v>
      </c>
      <c r="I112" t="s">
        <v>18</v>
      </c>
      <c r="J112" t="s">
        <v>2197</v>
      </c>
      <c r="K112" t="str">
        <f>TRIM('Raw RetailSalesData'!K112)</f>
        <v>Sales Rep 1</v>
      </c>
      <c r="L112" t="s">
        <v>31</v>
      </c>
    </row>
    <row r="113" spans="1:12" x14ac:dyDescent="0.3">
      <c r="A113" t="str">
        <f>IF(COUNTIF('Raw RetailSalesData'!$A:$L,'Raw RetailSalesData'!A113)=1,'Raw RetailSalesData'!A113,"")</f>
        <v>ORD-10123</v>
      </c>
      <c r="B113" t="str">
        <f>IF('Raw RetailSalesData'!B113="","UNKNOWN",'Raw RetailSalesData'!B113)</f>
        <v>2022-08-10</v>
      </c>
      <c r="C113" t="str">
        <f>IF('Raw RetailSalesData'!C113="","UNKNOW",'Raw RetailSalesData'!C113)</f>
        <v>CUST-1018</v>
      </c>
      <c r="D113" t="str">
        <f>IF('Raw RetailSalesData'!D113="","UNKNOW",'Raw RetailSalesData'!D113)</f>
        <v>P101</v>
      </c>
      <c r="E113" s="5">
        <f>IF('Raw RetailSalesData'!E113="",'Raw RetailSalesData'!F113/'Raw RetailSalesData'!G113,'Raw RetailSalesData'!E113)</f>
        <v>4</v>
      </c>
      <c r="F113" s="7">
        <f>IF('Raw RetailSalesData'!F113="",'Raw RetailSalesData'!G113/'Raw RetailSalesData'!E113,'Raw RetailSalesData'!F113)</f>
        <v>80</v>
      </c>
      <c r="G113" s="7">
        <f t="shared" si="1"/>
        <v>320</v>
      </c>
      <c r="H113" s="5" t="str">
        <f>IF('Raw RetailSalesData'!H113="","Unknown",'Raw RetailSalesData'!H113)</f>
        <v>LATAM</v>
      </c>
      <c r="I113" t="s">
        <v>90</v>
      </c>
      <c r="J113" t="s">
        <v>2198</v>
      </c>
      <c r="K113" t="str">
        <f>TRIM('Raw RetailSalesData'!K113)</f>
        <v>Sales Rep 3</v>
      </c>
      <c r="L113" t="s">
        <v>46</v>
      </c>
    </row>
    <row r="114" spans="1:12" x14ac:dyDescent="0.3">
      <c r="A114" t="str">
        <f>IF(COUNTIF('Raw RetailSalesData'!$A:$L,'Raw RetailSalesData'!A114)=1,'Raw RetailSalesData'!A114,"")</f>
        <v>ORD-10124</v>
      </c>
      <c r="B114" t="str">
        <f>IF('Raw RetailSalesData'!B114="","UNKNOWN",'Raw RetailSalesData'!B114)</f>
        <v>2023-04-04</v>
      </c>
      <c r="C114" t="str">
        <f>IF('Raw RetailSalesData'!C114="","UNKNOW",'Raw RetailSalesData'!C114)</f>
        <v>CUST-1136</v>
      </c>
      <c r="D114" t="str">
        <f>IF('Raw RetailSalesData'!D114="","UNKNOW",'Raw RetailSalesData'!D114)</f>
        <v>C301</v>
      </c>
      <c r="E114" s="5">
        <f>IF('Raw RetailSalesData'!E114="",'Raw RetailSalesData'!F114/'Raw RetailSalesData'!G114,'Raw RetailSalesData'!E114)</f>
        <v>6</v>
      </c>
      <c r="F114" s="7">
        <f>IF('Raw RetailSalesData'!F114="",'Raw RetailSalesData'!G114/'Raw RetailSalesData'!E114,'Raw RetailSalesData'!F114)</f>
        <v>50</v>
      </c>
      <c r="G114" s="7">
        <f t="shared" si="1"/>
        <v>300</v>
      </c>
      <c r="H114" s="5" t="str">
        <f>IF('Raw RetailSalesData'!H114="","Unknown",'Raw RetailSalesData'!H114)</f>
        <v>LATAM</v>
      </c>
      <c r="I114" t="s">
        <v>90</v>
      </c>
      <c r="J114" t="s">
        <v>2198</v>
      </c>
      <c r="K114" t="str">
        <f>TRIM('Raw RetailSalesData'!K114)</f>
        <v>Sales Rep 2</v>
      </c>
      <c r="L114" t="s">
        <v>31</v>
      </c>
    </row>
    <row r="115" spans="1:12" x14ac:dyDescent="0.3">
      <c r="A115" t="str">
        <f>IF(COUNTIF('Raw RetailSalesData'!$A:$L,'Raw RetailSalesData'!A115)=1,'Raw RetailSalesData'!A115,"")</f>
        <v>ORD-10125</v>
      </c>
      <c r="B115" t="str">
        <f>IF('Raw RetailSalesData'!B115="","UNKNOWN",'Raw RetailSalesData'!B115)</f>
        <v>2025-06-24</v>
      </c>
      <c r="C115" t="str">
        <f>IF('Raw RetailSalesData'!C115="","UNKNOW",'Raw RetailSalesData'!C115)</f>
        <v>CUST-1186</v>
      </c>
      <c r="D115" t="str">
        <f>IF('Raw RetailSalesData'!D115="","UNKNOW",'Raw RetailSalesData'!D115)</f>
        <v>P202</v>
      </c>
      <c r="E115" s="5">
        <f>IF('Raw RetailSalesData'!E115="",'Raw RetailSalesData'!F115/'Raw RetailSalesData'!G115,'Raw RetailSalesData'!E115)</f>
        <v>0.16666666666666666</v>
      </c>
      <c r="F115" s="7">
        <f>IF('Raw RetailSalesData'!F115="",'Raw RetailSalesData'!G115/'Raw RetailSalesData'!E115,'Raw RetailSalesData'!F115)</f>
        <v>70</v>
      </c>
      <c r="G115" s="7">
        <f t="shared" si="1"/>
        <v>11.666666666666666</v>
      </c>
      <c r="H115" s="5" t="str">
        <f>IF('Raw RetailSalesData'!H115="","Unknown",'Raw RetailSalesData'!H115)</f>
        <v>NA</v>
      </c>
      <c r="I115" t="s">
        <v>28</v>
      </c>
      <c r="J115" t="s">
        <v>2196</v>
      </c>
      <c r="K115" t="str">
        <f>TRIM('Raw RetailSalesData'!K115)</f>
        <v>Michael Johnson</v>
      </c>
      <c r="L115" t="s">
        <v>31</v>
      </c>
    </row>
    <row r="116" spans="1:12" x14ac:dyDescent="0.3">
      <c r="A116" t="str">
        <f>IF(COUNTIF('Raw RetailSalesData'!$A:$L,'Raw RetailSalesData'!A116)=1,'Raw RetailSalesData'!A116,"")</f>
        <v>ORD-10126</v>
      </c>
      <c r="B116" t="str">
        <f>IF('Raw RetailSalesData'!B116="","UNKNOWN",'Raw RetailSalesData'!B116)</f>
        <v>2024-01-20</v>
      </c>
      <c r="C116" t="str">
        <f>IF('Raw RetailSalesData'!C116="","UNKNOW",'Raw RetailSalesData'!C116)</f>
        <v>CUST-1078</v>
      </c>
      <c r="D116" t="str">
        <f>IF('Raw RetailSalesData'!D116="","UNKNOW",'Raw RetailSalesData'!D116)</f>
        <v>P101</v>
      </c>
      <c r="E116" s="5">
        <f>IF('Raw RetailSalesData'!E116="",'Raw RetailSalesData'!F116/'Raw RetailSalesData'!G116,'Raw RetailSalesData'!E116)</f>
        <v>1</v>
      </c>
      <c r="F116" s="7">
        <f>IF('Raw RetailSalesData'!F116="",'Raw RetailSalesData'!G116/'Raw RetailSalesData'!E116,'Raw RetailSalesData'!F116)</f>
        <v>85</v>
      </c>
      <c r="G116" s="7">
        <f t="shared" si="1"/>
        <v>85</v>
      </c>
      <c r="H116" s="5" t="str">
        <f>IF('Raw RetailSalesData'!H116="","Unknown",'Raw RetailSalesData'!H116)</f>
        <v>EMEA</v>
      </c>
      <c r="I116" t="s">
        <v>83</v>
      </c>
      <c r="J116" t="s">
        <v>84</v>
      </c>
      <c r="K116" t="str">
        <f>TRIM('Raw RetailSalesData'!K116)</f>
        <v>John Smith</v>
      </c>
      <c r="L116" t="s">
        <v>21</v>
      </c>
    </row>
    <row r="117" spans="1:12" x14ac:dyDescent="0.3">
      <c r="A117" t="str">
        <f>IF(COUNTIF('Raw RetailSalesData'!$A:$L,'Raw RetailSalesData'!A117)=1,'Raw RetailSalesData'!A117,"")</f>
        <v>ORD-10127</v>
      </c>
      <c r="B117" t="str">
        <f>IF('Raw RetailSalesData'!B117="","UNKNOWN",'Raw RetailSalesData'!B117)</f>
        <v>2023-12-09</v>
      </c>
      <c r="C117" t="str">
        <f>IF('Raw RetailSalesData'!C117="","UNKNOW",'Raw RetailSalesData'!C117)</f>
        <v>CUST-1004</v>
      </c>
      <c r="D117" t="str">
        <f>IF('Raw RetailSalesData'!D117="","UNKNOW",'Raw RetailSalesData'!D117)</f>
        <v xml:space="preserve"> C301 </v>
      </c>
      <c r="E117" s="5">
        <f>IF('Raw RetailSalesData'!E117="",'Raw RetailSalesData'!F117/'Raw RetailSalesData'!G117,'Raw RetailSalesData'!E117)</f>
        <v>15</v>
      </c>
      <c r="F117" s="7">
        <f>IF('Raw RetailSalesData'!F117="",'Raw RetailSalesData'!G117/'Raw RetailSalesData'!E117,'Raw RetailSalesData'!F117)</f>
        <v>60</v>
      </c>
      <c r="G117" s="7">
        <f t="shared" si="1"/>
        <v>900</v>
      </c>
      <c r="H117" s="5" t="str">
        <f>IF('Raw RetailSalesData'!H117="","Unknown",'Raw RetailSalesData'!H117)</f>
        <v>NA</v>
      </c>
      <c r="I117" t="s">
        <v>28</v>
      </c>
      <c r="J117" t="s">
        <v>2196</v>
      </c>
      <c r="K117" t="str">
        <f>TRIM('Raw RetailSalesData'!K117)</f>
        <v>Michael Johnson</v>
      </c>
      <c r="L117" t="s">
        <v>21</v>
      </c>
    </row>
    <row r="118" spans="1:12" x14ac:dyDescent="0.3">
      <c r="A118" t="str">
        <f>IF(COUNTIF('Raw RetailSalesData'!$A:$L,'Raw RetailSalesData'!A118)=1,'Raw RetailSalesData'!A118,"")</f>
        <v>ORD-10128</v>
      </c>
      <c r="B118" t="str">
        <f>IF('Raw RetailSalesData'!B118="","UNKNOWN",'Raw RetailSalesData'!B118)</f>
        <v>2023-01-25</v>
      </c>
      <c r="C118" t="str">
        <f>IF('Raw RetailSalesData'!C118="","UNKNOW",'Raw RetailSalesData'!C118)</f>
        <v>CUST-1003</v>
      </c>
      <c r="D118" t="str">
        <f>IF('Raw RetailSalesData'!D118="","UNKNOW",'Raw RetailSalesData'!D118)</f>
        <v>P101</v>
      </c>
      <c r="E118" s="5">
        <f>IF('Raw RetailSalesData'!E118="",'Raw RetailSalesData'!F118/'Raw RetailSalesData'!G118,'Raw RetailSalesData'!E118)</f>
        <v>7</v>
      </c>
      <c r="F118" s="7">
        <f>IF('Raw RetailSalesData'!F118="",'Raw RetailSalesData'!G118/'Raw RetailSalesData'!E118,'Raw RetailSalesData'!F118)</f>
        <v>85</v>
      </c>
      <c r="G118" s="7">
        <f t="shared" si="1"/>
        <v>595</v>
      </c>
      <c r="H118" s="5" t="str">
        <f>IF('Raw RetailSalesData'!H118="","Unknown",'Raw RetailSalesData'!H118)</f>
        <v>APAC</v>
      </c>
      <c r="I118" t="s">
        <v>71</v>
      </c>
      <c r="J118" t="s">
        <v>72</v>
      </c>
      <c r="K118" t="str">
        <f>TRIM('Raw RetailSalesData'!K118)</f>
        <v>Hiroshi Tanaka</v>
      </c>
      <c r="L118" t="s">
        <v>31</v>
      </c>
    </row>
    <row r="119" spans="1:12" x14ac:dyDescent="0.3">
      <c r="A119" t="str">
        <f>IF(COUNTIF('Raw RetailSalesData'!$A:$L,'Raw RetailSalesData'!A119)=1,'Raw RetailSalesData'!A119,"")</f>
        <v>ORD-10129</v>
      </c>
      <c r="B119" t="str">
        <f>IF('Raw RetailSalesData'!B119="","UNKNOWN",'Raw RetailSalesData'!B119)</f>
        <v>2023-05-02</v>
      </c>
      <c r="C119" t="str">
        <f>IF('Raw RetailSalesData'!C119="","UNKNOW",'Raw RetailSalesData'!C119)</f>
        <v>CUST-1002</v>
      </c>
      <c r="D119" t="str">
        <f>IF('Raw RetailSalesData'!D119="","UNKNOW",'Raw RetailSalesData'!D119)</f>
        <v>P202</v>
      </c>
      <c r="E119" s="5">
        <f>IF('Raw RetailSalesData'!E119="",'Raw RetailSalesData'!F119/'Raw RetailSalesData'!G119,'Raw RetailSalesData'!E119)</f>
        <v>19</v>
      </c>
      <c r="F119" s="7">
        <f>IF('Raw RetailSalesData'!F119="",'Raw RetailSalesData'!G119/'Raw RetailSalesData'!E119,'Raw RetailSalesData'!F119)</f>
        <v>60</v>
      </c>
      <c r="G119" s="7">
        <f t="shared" si="1"/>
        <v>1140</v>
      </c>
      <c r="H119" s="5" t="str">
        <f>IF('Raw RetailSalesData'!H119="","Unknown",'Raw RetailSalesData'!H119)</f>
        <v>LATAM</v>
      </c>
      <c r="I119" t="s">
        <v>18</v>
      </c>
      <c r="J119" t="s">
        <v>2197</v>
      </c>
      <c r="K119" t="str">
        <f>TRIM('Raw RetailSalesData'!K119)</f>
        <v>Sales Rep 3</v>
      </c>
      <c r="L119" t="s">
        <v>31</v>
      </c>
    </row>
    <row r="120" spans="1:12" x14ac:dyDescent="0.3">
      <c r="A120" t="str">
        <f>IF(COUNTIF('Raw RetailSalesData'!$A:$L,'Raw RetailSalesData'!A120)=1,'Raw RetailSalesData'!A120,"")</f>
        <v>ORD-10130</v>
      </c>
      <c r="B120" t="str">
        <f>IF('Raw RetailSalesData'!B120="","UNKNOWN",'Raw RetailSalesData'!B120)</f>
        <v>2026-03-22</v>
      </c>
      <c r="C120" t="str">
        <f>IF('Raw RetailSalesData'!C120="","UNKNOW",'Raw RetailSalesData'!C120)</f>
        <v>CUST-1181</v>
      </c>
      <c r="D120" t="str">
        <f>IF('Raw RetailSalesData'!D120="","UNKNOW",'Raw RetailSalesData'!D120)</f>
        <v>C304</v>
      </c>
      <c r="E120" s="5">
        <f>IF('Raw RetailSalesData'!E120="",'Raw RetailSalesData'!F120/'Raw RetailSalesData'!G120,'Raw RetailSalesData'!E120)</f>
        <v>7</v>
      </c>
      <c r="F120" s="7">
        <f>IF('Raw RetailSalesData'!F120="",'Raw RetailSalesData'!G120/'Raw RetailSalesData'!E120,'Raw RetailSalesData'!F120)</f>
        <v>58</v>
      </c>
      <c r="G120" s="7">
        <f t="shared" si="1"/>
        <v>406</v>
      </c>
      <c r="H120" s="5" t="str">
        <f>IF('Raw RetailSalesData'!H120="","Unknown",'Raw RetailSalesData'!H120)</f>
        <v>EMEA</v>
      </c>
      <c r="I120" t="s">
        <v>38</v>
      </c>
      <c r="J120" t="s">
        <v>39</v>
      </c>
      <c r="K120" t="str">
        <f>TRIM('Raw RetailSalesData'!K120)</f>
        <v>Sales Rep 1</v>
      </c>
      <c r="L120" t="s">
        <v>31</v>
      </c>
    </row>
    <row r="121" spans="1:12" x14ac:dyDescent="0.3">
      <c r="A121" t="str">
        <f>IF(COUNTIF('Raw RetailSalesData'!$A:$L,'Raw RetailSalesData'!A121)=1,'Raw RetailSalesData'!A121,"")</f>
        <v>ORD-10132</v>
      </c>
      <c r="B121" t="str">
        <f>IF('Raw RetailSalesData'!B121="","UNKNOWN",'Raw RetailSalesData'!B121)</f>
        <v>2026-03-08</v>
      </c>
      <c r="C121" t="str">
        <f>IF('Raw RetailSalesData'!C121="","UNKNOW",'Raw RetailSalesData'!C121)</f>
        <v>CUST-1107</v>
      </c>
      <c r="D121" t="str">
        <f>IF('Raw RetailSalesData'!D121="","UNKNOW",'Raw RetailSalesData'!D121)</f>
        <v>P203</v>
      </c>
      <c r="E121" s="5">
        <f>IF('Raw RetailSalesData'!E121="",'Raw RetailSalesData'!F121/'Raw RetailSalesData'!G121,'Raw RetailSalesData'!E121)</f>
        <v>12</v>
      </c>
      <c r="F121" s="7">
        <f>IF('Raw RetailSalesData'!F121="",'Raw RetailSalesData'!G121/'Raw RetailSalesData'!E121,'Raw RetailSalesData'!F121)</f>
        <v>68</v>
      </c>
      <c r="G121" s="7">
        <f t="shared" si="1"/>
        <v>816</v>
      </c>
      <c r="H121" s="5" t="str">
        <f>IF('Raw RetailSalesData'!H121="","Unknown",'Raw RetailSalesData'!H121)</f>
        <v>EMEA</v>
      </c>
      <c r="I121" t="s">
        <v>38</v>
      </c>
      <c r="J121" t="s">
        <v>39</v>
      </c>
      <c r="K121" t="str">
        <f>TRIM('Raw RetailSalesData'!K121)</f>
        <v>Sales Rep 5</v>
      </c>
      <c r="L121" t="s">
        <v>46</v>
      </c>
    </row>
    <row r="122" spans="1:12" x14ac:dyDescent="0.3">
      <c r="A122" t="str">
        <f>IF(COUNTIF('Raw RetailSalesData'!$A:$L,'Raw RetailSalesData'!A122)=1,'Raw RetailSalesData'!A122,"")</f>
        <v>ORD-10133</v>
      </c>
      <c r="B122" t="str">
        <f>IF('Raw RetailSalesData'!B122="","UNKNOWN",'Raw RetailSalesData'!B122)</f>
        <v>2022-01-24</v>
      </c>
      <c r="C122" t="str">
        <f>IF('Raw RetailSalesData'!C122="","UNKNOW",'Raw RetailSalesData'!C122)</f>
        <v>CUST-1089</v>
      </c>
      <c r="D122" t="str">
        <f>IF('Raw RetailSalesData'!D122="","UNKNOW",'Raw RetailSalesData'!D122)</f>
        <v>P102</v>
      </c>
      <c r="E122" s="5">
        <f>IF('Raw RetailSalesData'!E122="",'Raw RetailSalesData'!F122/'Raw RetailSalesData'!G122,'Raw RetailSalesData'!E122)</f>
        <v>20</v>
      </c>
      <c r="F122" s="7">
        <f>IF('Raw RetailSalesData'!F122="",'Raw RetailSalesData'!G122/'Raw RetailSalesData'!E122,'Raw RetailSalesData'!F122)</f>
        <v>85</v>
      </c>
      <c r="G122" s="7">
        <f t="shared" si="1"/>
        <v>1700</v>
      </c>
      <c r="H122" s="5" t="str">
        <f>IF('Raw RetailSalesData'!H122="","Unknown",'Raw RetailSalesData'!H122)</f>
        <v>NA</v>
      </c>
      <c r="I122" t="s">
        <v>28</v>
      </c>
      <c r="J122" t="s">
        <v>29</v>
      </c>
      <c r="K122" t="str">
        <f>TRIM('Raw RetailSalesData'!K122)</f>
        <v>Sales Rep 2</v>
      </c>
      <c r="L122" t="s">
        <v>31</v>
      </c>
    </row>
    <row r="123" spans="1:12" x14ac:dyDescent="0.3">
      <c r="A123" t="str">
        <f>IF(COUNTIF('Raw RetailSalesData'!$A:$L,'Raw RetailSalesData'!A123)=1,'Raw RetailSalesData'!A123,"")</f>
        <v>ORD-10134</v>
      </c>
      <c r="B123" t="str">
        <f>IF('Raw RetailSalesData'!B123="","UNKNOWN",'Raw RetailSalesData'!B123)</f>
        <v>2022-12-23</v>
      </c>
      <c r="C123" t="str">
        <f>IF('Raw RetailSalesData'!C123="","UNKNOW",'Raw RetailSalesData'!C123)</f>
        <v>CUST-1113</v>
      </c>
      <c r="D123" t="str">
        <f>IF('Raw RetailSalesData'!D123="","UNKNOW",'Raw RetailSalesData'!D123)</f>
        <v>C304</v>
      </c>
      <c r="E123" s="5">
        <f>IF('Raw RetailSalesData'!E123="",'Raw RetailSalesData'!F123/'Raw RetailSalesData'!G123,'Raw RetailSalesData'!E123)</f>
        <v>2</v>
      </c>
      <c r="F123" s="7">
        <f>IF('Raw RetailSalesData'!F123="",'Raw RetailSalesData'!G123/'Raw RetailSalesData'!E123,'Raw RetailSalesData'!F123)</f>
        <v>58</v>
      </c>
      <c r="G123" s="7">
        <f t="shared" si="1"/>
        <v>116</v>
      </c>
      <c r="H123" s="5" t="str">
        <f>IF('Raw RetailSalesData'!H123="","Unknown",'Raw RetailSalesData'!H123)</f>
        <v>APAC</v>
      </c>
      <c r="I123" t="s">
        <v>183</v>
      </c>
      <c r="J123" t="s">
        <v>184</v>
      </c>
      <c r="K123" t="str">
        <f>TRIM('Raw RetailSalesData'!K123)</f>
        <v>Sales Rep 2</v>
      </c>
      <c r="L123" t="s">
        <v>31</v>
      </c>
    </row>
    <row r="124" spans="1:12" x14ac:dyDescent="0.3">
      <c r="A124" t="str">
        <f>IF(COUNTIF('Raw RetailSalesData'!$A:$L,'Raw RetailSalesData'!A124)=1,'Raw RetailSalesData'!A124,"")</f>
        <v>ORD-10135</v>
      </c>
      <c r="B124" t="str">
        <f>IF('Raw RetailSalesData'!B124="","UNKNOWN",'Raw RetailSalesData'!B124)</f>
        <v>2023-10-29</v>
      </c>
      <c r="C124" t="str">
        <f>IF('Raw RetailSalesData'!C124="","UNKNOW",'Raw RetailSalesData'!C124)</f>
        <v>CUST-1141</v>
      </c>
      <c r="D124" t="str">
        <f>IF('Raw RetailSalesData'!D124="","UNKNOW",'Raw RetailSalesData'!D124)</f>
        <v>P203</v>
      </c>
      <c r="E124" s="5">
        <f>IF('Raw RetailSalesData'!E124="",'Raw RetailSalesData'!F124/'Raw RetailSalesData'!G124,'Raw RetailSalesData'!E124)</f>
        <v>11</v>
      </c>
      <c r="F124" s="7">
        <f>IF('Raw RetailSalesData'!F124="",'Raw RetailSalesData'!G124/'Raw RetailSalesData'!E124,'Raw RetailSalesData'!F124)</f>
        <v>73</v>
      </c>
      <c r="G124" s="7">
        <f t="shared" si="1"/>
        <v>803</v>
      </c>
      <c r="H124" s="5" t="str">
        <f>IF('Raw RetailSalesData'!H124="","Unknown",'Raw RetailSalesData'!H124)</f>
        <v>NA</v>
      </c>
      <c r="I124" t="s">
        <v>28</v>
      </c>
      <c r="J124" t="s">
        <v>2196</v>
      </c>
      <c r="K124" t="str">
        <f>TRIM('Raw RetailSalesData'!K124)</f>
        <v>Michael Johnson</v>
      </c>
      <c r="L124" t="s">
        <v>46</v>
      </c>
    </row>
    <row r="125" spans="1:12" x14ac:dyDescent="0.3">
      <c r="A125" t="str">
        <f>IF(COUNTIF('Raw RetailSalesData'!$A:$L,'Raw RetailSalesData'!A125)=1,'Raw RetailSalesData'!A125,"")</f>
        <v>ORD-10136</v>
      </c>
      <c r="B125" t="str">
        <f>IF('Raw RetailSalesData'!B125="","UNKNOWN",'Raw RetailSalesData'!B125)</f>
        <v>2023-12-28</v>
      </c>
      <c r="C125" t="str">
        <f>IF('Raw RetailSalesData'!C125="","UNKNOW",'Raw RetailSalesData'!C125)</f>
        <v xml:space="preserve"> CUST-1028 </v>
      </c>
      <c r="D125" t="str">
        <f>IF('Raw RetailSalesData'!D125="","UNKNOW",'Raw RetailSalesData'!D125)</f>
        <v>C303</v>
      </c>
      <c r="E125" s="5">
        <f>IF('Raw RetailSalesData'!E125="",'Raw RetailSalesData'!F125/'Raw RetailSalesData'!G125,'Raw RetailSalesData'!E125)</f>
        <v>14</v>
      </c>
      <c r="F125" s="7">
        <f>IF('Raw RetailSalesData'!F125="",'Raw RetailSalesData'!G125/'Raw RetailSalesData'!E125,'Raw RetailSalesData'!F125)</f>
        <v>60</v>
      </c>
      <c r="G125" s="7">
        <f t="shared" si="1"/>
        <v>840</v>
      </c>
      <c r="H125" s="5" t="str">
        <f>IF('Raw RetailSalesData'!H125="","Unknown",'Raw RetailSalesData'!H125)</f>
        <v>EMEA</v>
      </c>
      <c r="I125" t="s">
        <v>38</v>
      </c>
      <c r="J125" t="s">
        <v>39</v>
      </c>
      <c r="K125" t="str">
        <f>TRIM('Raw RetailSalesData'!K125)</f>
        <v>Sales Rep 2</v>
      </c>
      <c r="L125" t="s">
        <v>46</v>
      </c>
    </row>
    <row r="126" spans="1:12" x14ac:dyDescent="0.3">
      <c r="A126" t="str">
        <f>IF(COUNTIF('Raw RetailSalesData'!$A:$L,'Raw RetailSalesData'!A126)=1,'Raw RetailSalesData'!A126,"")</f>
        <v>ORD-10137</v>
      </c>
      <c r="B126" t="str">
        <f>IF('Raw RetailSalesData'!B126="","UNKNOWN",'Raw RetailSalesData'!B126)</f>
        <v>2026-04-25</v>
      </c>
      <c r="C126" t="str">
        <f>IF('Raw RetailSalesData'!C126="","UNKNOW",'Raw RetailSalesData'!C126)</f>
        <v>CUST-1144</v>
      </c>
      <c r="D126" t="str">
        <f>IF('Raw RetailSalesData'!D126="","UNKNOW",'Raw RetailSalesData'!D126)</f>
        <v>P201</v>
      </c>
      <c r="E126" s="5">
        <f>IF('Raw RetailSalesData'!E126="",'Raw RetailSalesData'!F126/'Raw RetailSalesData'!G126,'Raw RetailSalesData'!E126)</f>
        <v>20</v>
      </c>
      <c r="F126" s="7">
        <f>IF('Raw RetailSalesData'!F126="",'Raw RetailSalesData'!G126/'Raw RetailSalesData'!E126,'Raw RetailSalesData'!F126)</f>
        <v>70</v>
      </c>
      <c r="G126" s="7">
        <f t="shared" si="1"/>
        <v>1400</v>
      </c>
      <c r="H126" s="5" t="str">
        <f>IF('Raw RetailSalesData'!H126="","Unknown",'Raw RetailSalesData'!H126)</f>
        <v>APAC</v>
      </c>
      <c r="I126" t="s">
        <v>151</v>
      </c>
      <c r="J126" t="s">
        <v>188</v>
      </c>
      <c r="K126" t="str">
        <f>TRIM('Raw RetailSalesData'!K126)</f>
        <v>Sales Rep 1</v>
      </c>
      <c r="L126" t="s">
        <v>21</v>
      </c>
    </row>
    <row r="127" spans="1:12" x14ac:dyDescent="0.3">
      <c r="A127" t="str">
        <f>IF(COUNTIF('Raw RetailSalesData'!$A:$L,'Raw RetailSalesData'!A127)=1,'Raw RetailSalesData'!A127,"")</f>
        <v>ORD-10138</v>
      </c>
      <c r="B127" t="str">
        <f>IF('Raw RetailSalesData'!B127="","UNKNOWN",'Raw RetailSalesData'!B127)</f>
        <v>2025-03-09</v>
      </c>
      <c r="C127" t="str">
        <f>IF('Raw RetailSalesData'!C127="","UNKNOW",'Raw RetailSalesData'!C127)</f>
        <v>CUST-1102</v>
      </c>
      <c r="D127" t="str">
        <f>IF('Raw RetailSalesData'!D127="","UNKNOW",'Raw RetailSalesData'!D127)</f>
        <v>P201</v>
      </c>
      <c r="E127" s="5">
        <f>IF('Raw RetailSalesData'!E127="",'Raw RetailSalesData'!F127/'Raw RetailSalesData'!G127,'Raw RetailSalesData'!E127)</f>
        <v>6</v>
      </c>
      <c r="F127" s="7">
        <f>IF('Raw RetailSalesData'!F127="",'Raw RetailSalesData'!G127/'Raw RetailSalesData'!E127,'Raw RetailSalesData'!F127)</f>
        <v>70</v>
      </c>
      <c r="G127" s="7">
        <f t="shared" si="1"/>
        <v>420</v>
      </c>
      <c r="H127" s="5" t="str">
        <f>IF('Raw RetailSalesData'!H127="","Unknown",'Raw RetailSalesData'!H127)</f>
        <v xml:space="preserve"> APAC </v>
      </c>
      <c r="I127" t="s">
        <v>71</v>
      </c>
      <c r="J127" t="s">
        <v>72</v>
      </c>
      <c r="K127" t="str">
        <f>TRIM('Raw RetailSalesData'!K127)</f>
        <v>Hiroshi Tanaka</v>
      </c>
      <c r="L127" t="s">
        <v>31</v>
      </c>
    </row>
    <row r="128" spans="1:12" x14ac:dyDescent="0.3">
      <c r="A128" t="str">
        <f>IF(COUNTIF('Raw RetailSalesData'!$A:$L,'Raw RetailSalesData'!A128)=1,'Raw RetailSalesData'!A128,"")</f>
        <v>ORD-10139</v>
      </c>
      <c r="B128" t="str">
        <f>IF('Raw RetailSalesData'!B128="","UNKNOWN",'Raw RetailSalesData'!B128)</f>
        <v>2022-08-18</v>
      </c>
      <c r="C128" t="str">
        <f>IF('Raw RetailSalesData'!C128="","UNKNOW",'Raw RetailSalesData'!C128)</f>
        <v>CUST-1196</v>
      </c>
      <c r="D128" t="str">
        <f>IF('Raw RetailSalesData'!D128="","UNKNOW",'Raw RetailSalesData'!D128)</f>
        <v xml:space="preserve"> P102 </v>
      </c>
      <c r="E128" s="5">
        <f>IF('Raw RetailSalesData'!E128="",'Raw RetailSalesData'!F128/'Raw RetailSalesData'!G128,'Raw RetailSalesData'!E128)</f>
        <v>5</v>
      </c>
      <c r="F128" s="7">
        <f>IF('Raw RetailSalesData'!F128="",'Raw RetailSalesData'!G128/'Raw RetailSalesData'!E128,'Raw RetailSalesData'!F128)</f>
        <v>85</v>
      </c>
      <c r="G128" s="7">
        <f t="shared" si="1"/>
        <v>425</v>
      </c>
      <c r="H128" s="5" t="str">
        <f>IF('Raw RetailSalesData'!H128="","Unknown",'Raw RetailSalesData'!H128)</f>
        <v>NA</v>
      </c>
      <c r="I128" t="s">
        <v>28</v>
      </c>
      <c r="J128" t="s">
        <v>2196</v>
      </c>
      <c r="K128" t="str">
        <f>TRIM('Raw RetailSalesData'!K128)</f>
        <v>Michael Johnson</v>
      </c>
      <c r="L128" t="s">
        <v>21</v>
      </c>
    </row>
    <row r="129" spans="1:12" x14ac:dyDescent="0.3">
      <c r="A129" t="str">
        <f>IF(COUNTIF('Raw RetailSalesData'!$A:$L,'Raw RetailSalesData'!A129)=1,'Raw RetailSalesData'!A129,"")</f>
        <v>ORD-10140</v>
      </c>
      <c r="B129" t="str">
        <f>IF('Raw RetailSalesData'!B129="","UNKNOWN",'Raw RetailSalesData'!B129)</f>
        <v>2026-05-19</v>
      </c>
      <c r="C129" t="str">
        <f>IF('Raw RetailSalesData'!C129="","UNKNOW",'Raw RetailSalesData'!C129)</f>
        <v>CUST-1022</v>
      </c>
      <c r="D129" t="str">
        <f>IF('Raw RetailSalesData'!D129="","UNKNOW",'Raw RetailSalesData'!D129)</f>
        <v>C301</v>
      </c>
      <c r="E129" s="5">
        <f>IF('Raw RetailSalesData'!E129="",'Raw RetailSalesData'!F129/'Raw RetailSalesData'!G129,'Raw RetailSalesData'!E129)</f>
        <v>19</v>
      </c>
      <c r="F129" s="7">
        <f>IF('Raw RetailSalesData'!F129="",'Raw RetailSalesData'!G129/'Raw RetailSalesData'!E129,'Raw RetailSalesData'!F129)</f>
        <v>60</v>
      </c>
      <c r="G129" s="7">
        <f t="shared" si="1"/>
        <v>1140</v>
      </c>
      <c r="H129" s="5" t="str">
        <f>IF('Raw RetailSalesData'!H129="","Unknown",'Raw RetailSalesData'!H129)</f>
        <v>NA</v>
      </c>
      <c r="I129" t="s">
        <v>100</v>
      </c>
      <c r="J129" t="s">
        <v>101</v>
      </c>
      <c r="K129" t="str">
        <f>TRIM('Raw RetailSalesData'!K129)</f>
        <v>Sales Rep 5</v>
      </c>
      <c r="L129" t="s">
        <v>46</v>
      </c>
    </row>
    <row r="130" spans="1:12" x14ac:dyDescent="0.3">
      <c r="A130" t="str">
        <f>IF(COUNTIF('Raw RetailSalesData'!$A:$L,'Raw RetailSalesData'!A130)=1,'Raw RetailSalesData'!A130,"")</f>
        <v>ORD-10141</v>
      </c>
      <c r="B130" t="str">
        <f>IF('Raw RetailSalesData'!B130="","UNKNOWN",'Raw RetailSalesData'!B130)</f>
        <v xml:space="preserve"> 2026-01-22 </v>
      </c>
      <c r="C130" t="str">
        <f>IF('Raw RetailSalesData'!C130="","UNKNOW",'Raw RetailSalesData'!C130)</f>
        <v>CUST-1021</v>
      </c>
      <c r="D130" t="str">
        <f>IF('Raw RetailSalesData'!D130="","UNKNOW",'Raw RetailSalesData'!D130)</f>
        <v>P101</v>
      </c>
      <c r="E130" s="5">
        <f>IF('Raw RetailSalesData'!E130="",'Raw RetailSalesData'!F130/'Raw RetailSalesData'!G130,'Raw RetailSalesData'!E130)</f>
        <v>19</v>
      </c>
      <c r="F130" s="7">
        <f>IF('Raw RetailSalesData'!F130="",'Raw RetailSalesData'!G130/'Raw RetailSalesData'!E130,'Raw RetailSalesData'!F130)</f>
        <v>85</v>
      </c>
      <c r="G130" s="7">
        <f t="shared" si="1"/>
        <v>1615</v>
      </c>
      <c r="H130" s="5" t="str">
        <f>IF('Raw RetailSalesData'!H130="","Unknown",'Raw RetailSalesData'!H130)</f>
        <v>APAC</v>
      </c>
      <c r="I130" t="s">
        <v>71</v>
      </c>
      <c r="J130" t="s">
        <v>72</v>
      </c>
      <c r="K130" t="str">
        <f>TRIM('Raw RetailSalesData'!K130)</f>
        <v>Hiroshi Tanaka</v>
      </c>
      <c r="L130" t="s">
        <v>31</v>
      </c>
    </row>
    <row r="131" spans="1:12" x14ac:dyDescent="0.3">
      <c r="A131" t="str">
        <f>IF(COUNTIF('Raw RetailSalesData'!$A:$L,'Raw RetailSalesData'!A131)=1,'Raw RetailSalesData'!A131,"")</f>
        <v>ORD-10142</v>
      </c>
      <c r="B131" t="str">
        <f>IF('Raw RetailSalesData'!B131="","UNKNOWN",'Raw RetailSalesData'!B131)</f>
        <v>2023-12-20</v>
      </c>
      <c r="C131" t="str">
        <f>IF('Raw RetailSalesData'!C131="","UNKNOW",'Raw RetailSalesData'!C131)</f>
        <v xml:space="preserve"> CUST-1093 </v>
      </c>
      <c r="D131" t="str">
        <f>IF('Raw RetailSalesData'!D131="","UNKNOW",'Raw RetailSalesData'!D131)</f>
        <v>C303</v>
      </c>
      <c r="E131" s="5">
        <f>IF('Raw RetailSalesData'!E131="",'Raw RetailSalesData'!F131/'Raw RetailSalesData'!G131,'Raw RetailSalesData'!E131)</f>
        <v>6</v>
      </c>
      <c r="F131" s="7">
        <f>IF('Raw RetailSalesData'!F131="",'Raw RetailSalesData'!G131/'Raw RetailSalesData'!E131,'Raw RetailSalesData'!F131)</f>
        <v>65</v>
      </c>
      <c r="G131" s="7">
        <f t="shared" ref="G131:G194" si="2">F131*E131</f>
        <v>390</v>
      </c>
      <c r="H131" s="5" t="str">
        <f>IF('Raw RetailSalesData'!H131="","Unknown",'Raw RetailSalesData'!H131)</f>
        <v>NA</v>
      </c>
      <c r="I131" t="s">
        <v>28</v>
      </c>
      <c r="J131" t="s">
        <v>2196</v>
      </c>
      <c r="K131" t="str">
        <f>TRIM('Raw RetailSalesData'!K131)</f>
        <v>Michael Johnson</v>
      </c>
      <c r="L131" t="s">
        <v>2190</v>
      </c>
    </row>
    <row r="132" spans="1:12" x14ac:dyDescent="0.3">
      <c r="A132" t="str">
        <f>IF(COUNTIF('Raw RetailSalesData'!$A:$L,'Raw RetailSalesData'!A132)=1,'Raw RetailSalesData'!A132,"")</f>
        <v>ORD-10143</v>
      </c>
      <c r="B132" t="str">
        <f>IF('Raw RetailSalesData'!B132="","UNKNOWN",'Raw RetailSalesData'!B132)</f>
        <v>2023-12-20</v>
      </c>
      <c r="C132" t="str">
        <f>IF('Raw RetailSalesData'!C132="","UNKNOW",'Raw RetailSalesData'!C132)</f>
        <v>CUST-1093</v>
      </c>
      <c r="D132" t="str">
        <f>IF('Raw RetailSalesData'!D132="","UNKNOW",'Raw RetailSalesData'!D132)</f>
        <v>C303</v>
      </c>
      <c r="E132" s="5">
        <f>IF('Raw RetailSalesData'!E132="",'Raw RetailSalesData'!F132/'Raw RetailSalesData'!G132,'Raw RetailSalesData'!E132)</f>
        <v>6</v>
      </c>
      <c r="F132" s="7">
        <f>IF('Raw RetailSalesData'!F132="",'Raw RetailSalesData'!G132/'Raw RetailSalesData'!E132,'Raw RetailSalesData'!F132)</f>
        <v>65</v>
      </c>
      <c r="G132" s="7">
        <f t="shared" si="2"/>
        <v>390</v>
      </c>
      <c r="H132" s="5" t="str">
        <f>IF('Raw RetailSalesData'!H132="","Unknown",'Raw RetailSalesData'!H132)</f>
        <v>NA</v>
      </c>
      <c r="I132" t="s">
        <v>28</v>
      </c>
      <c r="J132" t="s">
        <v>2196</v>
      </c>
      <c r="K132" t="str">
        <f>TRIM('Raw RetailSalesData'!K132)</f>
        <v>Michael Johnson</v>
      </c>
      <c r="L132" t="s">
        <v>46</v>
      </c>
    </row>
    <row r="133" spans="1:12" x14ac:dyDescent="0.3">
      <c r="A133" t="str">
        <f>IF(COUNTIF('Raw RetailSalesData'!$A:$L,'Raw RetailSalesData'!A133)=1,'Raw RetailSalesData'!A133,"")</f>
        <v>ORD-10144</v>
      </c>
      <c r="B133" t="str">
        <f>IF('Raw RetailSalesData'!B133="","UNKNOWN",'Raw RetailSalesData'!B133)</f>
        <v>2022-02-21</v>
      </c>
      <c r="C133" t="str">
        <f>IF('Raw RetailSalesData'!C133="","UNKNOW",'Raw RetailSalesData'!C133)</f>
        <v>CUST-1177</v>
      </c>
      <c r="D133" t="str">
        <f>IF('Raw RetailSalesData'!D133="","UNKNOW",'Raw RetailSalesData'!D133)</f>
        <v>UNKNOW</v>
      </c>
      <c r="E133" s="5">
        <f>IF('Raw RetailSalesData'!E133="",'Raw RetailSalesData'!F133/'Raw RetailSalesData'!G133,'Raw RetailSalesData'!E133)</f>
        <v>19</v>
      </c>
      <c r="F133" s="7">
        <f>IF('Raw RetailSalesData'!F133="",'Raw RetailSalesData'!G133/'Raw RetailSalesData'!E133,'Raw RetailSalesData'!F133)</f>
        <v>60</v>
      </c>
      <c r="G133" s="7">
        <f t="shared" si="2"/>
        <v>1140</v>
      </c>
      <c r="H133" s="5" t="str">
        <f>IF('Raw RetailSalesData'!H133="","Unknown",'Raw RetailSalesData'!H133)</f>
        <v>NA</v>
      </c>
      <c r="I133" t="s">
        <v>100</v>
      </c>
      <c r="J133" t="s">
        <v>101</v>
      </c>
      <c r="K133" t="str">
        <f>TRIM('Raw RetailSalesData'!K133)</f>
        <v>Sales Rep 5</v>
      </c>
      <c r="L133" t="s">
        <v>21</v>
      </c>
    </row>
    <row r="134" spans="1:12" x14ac:dyDescent="0.3">
      <c r="A134" t="str">
        <f>IF(COUNTIF('Raw RetailSalesData'!$A:$L,'Raw RetailSalesData'!A134)=1,'Raw RetailSalesData'!A134,"")</f>
        <v>ORD-10145</v>
      </c>
      <c r="B134" t="str">
        <f>IF('Raw RetailSalesData'!B134="","UNKNOWN",'Raw RetailSalesData'!B134)</f>
        <v>2023-07-30</v>
      </c>
      <c r="C134" t="str">
        <f>IF('Raw RetailSalesData'!C134="","UNKNOW",'Raw RetailSalesData'!C134)</f>
        <v>CUST-1112</v>
      </c>
      <c r="D134" t="str">
        <f>IF('Raw RetailSalesData'!D134="","UNKNOW",'Raw RetailSalesData'!D134)</f>
        <v>P203</v>
      </c>
      <c r="E134" s="5">
        <f>IF('Raw RetailSalesData'!E134="",'Raw RetailSalesData'!F134/'Raw RetailSalesData'!G134,'Raw RetailSalesData'!E134)</f>
        <v>3</v>
      </c>
      <c r="F134" s="7">
        <f>IF('Raw RetailSalesData'!F134="",'Raw RetailSalesData'!G134/'Raw RetailSalesData'!E134,'Raw RetailSalesData'!F134)</f>
        <v>68</v>
      </c>
      <c r="G134" s="7">
        <f t="shared" si="2"/>
        <v>204</v>
      </c>
      <c r="H134" s="5" t="str">
        <f>IF('Raw RetailSalesData'!H134="","Unknown",'Raw RetailSalesData'!H134)</f>
        <v>EMEA</v>
      </c>
      <c r="I134" t="s">
        <v>38</v>
      </c>
      <c r="J134" t="s">
        <v>39</v>
      </c>
      <c r="K134" t="str">
        <f>TRIM('Raw RetailSalesData'!K134)</f>
        <v>Sales Rep 2</v>
      </c>
      <c r="L134" t="s">
        <v>46</v>
      </c>
    </row>
    <row r="135" spans="1:12" x14ac:dyDescent="0.3">
      <c r="A135" t="str">
        <f>IF(COUNTIF('Raw RetailSalesData'!$A:$L,'Raw RetailSalesData'!A135)=1,'Raw RetailSalesData'!A135,"")</f>
        <v>ORD-10146</v>
      </c>
      <c r="B135" t="str">
        <f>IF('Raw RetailSalesData'!B135="","UNKNOWN",'Raw RetailSalesData'!B135)</f>
        <v>2022-12-19</v>
      </c>
      <c r="C135" t="str">
        <f>IF('Raw RetailSalesData'!C135="","UNKNOW",'Raw RetailSalesData'!C135)</f>
        <v>CUST-1182</v>
      </c>
      <c r="D135" t="str">
        <f>IF('Raw RetailSalesData'!D135="","UNKNOW",'Raw RetailSalesData'!D135)</f>
        <v>P101</v>
      </c>
      <c r="E135" s="5">
        <f>IF('Raw RetailSalesData'!E135="",'Raw RetailSalesData'!F135/'Raw RetailSalesData'!G135,'Raw RetailSalesData'!E135)</f>
        <v>10</v>
      </c>
      <c r="F135" s="7">
        <f>IF('Raw RetailSalesData'!F135="",'Raw RetailSalesData'!G135/'Raw RetailSalesData'!E135,'Raw RetailSalesData'!F135)</f>
        <v>90</v>
      </c>
      <c r="G135" s="7">
        <f t="shared" si="2"/>
        <v>900</v>
      </c>
      <c r="H135" s="5" t="str">
        <f>IF('Raw RetailSalesData'!H135="","Unknown",'Raw RetailSalesData'!H135)</f>
        <v>NA</v>
      </c>
      <c r="I135" t="s">
        <v>28</v>
      </c>
      <c r="J135" t="s">
        <v>2196</v>
      </c>
      <c r="K135" t="str">
        <f>TRIM('Raw RetailSalesData'!K135)</f>
        <v>Michael Johnson</v>
      </c>
      <c r="L135" t="s">
        <v>21</v>
      </c>
    </row>
    <row r="136" spans="1:12" x14ac:dyDescent="0.3">
      <c r="A136" t="str">
        <f>IF(COUNTIF('Raw RetailSalesData'!$A:$L,'Raw RetailSalesData'!A136)=1,'Raw RetailSalesData'!A136,"")</f>
        <v>ORD-10147</v>
      </c>
      <c r="B136" t="str">
        <f>IF('Raw RetailSalesData'!B136="","UNKNOWN",'Raw RetailSalesData'!B136)</f>
        <v xml:space="preserve"> 2025-03-20 </v>
      </c>
      <c r="C136" t="str">
        <f>IF('Raw RetailSalesData'!C136="","UNKNOW",'Raw RetailSalesData'!C136)</f>
        <v>CUST-1086</v>
      </c>
      <c r="D136" t="str">
        <f>IF('Raw RetailSalesData'!D136="","UNKNOW",'Raw RetailSalesData'!D136)</f>
        <v>P202</v>
      </c>
      <c r="E136" s="5">
        <f>IF('Raw RetailSalesData'!E136="",'Raw RetailSalesData'!F136/'Raw RetailSalesData'!G136,'Raw RetailSalesData'!E136)</f>
        <v>2</v>
      </c>
      <c r="F136" s="7">
        <f>IF('Raw RetailSalesData'!F136="",'Raw RetailSalesData'!G136/'Raw RetailSalesData'!E136,'Raw RetailSalesData'!F136)</f>
        <v>60</v>
      </c>
      <c r="G136" s="7">
        <f t="shared" si="2"/>
        <v>120</v>
      </c>
      <c r="H136" s="5" t="str">
        <f>IF('Raw RetailSalesData'!H136="","Unknown",'Raw RetailSalesData'!H136)</f>
        <v>LATAM</v>
      </c>
      <c r="I136" t="s">
        <v>18</v>
      </c>
      <c r="J136" t="s">
        <v>2197</v>
      </c>
      <c r="K136" t="str">
        <f>TRIM('Raw RetailSalesData'!K136)</f>
        <v>Sales Rep 4</v>
      </c>
      <c r="L136" t="s">
        <v>21</v>
      </c>
    </row>
    <row r="137" spans="1:12" x14ac:dyDescent="0.3">
      <c r="A137" t="str">
        <f>IF(COUNTIF('Raw RetailSalesData'!$A:$L,'Raw RetailSalesData'!A137)=1,'Raw RetailSalesData'!A137,"")</f>
        <v>ORD-10148</v>
      </c>
      <c r="B137" t="str">
        <f>IF('Raw RetailSalesData'!B137="","UNKNOWN",'Raw RetailSalesData'!B137)</f>
        <v>2023-03-29</v>
      </c>
      <c r="C137" t="str">
        <f>IF('Raw RetailSalesData'!C137="","UNKNOW",'Raw RetailSalesData'!C137)</f>
        <v>CUST-1088</v>
      </c>
      <c r="D137" t="str">
        <f>IF('Raw RetailSalesData'!D137="","UNKNOW",'Raw RetailSalesData'!D137)</f>
        <v>P103</v>
      </c>
      <c r="E137" s="5">
        <f>IF('Raw RetailSalesData'!E137="",'Raw RetailSalesData'!F137/'Raw RetailSalesData'!G137,'Raw RetailSalesData'!E137)</f>
        <v>2</v>
      </c>
      <c r="F137" s="7">
        <f>IF('Raw RetailSalesData'!F137="",'Raw RetailSalesData'!G137/'Raw RetailSalesData'!E137,'Raw RetailSalesData'!F137)</f>
        <v>95</v>
      </c>
      <c r="G137" s="7">
        <f t="shared" si="2"/>
        <v>190</v>
      </c>
      <c r="H137" s="5" t="str">
        <f>IF('Raw RetailSalesData'!H137="","Unknown",'Raw RetailSalesData'!H137)</f>
        <v>APAC</v>
      </c>
      <c r="I137" t="s">
        <v>183</v>
      </c>
      <c r="J137" t="s">
        <v>184</v>
      </c>
      <c r="K137" t="str">
        <f>TRIM('Raw RetailSalesData'!K137)</f>
        <v>Sales Rep 5</v>
      </c>
      <c r="L137" t="s">
        <v>21</v>
      </c>
    </row>
    <row r="138" spans="1:12" x14ac:dyDescent="0.3">
      <c r="A138" t="str">
        <f>IF(COUNTIF('Raw RetailSalesData'!$A:$L,'Raw RetailSalesData'!A138)=1,'Raw RetailSalesData'!A138,"")</f>
        <v>ORD-10149</v>
      </c>
      <c r="B138" t="str">
        <f>IF('Raw RetailSalesData'!B138="","UNKNOWN",'Raw RetailSalesData'!B138)</f>
        <v>2024-01-29</v>
      </c>
      <c r="C138" t="str">
        <f>IF('Raw RetailSalesData'!C138="","UNKNOW",'Raw RetailSalesData'!C138)</f>
        <v>CUST-1028</v>
      </c>
      <c r="D138" t="str">
        <f>IF('Raw RetailSalesData'!D138="","UNKNOW",'Raw RetailSalesData'!D138)</f>
        <v>P103</v>
      </c>
      <c r="E138" s="5">
        <f>IF('Raw RetailSalesData'!E138="",'Raw RetailSalesData'!F138/'Raw RetailSalesData'!G138,'Raw RetailSalesData'!E138)</f>
        <v>16</v>
      </c>
      <c r="F138" s="7">
        <f>IF('Raw RetailSalesData'!F138="",'Raw RetailSalesData'!G138/'Raw RetailSalesData'!E138,'Raw RetailSalesData'!F138)</f>
        <v>95</v>
      </c>
      <c r="G138" s="7">
        <f t="shared" si="2"/>
        <v>1520</v>
      </c>
      <c r="H138" s="5" t="str">
        <f>IF('Raw RetailSalesData'!H138="","Unknown",'Raw RetailSalesData'!H138)</f>
        <v>APAC</v>
      </c>
      <c r="I138" t="s">
        <v>183</v>
      </c>
      <c r="J138" t="s">
        <v>184</v>
      </c>
      <c r="K138" t="str">
        <f>TRIM('Raw RetailSalesData'!K138)</f>
        <v>Sales Rep 1</v>
      </c>
      <c r="L138" t="s">
        <v>31</v>
      </c>
    </row>
    <row r="139" spans="1:12" x14ac:dyDescent="0.3">
      <c r="A139" t="str">
        <f>IF(COUNTIF('Raw RetailSalesData'!$A:$L,'Raw RetailSalesData'!A139)=1,'Raw RetailSalesData'!A139,"")</f>
        <v>ORD-10150</v>
      </c>
      <c r="B139" t="str">
        <f>IF('Raw RetailSalesData'!B139="","UNKNOWN",'Raw RetailSalesData'!B139)</f>
        <v>2025-09-30</v>
      </c>
      <c r="C139" t="str">
        <f>IF('Raw RetailSalesData'!C139="","UNKNOW",'Raw RetailSalesData'!C139)</f>
        <v>CUST-1094</v>
      </c>
      <c r="D139" t="str">
        <f>IF('Raw RetailSalesData'!D139="","UNKNOW",'Raw RetailSalesData'!D139)</f>
        <v>P102</v>
      </c>
      <c r="E139" s="5">
        <f>IF('Raw RetailSalesData'!E139="",'Raw RetailSalesData'!F139/'Raw RetailSalesData'!G139,'Raw RetailSalesData'!E139)</f>
        <v>18</v>
      </c>
      <c r="F139" s="7">
        <f>IF('Raw RetailSalesData'!F139="",'Raw RetailSalesData'!G139/'Raw RetailSalesData'!E139,'Raw RetailSalesData'!F139)</f>
        <v>80</v>
      </c>
      <c r="G139" s="7">
        <f t="shared" si="2"/>
        <v>1440</v>
      </c>
      <c r="H139" s="5" t="str">
        <f>IF('Raw RetailSalesData'!H139="","Unknown",'Raw RetailSalesData'!H139)</f>
        <v>APAC</v>
      </c>
      <c r="I139" t="s">
        <v>183</v>
      </c>
      <c r="J139" t="s">
        <v>184</v>
      </c>
      <c r="K139" t="str">
        <f>TRIM('Raw RetailSalesData'!K139)</f>
        <v>Sales Rep 2</v>
      </c>
      <c r="L139" t="s">
        <v>46</v>
      </c>
    </row>
    <row r="140" spans="1:12" x14ac:dyDescent="0.3">
      <c r="A140" t="str">
        <f>IF(COUNTIF('Raw RetailSalesData'!$A:$L,'Raw RetailSalesData'!A140)=1,'Raw RetailSalesData'!A140,"")</f>
        <v>ORD-10152</v>
      </c>
      <c r="B140" t="str">
        <f>IF('Raw RetailSalesData'!B140="","UNKNOWN",'Raw RetailSalesData'!B140)</f>
        <v>2026-10-02</v>
      </c>
      <c r="C140" t="str">
        <f>IF('Raw RetailSalesData'!C140="","UNKNOW",'Raw RetailSalesData'!C140)</f>
        <v>CUST-1147</v>
      </c>
      <c r="D140" t="str">
        <f>IF('Raw RetailSalesData'!D140="","UNKNOW",'Raw RetailSalesData'!D140)</f>
        <v>P103</v>
      </c>
      <c r="E140" s="5">
        <f>IF('Raw RetailSalesData'!E140="",'Raw RetailSalesData'!F140/'Raw RetailSalesData'!G140,'Raw RetailSalesData'!E140)</f>
        <v>19</v>
      </c>
      <c r="F140" s="7">
        <f>IF('Raw RetailSalesData'!F140="",'Raw RetailSalesData'!G140/'Raw RetailSalesData'!E140,'Raw RetailSalesData'!F140)</f>
        <v>95</v>
      </c>
      <c r="G140" s="7">
        <f t="shared" si="2"/>
        <v>1805</v>
      </c>
      <c r="H140" s="5" t="str">
        <f>IF('Raw RetailSalesData'!H140="","Unknown",'Raw RetailSalesData'!H140)</f>
        <v>APAC</v>
      </c>
      <c r="I140" t="s">
        <v>183</v>
      </c>
      <c r="J140" t="s">
        <v>184</v>
      </c>
      <c r="K140" t="str">
        <f>TRIM('Raw RetailSalesData'!K140)</f>
        <v>Sales Rep 4</v>
      </c>
      <c r="L140" t="s">
        <v>21</v>
      </c>
    </row>
    <row r="141" spans="1:12" x14ac:dyDescent="0.3">
      <c r="A141" t="str">
        <f>IF(COUNTIF('Raw RetailSalesData'!$A:$L,'Raw RetailSalesData'!A141)=1,'Raw RetailSalesData'!A141,"")</f>
        <v>ORD-10153</v>
      </c>
      <c r="B141" t="str">
        <f>IF('Raw RetailSalesData'!B141="","UNKNOWN",'Raw RetailSalesData'!B141)</f>
        <v>2025-02-17</v>
      </c>
      <c r="C141" t="str">
        <f>IF('Raw RetailSalesData'!C141="","UNKNOW",'Raw RetailSalesData'!C141)</f>
        <v>CUST-1130</v>
      </c>
      <c r="D141" t="str">
        <f>IF('Raw RetailSalesData'!D141="","UNKNOW",'Raw RetailSalesData'!D141)</f>
        <v>C301</v>
      </c>
      <c r="E141" s="5">
        <f>IF('Raw RetailSalesData'!E141="",'Raw RetailSalesData'!F141/'Raw RetailSalesData'!G141,'Raw RetailSalesData'!E141)</f>
        <v>20</v>
      </c>
      <c r="F141" s="7">
        <f>IF('Raw RetailSalesData'!F141="",'Raw RetailSalesData'!G141/'Raw RetailSalesData'!E141,'Raw RetailSalesData'!F141)</f>
        <v>55</v>
      </c>
      <c r="G141" s="7">
        <f t="shared" si="2"/>
        <v>1100</v>
      </c>
      <c r="H141" s="5" t="str">
        <f>IF('Raw RetailSalesData'!H141="","Unknown",'Raw RetailSalesData'!H141)</f>
        <v>Unknown</v>
      </c>
      <c r="I141" t="s">
        <v>225</v>
      </c>
      <c r="J141" t="s">
        <v>226</v>
      </c>
      <c r="K141" t="str">
        <f>TRIM('Raw RetailSalesData'!K141)</f>
        <v>Sales Rep 1</v>
      </c>
      <c r="L141" t="s">
        <v>46</v>
      </c>
    </row>
    <row r="142" spans="1:12" x14ac:dyDescent="0.3">
      <c r="A142" t="str">
        <f>IF(COUNTIF('Raw RetailSalesData'!$A:$L,'Raw RetailSalesData'!A142)=1,'Raw RetailSalesData'!A142,"")</f>
        <v>ORD-10154</v>
      </c>
      <c r="B142" t="str">
        <f>IF('Raw RetailSalesData'!B142="","UNKNOWN",'Raw RetailSalesData'!B142)</f>
        <v>2025-05-08</v>
      </c>
      <c r="C142" t="str">
        <f>IF('Raw RetailSalesData'!C142="","UNKNOW",'Raw RetailSalesData'!C142)</f>
        <v>CUST-1026</v>
      </c>
      <c r="D142" t="str">
        <f>IF('Raw RetailSalesData'!D142="","UNKNOW",'Raw RetailSalesData'!D142)</f>
        <v>C303</v>
      </c>
      <c r="E142" s="5">
        <f>IF('Raw RetailSalesData'!E142="",'Raw RetailSalesData'!F142/'Raw RetailSalesData'!G142,'Raw RetailSalesData'!E142)</f>
        <v>1</v>
      </c>
      <c r="F142" s="7">
        <f>IF('Raw RetailSalesData'!F142="",'Raw RetailSalesData'!G142/'Raw RetailSalesData'!E142,'Raw RetailSalesData'!F142)</f>
        <v>60</v>
      </c>
      <c r="G142" s="7">
        <f t="shared" si="2"/>
        <v>60</v>
      </c>
      <c r="H142" s="5" t="str">
        <f>IF('Raw RetailSalesData'!H142="","Unknown",'Raw RetailSalesData'!H142)</f>
        <v>APAC</v>
      </c>
      <c r="I142" t="s">
        <v>151</v>
      </c>
      <c r="J142" t="s">
        <v>152</v>
      </c>
      <c r="K142" t="str">
        <f>TRIM('Raw RetailSalesData'!K142)</f>
        <v>Aarav Patel</v>
      </c>
      <c r="L142" t="s">
        <v>46</v>
      </c>
    </row>
    <row r="143" spans="1:12" x14ac:dyDescent="0.3">
      <c r="A143" t="str">
        <f>IF(COUNTIF('Raw RetailSalesData'!$A:$L,'Raw RetailSalesData'!A143)=1,'Raw RetailSalesData'!A143,"")</f>
        <v>ORD-10155</v>
      </c>
      <c r="B143" t="str">
        <f>IF('Raw RetailSalesData'!B143="","UNKNOWN",'Raw RetailSalesData'!B143)</f>
        <v>2023-04-19</v>
      </c>
      <c r="C143" t="str">
        <f>IF('Raw RetailSalesData'!C143="","UNKNOW",'Raw RetailSalesData'!C143)</f>
        <v>CUST-1015</v>
      </c>
      <c r="D143" t="str">
        <f>IF('Raw RetailSalesData'!D143="","UNKNOW",'Raw RetailSalesData'!D143)</f>
        <v>C303</v>
      </c>
      <c r="E143" s="5">
        <f>IF('Raw RetailSalesData'!E143="",'Raw RetailSalesData'!F143/'Raw RetailSalesData'!G143,'Raw RetailSalesData'!E143)</f>
        <v>4</v>
      </c>
      <c r="F143" s="7">
        <f>IF('Raw RetailSalesData'!F143="",'Raw RetailSalesData'!G143/'Raw RetailSalesData'!E143,'Raw RetailSalesData'!F143)</f>
        <v>65</v>
      </c>
      <c r="G143" s="7">
        <f t="shared" si="2"/>
        <v>260</v>
      </c>
      <c r="H143" s="5" t="str">
        <f>IF('Raw RetailSalesData'!H143="","Unknown",'Raw RetailSalesData'!H143)</f>
        <v>Unknown</v>
      </c>
      <c r="I143" t="s">
        <v>100</v>
      </c>
      <c r="J143" t="s">
        <v>101</v>
      </c>
      <c r="K143" t="str">
        <f>TRIM('Raw RetailSalesData'!K143)</f>
        <v>Sales Rep 2</v>
      </c>
      <c r="L143" t="s">
        <v>31</v>
      </c>
    </row>
    <row r="144" spans="1:12" x14ac:dyDescent="0.3">
      <c r="A144" t="str">
        <f>IF(COUNTIF('Raw RetailSalesData'!$A:$L,'Raw RetailSalesData'!A144)=1,'Raw RetailSalesData'!A144,"")</f>
        <v>ORD-10157</v>
      </c>
      <c r="B144" t="str">
        <f>IF('Raw RetailSalesData'!B144="","UNKNOWN",'Raw RetailSalesData'!B144)</f>
        <v>2025-07-28</v>
      </c>
      <c r="C144" t="str">
        <f>IF('Raw RetailSalesData'!C144="","UNKNOW",'Raw RetailSalesData'!C144)</f>
        <v>CUST-1114</v>
      </c>
      <c r="D144" t="str">
        <f>IF('Raw RetailSalesData'!D144="","UNKNOW",'Raw RetailSalesData'!D144)</f>
        <v>P202</v>
      </c>
      <c r="E144" s="5">
        <f>IF('Raw RetailSalesData'!E144="",'Raw RetailSalesData'!F144/'Raw RetailSalesData'!G144,'Raw RetailSalesData'!E144)</f>
        <v>8</v>
      </c>
      <c r="F144" s="7">
        <f>IF('Raw RetailSalesData'!F144="",'Raw RetailSalesData'!G144/'Raw RetailSalesData'!E144,'Raw RetailSalesData'!F144)</f>
        <v>60</v>
      </c>
      <c r="G144" s="7">
        <f t="shared" si="2"/>
        <v>480</v>
      </c>
      <c r="H144" s="5" t="str">
        <f>IF('Raw RetailSalesData'!H144="","Unknown",'Raw RetailSalesData'!H144)</f>
        <v>LATAM</v>
      </c>
      <c r="I144" t="s">
        <v>18</v>
      </c>
      <c r="J144" t="s">
        <v>2197</v>
      </c>
      <c r="K144" t="str">
        <f>TRIM('Raw RetailSalesData'!K144)</f>
        <v>Sales Rep 2</v>
      </c>
      <c r="L144" t="s">
        <v>31</v>
      </c>
    </row>
    <row r="145" spans="1:12" x14ac:dyDescent="0.3">
      <c r="A145" t="str">
        <f>IF(COUNTIF('Raw RetailSalesData'!$A:$L,'Raw RetailSalesData'!A145)=1,'Raw RetailSalesData'!A145,"")</f>
        <v>ORD-10158</v>
      </c>
      <c r="B145" t="str">
        <f>IF('Raw RetailSalesData'!B145="","UNKNOWN",'Raw RetailSalesData'!B145)</f>
        <v>2024-05-11</v>
      </c>
      <c r="C145" t="str">
        <f>IF('Raw RetailSalesData'!C145="","UNKNOW",'Raw RetailSalesData'!C145)</f>
        <v>#N/A</v>
      </c>
      <c r="D145" t="str">
        <f>IF('Raw RetailSalesData'!D145="","UNKNOW",'Raw RetailSalesData'!D145)</f>
        <v>P203</v>
      </c>
      <c r="E145" s="5">
        <f>IF('Raw RetailSalesData'!E145="",'Raw RetailSalesData'!F145/'Raw RetailSalesData'!G145,'Raw RetailSalesData'!E145)</f>
        <v>19</v>
      </c>
      <c r="F145" s="7">
        <f>IF('Raw RetailSalesData'!F145="",'Raw RetailSalesData'!G145/'Raw RetailSalesData'!E145,'Raw RetailSalesData'!F145)</f>
        <v>68</v>
      </c>
      <c r="G145" s="7">
        <f t="shared" si="2"/>
        <v>1292</v>
      </c>
      <c r="H145" s="5" t="str">
        <f>IF('Raw RetailSalesData'!H145="","Unknown",'Raw RetailSalesData'!H145)</f>
        <v>APAC</v>
      </c>
      <c r="I145" t="s">
        <v>71</v>
      </c>
      <c r="J145" t="s">
        <v>72</v>
      </c>
      <c r="K145" t="str">
        <f>TRIM('Raw RetailSalesData'!K145)</f>
        <v>Hiroshi Tanaka</v>
      </c>
      <c r="L145" t="s">
        <v>31</v>
      </c>
    </row>
    <row r="146" spans="1:12" x14ac:dyDescent="0.3">
      <c r="A146" t="str">
        <f>IF(COUNTIF('Raw RetailSalesData'!$A:$L,'Raw RetailSalesData'!A146)=1,'Raw RetailSalesData'!A146,"")</f>
        <v>ORD-10159</v>
      </c>
      <c r="B146" t="str">
        <f>IF('Raw RetailSalesData'!B146="","UNKNOWN",'Raw RetailSalesData'!B146)</f>
        <v>2024-10-12</v>
      </c>
      <c r="C146" t="str">
        <f>IF('Raw RetailSalesData'!C146="","UNKNOW",'Raw RetailSalesData'!C146)</f>
        <v>CUST-1195</v>
      </c>
      <c r="D146" t="str">
        <f>IF('Raw RetailSalesData'!D146="","UNKNOW",'Raw RetailSalesData'!D146)</f>
        <v>P203</v>
      </c>
      <c r="E146" s="5">
        <f>IF('Raw RetailSalesData'!E146="",'Raw RetailSalesData'!F146/'Raw RetailSalesData'!G146,'Raw RetailSalesData'!E146)</f>
        <v>16</v>
      </c>
      <c r="F146" s="7">
        <f>IF('Raw RetailSalesData'!F146="",'Raw RetailSalesData'!G146/'Raw RetailSalesData'!E146,'Raw RetailSalesData'!F146)</f>
        <v>68</v>
      </c>
      <c r="G146" s="7">
        <f t="shared" si="2"/>
        <v>1088</v>
      </c>
      <c r="H146" s="5" t="str">
        <f>IF('Raw RetailSalesData'!H146="","Unknown",'Raw RetailSalesData'!H146)</f>
        <v>APAC</v>
      </c>
      <c r="I146" t="s">
        <v>183</v>
      </c>
      <c r="J146" t="s">
        <v>184</v>
      </c>
      <c r="K146" t="str">
        <f>TRIM('Raw RetailSalesData'!K146)</f>
        <v>Sales Rep 2</v>
      </c>
      <c r="L146" t="s">
        <v>31</v>
      </c>
    </row>
    <row r="147" spans="1:12" x14ac:dyDescent="0.3">
      <c r="A147" t="str">
        <f>IF(COUNTIF('Raw RetailSalesData'!$A:$L,'Raw RetailSalesData'!A147)=1,'Raw RetailSalesData'!A147,"")</f>
        <v>ORD-10160</v>
      </c>
      <c r="B147" t="str">
        <f>IF('Raw RetailSalesData'!B147="","UNKNOWN",'Raw RetailSalesData'!B147)</f>
        <v>2025-01-25</v>
      </c>
      <c r="C147" t="str">
        <f>IF('Raw RetailSalesData'!C147="","UNKNOW",'Raw RetailSalesData'!C147)</f>
        <v>CUST-1193</v>
      </c>
      <c r="D147" t="str">
        <f>IF('Raw RetailSalesData'!D147="","UNKNOW",'Raw RetailSalesData'!D147)</f>
        <v>C301</v>
      </c>
      <c r="E147" s="5">
        <f>IF('Raw RetailSalesData'!E147="",'Raw RetailSalesData'!F147/'Raw RetailSalesData'!G147,'Raw RetailSalesData'!E147)</f>
        <v>13</v>
      </c>
      <c r="F147" s="7">
        <f>IF('Raw RetailSalesData'!F147="",'Raw RetailSalesData'!G147/'Raw RetailSalesData'!E147,'Raw RetailSalesData'!F147)</f>
        <v>50</v>
      </c>
      <c r="G147" s="7">
        <f t="shared" si="2"/>
        <v>650</v>
      </c>
      <c r="H147" s="5" t="str">
        <f>IF('Raw RetailSalesData'!H147="","Unknown",'Raw RetailSalesData'!H147)</f>
        <v>LATAM</v>
      </c>
      <c r="I147" t="s">
        <v>18</v>
      </c>
      <c r="J147" t="s">
        <v>2197</v>
      </c>
      <c r="K147" t="str">
        <f>TRIM('Raw RetailSalesData'!K147)</f>
        <v>Sales Rep 5</v>
      </c>
      <c r="L147" t="s">
        <v>21</v>
      </c>
    </row>
    <row r="148" spans="1:12" x14ac:dyDescent="0.3">
      <c r="A148" t="str">
        <f>IF(COUNTIF('Raw RetailSalesData'!$A:$L,'Raw RetailSalesData'!A148)=1,'Raw RetailSalesData'!A148,"")</f>
        <v>ORD-10161</v>
      </c>
      <c r="B148" t="str">
        <f>IF('Raw RetailSalesData'!B148="","UNKNOWN",'Raw RetailSalesData'!B148)</f>
        <v>2022-05-26</v>
      </c>
      <c r="C148" t="str">
        <f>IF('Raw RetailSalesData'!C148="","UNKNOW",'Raw RetailSalesData'!C148)</f>
        <v>CUST-1107</v>
      </c>
      <c r="D148" t="str">
        <f>IF('Raw RetailSalesData'!D148="","UNKNOW",'Raw RetailSalesData'!D148)</f>
        <v>P202</v>
      </c>
      <c r="E148" s="5">
        <f>IF('Raw RetailSalesData'!E148="",'Raw RetailSalesData'!F148/'Raw RetailSalesData'!G148,'Raw RetailSalesData'!E148)</f>
        <v>10</v>
      </c>
      <c r="F148" s="7">
        <f>IF('Raw RetailSalesData'!F148="",'Raw RetailSalesData'!G148/'Raw RetailSalesData'!E148,'Raw RetailSalesData'!F148)</f>
        <v>60</v>
      </c>
      <c r="G148" s="7">
        <f t="shared" si="2"/>
        <v>600</v>
      </c>
      <c r="H148" s="5" t="str">
        <f>IF('Raw RetailSalesData'!H148="","Unknown",'Raw RetailSalesData'!H148)</f>
        <v>Unknown</v>
      </c>
      <c r="I148" t="s">
        <v>18</v>
      </c>
      <c r="J148" t="s">
        <v>2197</v>
      </c>
      <c r="K148" t="str">
        <f>TRIM('Raw RetailSalesData'!K148)</f>
        <v>Sales Rep 4</v>
      </c>
      <c r="L148" t="s">
        <v>31</v>
      </c>
    </row>
    <row r="149" spans="1:12" x14ac:dyDescent="0.3">
      <c r="A149" t="str">
        <f>IF(COUNTIF('Raw RetailSalesData'!$A:$L,'Raw RetailSalesData'!A149)=1,'Raw RetailSalesData'!A149,"")</f>
        <v>ORD-10162</v>
      </c>
      <c r="B149" t="str">
        <f>IF('Raw RetailSalesData'!B149="","UNKNOWN",'Raw RetailSalesData'!B149)</f>
        <v>2026-09-05</v>
      </c>
      <c r="C149" t="str">
        <f>IF('Raw RetailSalesData'!C149="","UNKNOW",'Raw RetailSalesData'!C149)</f>
        <v>CUST-1199</v>
      </c>
      <c r="D149" t="str">
        <f>IF('Raw RetailSalesData'!D149="","UNKNOW",'Raw RetailSalesData'!D149)</f>
        <v>P201</v>
      </c>
      <c r="E149" s="5">
        <f>IF('Raw RetailSalesData'!E149="",'Raw RetailSalesData'!F149/'Raw RetailSalesData'!G149,'Raw RetailSalesData'!E149)</f>
        <v>5</v>
      </c>
      <c r="F149" s="7">
        <f>IF('Raw RetailSalesData'!F149="",'Raw RetailSalesData'!G149/'Raw RetailSalesData'!E149,'Raw RetailSalesData'!F149)</f>
        <v>65</v>
      </c>
      <c r="G149" s="7">
        <f t="shared" si="2"/>
        <v>325</v>
      </c>
      <c r="H149" s="5" t="str">
        <f>IF('Raw RetailSalesData'!H149="","Unknown",'Raw RetailSalesData'!H149)</f>
        <v>LATAM</v>
      </c>
      <c r="I149" t="s">
        <v>90</v>
      </c>
      <c r="J149" t="s">
        <v>2198</v>
      </c>
      <c r="K149" t="str">
        <f>TRIM('Raw RetailSalesData'!K149)</f>
        <v>Sales Rep 5</v>
      </c>
      <c r="L149" t="s">
        <v>31</v>
      </c>
    </row>
    <row r="150" spans="1:12" x14ac:dyDescent="0.3">
      <c r="A150" t="str">
        <f>IF(COUNTIF('Raw RetailSalesData'!$A:$L,'Raw RetailSalesData'!A150)=1,'Raw RetailSalesData'!A150,"")</f>
        <v>ORD-10163</v>
      </c>
      <c r="B150" t="str">
        <f>IF('Raw RetailSalesData'!B150="","UNKNOWN",'Raw RetailSalesData'!B150)</f>
        <v>2023-10-14</v>
      </c>
      <c r="C150" t="str">
        <f>IF('Raw RetailSalesData'!C150="","UNKNOW",'Raw RetailSalesData'!C150)</f>
        <v>CUST-1094</v>
      </c>
      <c r="D150" t="str">
        <f>IF('Raw RetailSalesData'!D150="","UNKNOW",'Raw RetailSalesData'!D150)</f>
        <v>C304</v>
      </c>
      <c r="E150" s="5">
        <f>IF('Raw RetailSalesData'!E150="",'Raw RetailSalesData'!F150/'Raw RetailSalesData'!G150,'Raw RetailSalesData'!E150)</f>
        <v>15</v>
      </c>
      <c r="F150" s="7">
        <f>IF('Raw RetailSalesData'!F150="",'Raw RetailSalesData'!G150/'Raw RetailSalesData'!E150,'Raw RetailSalesData'!F150)</f>
        <v>58</v>
      </c>
      <c r="G150" s="7">
        <f t="shared" si="2"/>
        <v>870</v>
      </c>
      <c r="H150" s="5" t="str">
        <f>IF('Raw RetailSalesData'!H150="","Unknown",'Raw RetailSalesData'!H150)</f>
        <v>APAC</v>
      </c>
      <c r="I150" t="s">
        <v>71</v>
      </c>
      <c r="J150" t="s">
        <v>72</v>
      </c>
      <c r="K150" t="str">
        <f>TRIM('Raw RetailSalesData'!K150)</f>
        <v>Hiroshi Tanaka</v>
      </c>
      <c r="L150" t="s">
        <v>21</v>
      </c>
    </row>
    <row r="151" spans="1:12" x14ac:dyDescent="0.3">
      <c r="A151" t="str">
        <f>IF(COUNTIF('Raw RetailSalesData'!$A:$L,'Raw RetailSalesData'!A151)=1,'Raw RetailSalesData'!A151,"")</f>
        <v>ORD-10165</v>
      </c>
      <c r="B151" t="str">
        <f>IF('Raw RetailSalesData'!B151="","UNKNOWN",'Raw RetailSalesData'!B151)</f>
        <v>2025-08-06</v>
      </c>
      <c r="C151" t="str">
        <f>IF('Raw RetailSalesData'!C151="","UNKNOW",'Raw RetailSalesData'!C151)</f>
        <v>CUST-1058</v>
      </c>
      <c r="D151" t="str">
        <f>IF('Raw RetailSalesData'!D151="","UNKNOW",'Raw RetailSalesData'!D151)</f>
        <v>C302</v>
      </c>
      <c r="E151" s="5">
        <f>IF('Raw RetailSalesData'!E151="",'Raw RetailSalesData'!F151/'Raw RetailSalesData'!G151,'Raw RetailSalesData'!E151)</f>
        <v>11</v>
      </c>
      <c r="F151" s="7">
        <f>IF('Raw RetailSalesData'!F151="",'Raw RetailSalesData'!G151/'Raw RetailSalesData'!E151,'Raw RetailSalesData'!F151)</f>
        <v>55</v>
      </c>
      <c r="G151" s="7">
        <f t="shared" si="2"/>
        <v>605</v>
      </c>
      <c r="H151" s="5" t="str">
        <f>IF('Raw RetailSalesData'!H151="","Unknown",'Raw RetailSalesData'!H151)</f>
        <v>NA</v>
      </c>
      <c r="I151" t="s">
        <v>28</v>
      </c>
      <c r="J151" t="s">
        <v>29</v>
      </c>
      <c r="K151" t="str">
        <f>TRIM('Raw RetailSalesData'!K151)</f>
        <v>Sales Rep 2</v>
      </c>
      <c r="L151" t="s">
        <v>31</v>
      </c>
    </row>
    <row r="152" spans="1:12" x14ac:dyDescent="0.3">
      <c r="A152" t="str">
        <f>IF(COUNTIF('Raw RetailSalesData'!$A:$L,'Raw RetailSalesData'!A152)=1,'Raw RetailSalesData'!A152,"")</f>
        <v>ORD-10167</v>
      </c>
      <c r="B152" t="str">
        <f>IF('Raw RetailSalesData'!B152="","UNKNOWN",'Raw RetailSalesData'!B152)</f>
        <v>2025-08-06</v>
      </c>
      <c r="C152" t="str">
        <f>IF('Raw RetailSalesData'!C152="","UNKNOW",'Raw RetailSalesData'!C152)</f>
        <v>CUST-1058</v>
      </c>
      <c r="D152" t="str">
        <f>IF('Raw RetailSalesData'!D152="","UNKNOW",'Raw RetailSalesData'!D152)</f>
        <v>C302</v>
      </c>
      <c r="E152" s="5">
        <f>IF('Raw RetailSalesData'!E152="",'Raw RetailSalesData'!F152/'Raw RetailSalesData'!G152,'Raw RetailSalesData'!E152)</f>
        <v>11</v>
      </c>
      <c r="F152" s="7">
        <f>IF('Raw RetailSalesData'!F152="",'Raw RetailSalesData'!G152/'Raw RetailSalesData'!E152,'Raw RetailSalesData'!F152)</f>
        <v>55</v>
      </c>
      <c r="G152" s="7">
        <f t="shared" si="2"/>
        <v>605</v>
      </c>
      <c r="H152" s="5" t="str">
        <f>IF('Raw RetailSalesData'!H152="","Unknown",'Raw RetailSalesData'!H152)</f>
        <v>NA</v>
      </c>
      <c r="I152" t="s">
        <v>28</v>
      </c>
      <c r="J152" t="s">
        <v>29</v>
      </c>
      <c r="K152" t="str">
        <f>TRIM('Raw RetailSalesData'!K152)</f>
        <v>Sales Rep 2</v>
      </c>
      <c r="L152" t="s">
        <v>31</v>
      </c>
    </row>
    <row r="153" spans="1:12" x14ac:dyDescent="0.3">
      <c r="A153" t="str">
        <f>IF(COUNTIF('Raw RetailSalesData'!$A:$L,'Raw RetailSalesData'!A153)=1,'Raw RetailSalesData'!A153,"")</f>
        <v>ORD-10168</v>
      </c>
      <c r="B153" t="str">
        <f>IF('Raw RetailSalesData'!B153="","UNKNOWN",'Raw RetailSalesData'!B153)</f>
        <v>2024-06-23</v>
      </c>
      <c r="C153" t="str">
        <f>IF('Raw RetailSalesData'!C153="","UNKNOW",'Raw RetailSalesData'!C153)</f>
        <v>CUST-1129</v>
      </c>
      <c r="D153" t="str">
        <f>IF('Raw RetailSalesData'!D153="","UNKNOW",'Raw RetailSalesData'!D153)</f>
        <v>P103</v>
      </c>
      <c r="E153" s="5">
        <f>IF('Raw RetailSalesData'!E153="",'Raw RetailSalesData'!F153/'Raw RetailSalesData'!G153,'Raw RetailSalesData'!E153)</f>
        <v>8</v>
      </c>
      <c r="F153" s="7">
        <f>IF('Raw RetailSalesData'!F153="",'Raw RetailSalesData'!G153/'Raw RetailSalesData'!E153,'Raw RetailSalesData'!F153)</f>
        <v>95</v>
      </c>
      <c r="G153" s="7">
        <f t="shared" si="2"/>
        <v>760</v>
      </c>
      <c r="H153" s="5" t="str">
        <f>IF('Raw RetailSalesData'!H153="","Unknown",'Raw RetailSalesData'!H153)</f>
        <v>EMEA</v>
      </c>
      <c r="I153" t="s">
        <v>38</v>
      </c>
      <c r="J153" t="s">
        <v>39</v>
      </c>
      <c r="K153" t="str">
        <f>TRIM('Raw RetailSalesData'!K153)</f>
        <v>Sales Rep 1</v>
      </c>
      <c r="L153" t="s">
        <v>46</v>
      </c>
    </row>
    <row r="154" spans="1:12" x14ac:dyDescent="0.3">
      <c r="A154" t="str">
        <f>IF(COUNTIF('Raw RetailSalesData'!$A:$L,'Raw RetailSalesData'!A154)=1,'Raw RetailSalesData'!A154,"")</f>
        <v>ORD-10170</v>
      </c>
      <c r="B154" t="str">
        <f>IF('Raw RetailSalesData'!B154="","UNKNOWN",'Raw RetailSalesData'!B154)</f>
        <v>2026-03-11</v>
      </c>
      <c r="C154" t="str">
        <f>IF('Raw RetailSalesData'!C154="","UNKNOW",'Raw RetailSalesData'!C154)</f>
        <v>CUST-1049</v>
      </c>
      <c r="D154" t="str">
        <f>IF('Raw RetailSalesData'!D154="","UNKNOW",'Raw RetailSalesData'!D154)</f>
        <v>C302</v>
      </c>
      <c r="E154" s="5">
        <f>IF('Raw RetailSalesData'!E154="",'Raw RetailSalesData'!F154/'Raw RetailSalesData'!G154,'Raw RetailSalesData'!E154)</f>
        <v>8</v>
      </c>
      <c r="F154" s="7">
        <f>IF('Raw RetailSalesData'!F154="",'Raw RetailSalesData'!G154/'Raw RetailSalesData'!E154,'Raw RetailSalesData'!F154)</f>
        <v>50</v>
      </c>
      <c r="G154" s="7">
        <f t="shared" si="2"/>
        <v>400</v>
      </c>
      <c r="H154" s="5" t="str">
        <f>IF('Raw RetailSalesData'!H154="","Unknown",'Raw RetailSalesData'!H154)</f>
        <v>APAC</v>
      </c>
      <c r="I154" t="s">
        <v>151</v>
      </c>
      <c r="J154" t="s">
        <v>152</v>
      </c>
      <c r="K154" t="str">
        <f>TRIM('Raw RetailSalesData'!K154)</f>
        <v>Aarav Patel</v>
      </c>
      <c r="L154" t="s">
        <v>46</v>
      </c>
    </row>
    <row r="155" spans="1:12" x14ac:dyDescent="0.3">
      <c r="A155" t="str">
        <f>IF(COUNTIF('Raw RetailSalesData'!$A:$L,'Raw RetailSalesData'!A155)=1,'Raw RetailSalesData'!A155,"")</f>
        <v>ORD-10171</v>
      </c>
      <c r="B155" t="str">
        <f>IF('Raw RetailSalesData'!B155="","UNKNOWN",'Raw RetailSalesData'!B155)</f>
        <v>2023-09-18</v>
      </c>
      <c r="C155" t="str">
        <f>IF('Raw RetailSalesData'!C155="","UNKNOW",'Raw RetailSalesData'!C155)</f>
        <v>CUST-1198</v>
      </c>
      <c r="D155" t="str">
        <f>IF('Raw RetailSalesData'!D155="","UNKNOW",'Raw RetailSalesData'!D155)</f>
        <v>C303</v>
      </c>
      <c r="E155" s="5">
        <f>IF('Raw RetailSalesData'!E155="",'Raw RetailSalesData'!F155/'Raw RetailSalesData'!G155,'Raw RetailSalesData'!E155)</f>
        <v>3</v>
      </c>
      <c r="F155" s="7">
        <f>IF('Raw RetailSalesData'!F155="",'Raw RetailSalesData'!G155/'Raw RetailSalesData'!E155,'Raw RetailSalesData'!F155)</f>
        <v>60</v>
      </c>
      <c r="G155" s="7">
        <f t="shared" si="2"/>
        <v>180</v>
      </c>
      <c r="H155" s="5" t="str">
        <f>IF('Raw RetailSalesData'!H155="","Unknown",'Raw RetailSalesData'!H155)</f>
        <v>APAC</v>
      </c>
      <c r="I155" t="s">
        <v>151</v>
      </c>
      <c r="J155" t="s">
        <v>152</v>
      </c>
      <c r="K155" t="str">
        <f>TRIM('Raw RetailSalesData'!K155)</f>
        <v>Aarav Patel</v>
      </c>
      <c r="L155" t="s">
        <v>21</v>
      </c>
    </row>
    <row r="156" spans="1:12" x14ac:dyDescent="0.3">
      <c r="A156" t="str">
        <f>IF(COUNTIF('Raw RetailSalesData'!$A:$L,'Raw RetailSalesData'!A156)=1,'Raw RetailSalesData'!A156,"")</f>
        <v>ORD-10172</v>
      </c>
      <c r="B156" t="str">
        <f>IF('Raw RetailSalesData'!B156="","UNKNOWN",'Raw RetailSalesData'!B156)</f>
        <v>2026-01-17</v>
      </c>
      <c r="C156" t="str">
        <f>IF('Raw RetailSalesData'!C156="","UNKNOW",'Raw RetailSalesData'!C156)</f>
        <v>CUST-1055</v>
      </c>
      <c r="D156" t="str">
        <f>IF('Raw RetailSalesData'!D156="","UNKNOW",'Raw RetailSalesData'!D156)</f>
        <v>P202</v>
      </c>
      <c r="E156" s="5">
        <f>IF('Raw RetailSalesData'!E156="",'Raw RetailSalesData'!F156/'Raw RetailSalesData'!G156,'Raw RetailSalesData'!E156)</f>
        <v>12</v>
      </c>
      <c r="F156" s="7">
        <f>IF('Raw RetailSalesData'!F156="",'Raw RetailSalesData'!G156/'Raw RetailSalesData'!E156,'Raw RetailSalesData'!F156)</f>
        <v>65</v>
      </c>
      <c r="G156" s="7">
        <f t="shared" si="2"/>
        <v>780</v>
      </c>
      <c r="H156" s="5" t="str">
        <f>IF('Raw RetailSalesData'!H156="","Unknown",'Raw RetailSalesData'!H156)</f>
        <v>EMEA</v>
      </c>
      <c r="I156" t="s">
        <v>83</v>
      </c>
      <c r="J156" t="s">
        <v>84</v>
      </c>
      <c r="K156" t="str">
        <f>TRIM('Raw RetailSalesData'!K156)</f>
        <v>John Smith</v>
      </c>
      <c r="L156" t="s">
        <v>46</v>
      </c>
    </row>
    <row r="157" spans="1:12" x14ac:dyDescent="0.3">
      <c r="A157" t="str">
        <f>IF(COUNTIF('Raw RetailSalesData'!$A:$L,'Raw RetailSalesData'!A157)=1,'Raw RetailSalesData'!A157,"")</f>
        <v>ORD-10174</v>
      </c>
      <c r="B157" t="str">
        <f>IF('Raw RetailSalesData'!B157="","UNKNOWN",'Raw RetailSalesData'!B157)</f>
        <v>2026-01-17</v>
      </c>
      <c r="C157" t="str">
        <f>IF('Raw RetailSalesData'!C157="","UNKNOW",'Raw RetailSalesData'!C157)</f>
        <v>CUST-1055</v>
      </c>
      <c r="D157" t="str">
        <f>IF('Raw RetailSalesData'!D157="","UNKNOW",'Raw RetailSalesData'!D157)</f>
        <v>P202</v>
      </c>
      <c r="E157" s="5">
        <f>IF('Raw RetailSalesData'!E157="",'Raw RetailSalesData'!F157/'Raw RetailSalesData'!G157,'Raw RetailSalesData'!E157)</f>
        <v>12</v>
      </c>
      <c r="F157" s="7">
        <f>IF('Raw RetailSalesData'!F157="",'Raw RetailSalesData'!G157/'Raw RetailSalesData'!E157,'Raw RetailSalesData'!F157)</f>
        <v>65</v>
      </c>
      <c r="G157" s="7">
        <f t="shared" si="2"/>
        <v>780</v>
      </c>
      <c r="H157" s="5" t="str">
        <f>IF('Raw RetailSalesData'!H157="","Unknown",'Raw RetailSalesData'!H157)</f>
        <v>EMEA</v>
      </c>
      <c r="I157" t="s">
        <v>83</v>
      </c>
      <c r="J157" t="s">
        <v>84</v>
      </c>
      <c r="K157" t="str">
        <f>TRIM('Raw RetailSalesData'!K157)</f>
        <v>John Smith</v>
      </c>
      <c r="L157" t="s">
        <v>46</v>
      </c>
    </row>
    <row r="158" spans="1:12" x14ac:dyDescent="0.3">
      <c r="A158" t="str">
        <f>IF(COUNTIF('Raw RetailSalesData'!$A:$L,'Raw RetailSalesData'!A158)=1,'Raw RetailSalesData'!A158,"")</f>
        <v>ORD-10176</v>
      </c>
      <c r="B158" t="str">
        <f>IF('Raw RetailSalesData'!B158="","UNKNOWN",'Raw RetailSalesData'!B158)</f>
        <v>2026-03-05</v>
      </c>
      <c r="C158" t="str">
        <f>IF('Raw RetailSalesData'!C158="","UNKNOW",'Raw RetailSalesData'!C158)</f>
        <v>CUST-1180</v>
      </c>
      <c r="D158" t="str">
        <f>IF('Raw RetailSalesData'!D158="","UNKNOW",'Raw RetailSalesData'!D158)</f>
        <v>UNKNOW</v>
      </c>
      <c r="E158" s="5">
        <f>IF('Raw RetailSalesData'!E158="",'Raw RetailSalesData'!F158/'Raw RetailSalesData'!G158,'Raw RetailSalesData'!E158)</f>
        <v>14</v>
      </c>
      <c r="F158" s="7">
        <f>IF('Raw RetailSalesData'!F158="",'Raw RetailSalesData'!G158/'Raw RetailSalesData'!E158,'Raw RetailSalesData'!F158)</f>
        <v>80</v>
      </c>
      <c r="G158" s="7">
        <f t="shared" si="2"/>
        <v>1120</v>
      </c>
      <c r="H158" s="5" t="str">
        <f>IF('Raw RetailSalesData'!H158="","Unknown",'Raw RetailSalesData'!H158)</f>
        <v>LATAM</v>
      </c>
      <c r="I158" t="s">
        <v>90</v>
      </c>
      <c r="J158" t="s">
        <v>2198</v>
      </c>
      <c r="K158" t="str">
        <f>TRIM('Raw RetailSalesData'!K158)</f>
        <v>Sales Rep 3</v>
      </c>
      <c r="L158" t="s">
        <v>2190</v>
      </c>
    </row>
    <row r="159" spans="1:12" x14ac:dyDescent="0.3">
      <c r="A159" t="str">
        <f>IF(COUNTIF('Raw RetailSalesData'!$A:$L,'Raw RetailSalesData'!A159)=1,'Raw RetailSalesData'!A159,"")</f>
        <v>ORD-10177</v>
      </c>
      <c r="B159" t="str">
        <f>IF('Raw RetailSalesData'!B159="","UNKNOWN",'Raw RetailSalesData'!B159)</f>
        <v>2025-05-09</v>
      </c>
      <c r="C159" t="str">
        <f>IF('Raw RetailSalesData'!C159="","UNKNOW",'Raw RetailSalesData'!C159)</f>
        <v>CUST-1110</v>
      </c>
      <c r="D159" t="str">
        <f>IF('Raw RetailSalesData'!D159="","UNKNOW",'Raw RetailSalesData'!D159)</f>
        <v>P101</v>
      </c>
      <c r="E159" s="5">
        <f>IF('Raw RetailSalesData'!E159="",'Raw RetailSalesData'!F159/'Raw RetailSalesData'!G159,'Raw RetailSalesData'!E159)</f>
        <v>8</v>
      </c>
      <c r="F159" s="7">
        <f>IF('Raw RetailSalesData'!F159="",'Raw RetailSalesData'!G159/'Raw RetailSalesData'!E159,'Raw RetailSalesData'!F159)</f>
        <v>90</v>
      </c>
      <c r="G159" s="7">
        <f t="shared" si="2"/>
        <v>720</v>
      </c>
      <c r="H159" s="5" t="str">
        <f>IF('Raw RetailSalesData'!H159="","Unknown",'Raw RetailSalesData'!H159)</f>
        <v>NA</v>
      </c>
      <c r="I159" t="s">
        <v>2190</v>
      </c>
      <c r="J159" t="s">
        <v>29</v>
      </c>
      <c r="K159" t="str">
        <f>TRIM('Raw RetailSalesData'!K159)</f>
        <v>Sales Rep 1</v>
      </c>
      <c r="L159" t="s">
        <v>46</v>
      </c>
    </row>
    <row r="160" spans="1:12" x14ac:dyDescent="0.3">
      <c r="A160" t="str">
        <f>IF(COUNTIF('Raw RetailSalesData'!$A:$L,'Raw RetailSalesData'!A160)=1,'Raw RetailSalesData'!A160,"")</f>
        <v>ORD-10178</v>
      </c>
      <c r="B160" t="str">
        <f>IF('Raw RetailSalesData'!B160="","UNKNOWN",'Raw RetailSalesData'!B160)</f>
        <v>2023-12-10</v>
      </c>
      <c r="C160" t="str">
        <f>IF('Raw RetailSalesData'!C160="","UNKNOW",'Raw RetailSalesData'!C160)</f>
        <v>CUST-1138</v>
      </c>
      <c r="D160" t="str">
        <f>IF('Raw RetailSalesData'!D160="","UNKNOW",'Raw RetailSalesData'!D160)</f>
        <v>C301</v>
      </c>
      <c r="E160" s="5">
        <f>IF('Raw RetailSalesData'!E160="",'Raw RetailSalesData'!F160/'Raw RetailSalesData'!G160,'Raw RetailSalesData'!E160)</f>
        <v>7</v>
      </c>
      <c r="F160" s="7">
        <f>IF('Raw RetailSalesData'!F160="",'Raw RetailSalesData'!G160/'Raw RetailSalesData'!E160,'Raw RetailSalesData'!F160)</f>
        <v>55</v>
      </c>
      <c r="G160" s="7">
        <f t="shared" si="2"/>
        <v>385</v>
      </c>
      <c r="H160" s="5" t="str">
        <f>IF('Raw RetailSalesData'!H160="","Unknown",'Raw RetailSalesData'!H160)</f>
        <v xml:space="preserve"> EMEA </v>
      </c>
      <c r="I160" t="s">
        <v>225</v>
      </c>
      <c r="J160" t="s">
        <v>226</v>
      </c>
      <c r="K160" t="str">
        <f>TRIM('Raw RetailSalesData'!K160)</f>
        <v>Sales Rep 4</v>
      </c>
      <c r="L160" t="s">
        <v>21</v>
      </c>
    </row>
    <row r="161" spans="1:12" x14ac:dyDescent="0.3">
      <c r="A161" t="str">
        <f>IF(COUNTIF('Raw RetailSalesData'!$A:$L,'Raw RetailSalesData'!A161)=1,'Raw RetailSalesData'!A161,"")</f>
        <v>ORD-10179</v>
      </c>
      <c r="B161" t="str">
        <f>IF('Raw RetailSalesData'!B161="","UNKNOWN",'Raw RetailSalesData'!B161)</f>
        <v>2023-01-14</v>
      </c>
      <c r="C161" t="str">
        <f>IF('Raw RetailSalesData'!C161="","UNKNOW",'Raw RetailSalesData'!C161)</f>
        <v>CUST-1128</v>
      </c>
      <c r="D161" t="str">
        <f>IF('Raw RetailSalesData'!D161="","UNKNOW",'Raw RetailSalesData'!D161)</f>
        <v>C302</v>
      </c>
      <c r="E161" s="5">
        <f>IF('Raw RetailSalesData'!E161="",'Raw RetailSalesData'!F161/'Raw RetailSalesData'!G161,'Raw RetailSalesData'!E161)</f>
        <v>11</v>
      </c>
      <c r="F161" s="7">
        <f>IF('Raw RetailSalesData'!F161="",'Raw RetailSalesData'!G161/'Raw RetailSalesData'!E161,'Raw RetailSalesData'!F161)</f>
        <v>50</v>
      </c>
      <c r="G161" s="7">
        <f t="shared" si="2"/>
        <v>550</v>
      </c>
      <c r="H161" s="5" t="str">
        <f>IF('Raw RetailSalesData'!H161="","Unknown",'Raw RetailSalesData'!H161)</f>
        <v>APAC</v>
      </c>
      <c r="I161" t="s">
        <v>151</v>
      </c>
      <c r="J161" t="s">
        <v>188</v>
      </c>
      <c r="K161" t="str">
        <f>TRIM('Raw RetailSalesData'!K161)</f>
        <v>Sales Rep 2</v>
      </c>
      <c r="L161" t="s">
        <v>21</v>
      </c>
    </row>
    <row r="162" spans="1:12" x14ac:dyDescent="0.3">
      <c r="A162" t="str">
        <f>IF(COUNTIF('Raw RetailSalesData'!$A:$L,'Raw RetailSalesData'!A162)=1,'Raw RetailSalesData'!A162,"")</f>
        <v>ORD-10180</v>
      </c>
      <c r="B162" t="str">
        <f>IF('Raw RetailSalesData'!B162="","UNKNOWN",'Raw RetailSalesData'!B162)</f>
        <v>2024-07-11</v>
      </c>
      <c r="C162" t="str">
        <f>IF('Raw RetailSalesData'!C162="","UNKNOW",'Raw RetailSalesData'!C162)</f>
        <v>CUST-1132</v>
      </c>
      <c r="D162" t="str">
        <f>IF('Raw RetailSalesData'!D162="","UNKNOW",'Raw RetailSalesData'!D162)</f>
        <v>C303</v>
      </c>
      <c r="E162" s="5">
        <f>IF('Raw RetailSalesData'!E162="",'Raw RetailSalesData'!F162/'Raw RetailSalesData'!G162,'Raw RetailSalesData'!E162)</f>
        <v>6</v>
      </c>
      <c r="F162" s="7">
        <f>IF('Raw RetailSalesData'!F162="",'Raw RetailSalesData'!G162/'Raw RetailSalesData'!E162,'Raw RetailSalesData'!F162)</f>
        <v>60</v>
      </c>
      <c r="G162" s="7">
        <f t="shared" si="2"/>
        <v>360</v>
      </c>
      <c r="H162" s="5" t="str">
        <f>IF('Raw RetailSalesData'!H162="","Unknown",'Raw RetailSalesData'!H162)</f>
        <v>APAC</v>
      </c>
      <c r="I162" t="s">
        <v>183</v>
      </c>
      <c r="J162" t="s">
        <v>184</v>
      </c>
      <c r="K162" t="str">
        <f>TRIM('Raw RetailSalesData'!K162)</f>
        <v>Sales Rep 3</v>
      </c>
      <c r="L162" t="s">
        <v>2190</v>
      </c>
    </row>
    <row r="163" spans="1:12" x14ac:dyDescent="0.3">
      <c r="A163" t="str">
        <f>IF(COUNTIF('Raw RetailSalesData'!$A:$L,'Raw RetailSalesData'!A163)=1,'Raw RetailSalesData'!A163,"")</f>
        <v>ORD-10181</v>
      </c>
      <c r="B163" t="str">
        <f>IF('Raw RetailSalesData'!B163="","UNKNOWN",'Raw RetailSalesData'!B163)</f>
        <v>2022-03-22</v>
      </c>
      <c r="C163" t="str">
        <f>IF('Raw RetailSalesData'!C163="","UNKNOW",'Raw RetailSalesData'!C163)</f>
        <v>CUST-1064</v>
      </c>
      <c r="D163" t="str">
        <f>IF('Raw RetailSalesData'!D163="","UNKNOW",'Raw RetailSalesData'!D163)</f>
        <v>P102</v>
      </c>
      <c r="E163" s="5">
        <f>IF('Raw RetailSalesData'!E163="",'Raw RetailSalesData'!F163/'Raw RetailSalesData'!G163,'Raw RetailSalesData'!E163)</f>
        <v>17</v>
      </c>
      <c r="F163" s="7">
        <f>IF('Raw RetailSalesData'!F163="",'Raw RetailSalesData'!G163/'Raw RetailSalesData'!E163,'Raw RetailSalesData'!F163)</f>
        <v>75</v>
      </c>
      <c r="G163" s="7">
        <f t="shared" si="2"/>
        <v>1275</v>
      </c>
      <c r="H163" s="5" t="str">
        <f>IF('Raw RetailSalesData'!H163="","Unknown",'Raw RetailSalesData'!H163)</f>
        <v>LATAM</v>
      </c>
      <c r="I163" t="s">
        <v>2190</v>
      </c>
      <c r="J163" t="s">
        <v>2198</v>
      </c>
      <c r="K163" t="str">
        <f>TRIM('Raw RetailSalesData'!K163)</f>
        <v>Sales Rep 4</v>
      </c>
      <c r="L163" t="s">
        <v>21</v>
      </c>
    </row>
    <row r="164" spans="1:12" x14ac:dyDescent="0.3">
      <c r="A164" t="str">
        <f>IF(COUNTIF('Raw RetailSalesData'!$A:$L,'Raw RetailSalesData'!A164)=1,'Raw RetailSalesData'!A164,"")</f>
        <v>ORD-10182</v>
      </c>
      <c r="B164" t="str">
        <f>IF('Raw RetailSalesData'!B164="","UNKNOWN",'Raw RetailSalesData'!B164)</f>
        <v>2022-05-05</v>
      </c>
      <c r="C164" t="str">
        <f>IF('Raw RetailSalesData'!C164="","UNKNOW",'Raw RetailSalesData'!C164)</f>
        <v>CUST-1062</v>
      </c>
      <c r="D164" t="str">
        <f>IF('Raw RetailSalesData'!D164="","UNKNOW",'Raw RetailSalesData'!D164)</f>
        <v>C303</v>
      </c>
      <c r="E164" s="5">
        <f>IF('Raw RetailSalesData'!E164="",'Raw RetailSalesData'!F164/'Raw RetailSalesData'!G164,'Raw RetailSalesData'!E164)</f>
        <v>13</v>
      </c>
      <c r="F164" s="7">
        <f>IF('Raw RetailSalesData'!F164="",'Raw RetailSalesData'!G164/'Raw RetailSalesData'!E164,'Raw RetailSalesData'!F164)</f>
        <v>55</v>
      </c>
      <c r="G164" s="7">
        <f t="shared" si="2"/>
        <v>715</v>
      </c>
      <c r="H164" s="5" t="str">
        <f>IF('Raw RetailSalesData'!H164="","Unknown",'Raw RetailSalesData'!H164)</f>
        <v>LATAM</v>
      </c>
      <c r="I164" t="s">
        <v>90</v>
      </c>
      <c r="J164" t="s">
        <v>2198</v>
      </c>
      <c r="K164" t="str">
        <f>TRIM('Raw RetailSalesData'!K164)</f>
        <v>Sales Rep 2</v>
      </c>
      <c r="L164" t="s">
        <v>21</v>
      </c>
    </row>
    <row r="165" spans="1:12" x14ac:dyDescent="0.3">
      <c r="A165" t="str">
        <f>IF(COUNTIF('Raw RetailSalesData'!$A:$L,'Raw RetailSalesData'!A165)=1,'Raw RetailSalesData'!A165,"")</f>
        <v>ORD-10183</v>
      </c>
      <c r="B165" t="str">
        <f>IF('Raw RetailSalesData'!B165="","UNKNOWN",'Raw RetailSalesData'!B165)</f>
        <v>2026-01-02</v>
      </c>
      <c r="C165" t="str">
        <f>IF('Raw RetailSalesData'!C165="","UNKNOW",'Raw RetailSalesData'!C165)</f>
        <v>CUST-1016</v>
      </c>
      <c r="D165" t="str">
        <f>IF('Raw RetailSalesData'!D165="","UNKNOW",'Raw RetailSalesData'!D165)</f>
        <v>P203</v>
      </c>
      <c r="E165" s="5">
        <f>IF('Raw RetailSalesData'!E165="",'Raw RetailSalesData'!F165/'Raw RetailSalesData'!G165,'Raw RetailSalesData'!E165)</f>
        <v>17</v>
      </c>
      <c r="F165" s="7">
        <f>IF('Raw RetailSalesData'!F165="",'Raw RetailSalesData'!G165/'Raw RetailSalesData'!E165,'Raw RetailSalesData'!F165)</f>
        <v>63</v>
      </c>
      <c r="G165" s="7">
        <f t="shared" si="2"/>
        <v>1071</v>
      </c>
      <c r="H165" s="5" t="str">
        <f>IF('Raw RetailSalesData'!H165="","Unknown",'Raw RetailSalesData'!H165)</f>
        <v>LATAM</v>
      </c>
      <c r="I165" t="s">
        <v>2190</v>
      </c>
      <c r="J165" t="s">
        <v>2197</v>
      </c>
      <c r="K165" t="str">
        <f>TRIM('Raw RetailSalesData'!K165)</f>
        <v>#N/A</v>
      </c>
      <c r="L165" t="s">
        <v>31</v>
      </c>
    </row>
    <row r="166" spans="1:12" x14ac:dyDescent="0.3">
      <c r="A166" t="str">
        <f>IF(COUNTIF('Raw RetailSalesData'!$A:$L,'Raw RetailSalesData'!A166)=1,'Raw RetailSalesData'!A166,"")</f>
        <v>ORD-10184</v>
      </c>
      <c r="B166" t="str">
        <f>IF('Raw RetailSalesData'!B166="","UNKNOWN",'Raw RetailSalesData'!B166)</f>
        <v>2022-03-28</v>
      </c>
      <c r="C166" t="str">
        <f>IF('Raw RetailSalesData'!C166="","UNKNOW",'Raw RetailSalesData'!C166)</f>
        <v>CUST-1159</v>
      </c>
      <c r="D166" t="str">
        <f>IF('Raw RetailSalesData'!D166="","UNKNOW",'Raw RetailSalesData'!D166)</f>
        <v>C302</v>
      </c>
      <c r="E166" s="5">
        <f>IF('Raw RetailSalesData'!E166="",'Raw RetailSalesData'!F166/'Raw RetailSalesData'!G166,'Raw RetailSalesData'!E166)</f>
        <v>8</v>
      </c>
      <c r="F166" s="7">
        <f>IF('Raw RetailSalesData'!F166="",'Raw RetailSalesData'!G166/'Raw RetailSalesData'!E166,'Raw RetailSalesData'!F166)</f>
        <v>55</v>
      </c>
      <c r="G166" s="7">
        <f t="shared" si="2"/>
        <v>440</v>
      </c>
      <c r="H166" s="5" t="str">
        <f>IF('Raw RetailSalesData'!H166="","Unknown",'Raw RetailSalesData'!H166)</f>
        <v>NA</v>
      </c>
      <c r="I166" t="s">
        <v>28</v>
      </c>
      <c r="J166" t="s">
        <v>29</v>
      </c>
      <c r="K166" t="str">
        <f>TRIM('Raw RetailSalesData'!K166)</f>
        <v>Sales Rep 2</v>
      </c>
      <c r="L166" t="s">
        <v>21</v>
      </c>
    </row>
    <row r="167" spans="1:12" x14ac:dyDescent="0.3">
      <c r="A167" t="str">
        <f>IF(COUNTIF('Raw RetailSalesData'!$A:$L,'Raw RetailSalesData'!A167)=1,'Raw RetailSalesData'!A167,"")</f>
        <v>ORD-10186</v>
      </c>
      <c r="B167" t="str">
        <f>IF('Raw RetailSalesData'!B167="","UNKNOWN",'Raw RetailSalesData'!B167)</f>
        <v>2022-03-28</v>
      </c>
      <c r="C167" t="str">
        <f>IF('Raw RetailSalesData'!C167="","UNKNOW",'Raw RetailSalesData'!C167)</f>
        <v>CUST-1159</v>
      </c>
      <c r="D167" t="str">
        <f>IF('Raw RetailSalesData'!D167="","UNKNOW",'Raw RetailSalesData'!D167)</f>
        <v>C302</v>
      </c>
      <c r="E167" s="5">
        <f>IF('Raw RetailSalesData'!E167="",'Raw RetailSalesData'!F167/'Raw RetailSalesData'!G167,'Raw RetailSalesData'!E167)</f>
        <v>8</v>
      </c>
      <c r="F167" s="7">
        <f>IF('Raw RetailSalesData'!F167="",'Raw RetailSalesData'!G167/'Raw RetailSalesData'!E167,'Raw RetailSalesData'!F167)</f>
        <v>55</v>
      </c>
      <c r="G167" s="7">
        <f t="shared" si="2"/>
        <v>440</v>
      </c>
      <c r="H167" s="5" t="str">
        <f>IF('Raw RetailSalesData'!H167="","Unknown",'Raw RetailSalesData'!H167)</f>
        <v>NA</v>
      </c>
      <c r="I167" t="s">
        <v>28</v>
      </c>
      <c r="J167" t="s">
        <v>29</v>
      </c>
      <c r="K167" t="str">
        <f>TRIM('Raw RetailSalesData'!K167)</f>
        <v>Sales Rep 2</v>
      </c>
      <c r="L167" t="s">
        <v>21</v>
      </c>
    </row>
    <row r="168" spans="1:12" x14ac:dyDescent="0.3">
      <c r="A168" t="str">
        <f>IF(COUNTIF('Raw RetailSalesData'!$A:$L,'Raw RetailSalesData'!A168)=1,'Raw RetailSalesData'!A168,"")</f>
        <v>ORD-10187</v>
      </c>
      <c r="B168" t="str">
        <f>IF('Raw RetailSalesData'!B168="","UNKNOWN",'Raw RetailSalesData'!B168)</f>
        <v>2025-10-20</v>
      </c>
      <c r="C168" t="str">
        <f>IF('Raw RetailSalesData'!C168="","UNKNOW",'Raw RetailSalesData'!C168)</f>
        <v>CUST-1181</v>
      </c>
      <c r="D168" t="str">
        <f>IF('Raw RetailSalesData'!D168="","UNKNOW",'Raw RetailSalesData'!D168)</f>
        <v>P203</v>
      </c>
      <c r="E168" s="5">
        <f>IF('Raw RetailSalesData'!E168="",'Raw RetailSalesData'!F168/'Raw RetailSalesData'!G168,'Raw RetailSalesData'!E168)</f>
        <v>18</v>
      </c>
      <c r="F168" s="7">
        <f>IF('Raw RetailSalesData'!F168="",'Raw RetailSalesData'!G168/'Raw RetailSalesData'!E168,'Raw RetailSalesData'!F168)</f>
        <v>68</v>
      </c>
      <c r="G168" s="7">
        <f t="shared" si="2"/>
        <v>1224</v>
      </c>
      <c r="H168" s="5" t="str">
        <f>IF('Raw RetailSalesData'!H168="","Unknown",'Raw RetailSalesData'!H168)</f>
        <v>APAC</v>
      </c>
      <c r="I168" t="s">
        <v>151</v>
      </c>
      <c r="J168" t="s">
        <v>188</v>
      </c>
      <c r="K168" t="str">
        <f>TRIM('Raw RetailSalesData'!K168)</f>
        <v>Sales Rep 1</v>
      </c>
      <c r="L168" t="s">
        <v>31</v>
      </c>
    </row>
    <row r="169" spans="1:12" x14ac:dyDescent="0.3">
      <c r="A169" t="str">
        <f>IF(COUNTIF('Raw RetailSalesData'!$A:$L,'Raw RetailSalesData'!A169)=1,'Raw RetailSalesData'!A169,"")</f>
        <v>ORD-10188</v>
      </c>
      <c r="B169" t="str">
        <f>IF('Raw RetailSalesData'!B169="","UNKNOWN",'Raw RetailSalesData'!B169)</f>
        <v>2025-03-05</v>
      </c>
      <c r="C169" t="str">
        <f>IF('Raw RetailSalesData'!C169="","UNKNOW",'Raw RetailSalesData'!C169)</f>
        <v>CUST-1138</v>
      </c>
      <c r="D169" t="str">
        <f>IF('Raw RetailSalesData'!D169="","UNKNOW",'Raw RetailSalesData'!D169)</f>
        <v>P202</v>
      </c>
      <c r="E169" s="5">
        <f>IF('Raw RetailSalesData'!E169="",'Raw RetailSalesData'!F169/'Raw RetailSalesData'!G169,'Raw RetailSalesData'!E169)</f>
        <v>18</v>
      </c>
      <c r="F169" s="7">
        <f>IF('Raw RetailSalesData'!F169="",'Raw RetailSalesData'!G169/'Raw RetailSalesData'!E169,'Raw RetailSalesData'!F169)</f>
        <v>65</v>
      </c>
      <c r="G169" s="7">
        <f t="shared" si="2"/>
        <v>1170</v>
      </c>
      <c r="H169" s="5" t="str">
        <f>IF('Raw RetailSalesData'!H169="","Unknown",'Raw RetailSalesData'!H169)</f>
        <v>APAC</v>
      </c>
      <c r="I169" t="s">
        <v>151</v>
      </c>
      <c r="J169" t="s">
        <v>188</v>
      </c>
      <c r="K169" t="str">
        <f>TRIM('Raw RetailSalesData'!K169)</f>
        <v>Sales Rep 1</v>
      </c>
      <c r="L169" t="s">
        <v>31</v>
      </c>
    </row>
    <row r="170" spans="1:12" x14ac:dyDescent="0.3">
      <c r="A170" t="str">
        <f>IF(COUNTIF('Raw RetailSalesData'!$A:$L,'Raw RetailSalesData'!A170)=1,'Raw RetailSalesData'!A170,"")</f>
        <v>ORD-10189</v>
      </c>
      <c r="B170" t="str">
        <f>IF('Raw RetailSalesData'!B170="","UNKNOWN",'Raw RetailSalesData'!B170)</f>
        <v>2025-03-05</v>
      </c>
      <c r="C170" t="str">
        <f>IF('Raw RetailSalesData'!C170="","UNKNOW",'Raw RetailSalesData'!C170)</f>
        <v>CUST-1138</v>
      </c>
      <c r="D170" t="str">
        <f>IF('Raw RetailSalesData'!D170="","UNKNOW",'Raw RetailSalesData'!D170)</f>
        <v>P202</v>
      </c>
      <c r="E170" s="5">
        <f>IF('Raw RetailSalesData'!E170="",'Raw RetailSalesData'!F170/'Raw RetailSalesData'!G170,'Raw RetailSalesData'!E170)</f>
        <v>18</v>
      </c>
      <c r="F170" s="7">
        <f>IF('Raw RetailSalesData'!F170="",'Raw RetailSalesData'!G170/'Raw RetailSalesData'!E170,'Raw RetailSalesData'!F170)</f>
        <v>65</v>
      </c>
      <c r="G170" s="7">
        <f t="shared" si="2"/>
        <v>1170</v>
      </c>
      <c r="H170" s="5" t="str">
        <f>IF('Raw RetailSalesData'!H170="","Unknown",'Raw RetailSalesData'!H170)</f>
        <v>APAC</v>
      </c>
      <c r="I170" t="s">
        <v>151</v>
      </c>
      <c r="J170" t="s">
        <v>188</v>
      </c>
      <c r="K170" t="str">
        <f>TRIM('Raw RetailSalesData'!K170)</f>
        <v>Sales Rep 1</v>
      </c>
      <c r="L170" t="s">
        <v>31</v>
      </c>
    </row>
    <row r="171" spans="1:12" x14ac:dyDescent="0.3">
      <c r="A171" t="str">
        <f>IF(COUNTIF('Raw RetailSalesData'!$A:$L,'Raw RetailSalesData'!A171)=1,'Raw RetailSalesData'!A171,"")</f>
        <v>ORD-10191</v>
      </c>
      <c r="B171" t="str">
        <f>IF('Raw RetailSalesData'!B171="","UNKNOWN",'Raw RetailSalesData'!B171)</f>
        <v>2026-06-13</v>
      </c>
      <c r="C171" t="str">
        <f>IF('Raw RetailSalesData'!C171="","UNKNOW",'Raw RetailSalesData'!C171)</f>
        <v>CUST-1093</v>
      </c>
      <c r="D171" t="str">
        <f>IF('Raw RetailSalesData'!D171="","UNKNOW",'Raw RetailSalesData'!D171)</f>
        <v>C303</v>
      </c>
      <c r="E171" s="5">
        <f>IF('Raw RetailSalesData'!E171="",'Raw RetailSalesData'!F171/'Raw RetailSalesData'!G171,'Raw RetailSalesData'!E171)</f>
        <v>8</v>
      </c>
      <c r="F171" s="7">
        <f>IF('Raw RetailSalesData'!F171="",'Raw RetailSalesData'!G171/'Raw RetailSalesData'!E171,'Raw RetailSalesData'!F171)</f>
        <v>55</v>
      </c>
      <c r="G171" s="7">
        <f t="shared" si="2"/>
        <v>440</v>
      </c>
      <c r="H171" s="5" t="str">
        <f>IF('Raw RetailSalesData'!H171="","Unknown",'Raw RetailSalesData'!H171)</f>
        <v>LATAM</v>
      </c>
      <c r="I171" t="s">
        <v>18</v>
      </c>
      <c r="J171" t="s">
        <v>2197</v>
      </c>
      <c r="K171" t="str">
        <f>TRIM('Raw RetailSalesData'!K171)</f>
        <v>Sales Rep 2</v>
      </c>
      <c r="L171" t="s">
        <v>21</v>
      </c>
    </row>
    <row r="172" spans="1:12" x14ac:dyDescent="0.3">
      <c r="A172" t="str">
        <f>IF(COUNTIF('Raw RetailSalesData'!$A:$L,'Raw RetailSalesData'!A172)=1,'Raw RetailSalesData'!A172,"")</f>
        <v>ORD-10192</v>
      </c>
      <c r="B172" t="str">
        <f>IF('Raw RetailSalesData'!B172="","UNKNOWN",'Raw RetailSalesData'!B172)</f>
        <v>2023-05-08</v>
      </c>
      <c r="C172" t="str">
        <f>IF('Raw RetailSalesData'!C172="","UNKNOW",'Raw RetailSalesData'!C172)</f>
        <v>CUST-1163</v>
      </c>
      <c r="D172" t="str">
        <f>IF('Raw RetailSalesData'!D172="","UNKNOW",'Raw RetailSalesData'!D172)</f>
        <v>C302</v>
      </c>
      <c r="E172" s="5">
        <f>IF('Raw RetailSalesData'!E172="",'Raw RetailSalesData'!F172/'Raw RetailSalesData'!G172,'Raw RetailSalesData'!E172)</f>
        <v>2</v>
      </c>
      <c r="F172" s="7">
        <f>IF('Raw RetailSalesData'!F172="",'Raw RetailSalesData'!G172/'Raw RetailSalesData'!E172,'Raw RetailSalesData'!F172)</f>
        <v>45</v>
      </c>
      <c r="G172" s="7">
        <f t="shared" si="2"/>
        <v>90</v>
      </c>
      <c r="H172" s="5" t="str">
        <f>IF('Raw RetailSalesData'!H172="","Unknown",'Raw RetailSalesData'!H172)</f>
        <v>LATAM</v>
      </c>
      <c r="I172" t="s">
        <v>18</v>
      </c>
      <c r="J172" t="s">
        <v>2197</v>
      </c>
      <c r="K172" t="str">
        <f>TRIM('Raw RetailSalesData'!K172)</f>
        <v>Sales Rep 5</v>
      </c>
      <c r="L172" t="s">
        <v>21</v>
      </c>
    </row>
    <row r="173" spans="1:12" x14ac:dyDescent="0.3">
      <c r="A173" t="str">
        <f>IF(COUNTIF('Raw RetailSalesData'!$A:$L,'Raw RetailSalesData'!A173)=1,'Raw RetailSalesData'!A173,"")</f>
        <v>ORD-10193</v>
      </c>
      <c r="B173" t="str">
        <f>IF('Raw RetailSalesData'!B173="","UNKNOWN",'Raw RetailSalesData'!B173)</f>
        <v>2023-03-05</v>
      </c>
      <c r="C173" t="str">
        <f>IF('Raw RetailSalesData'!C173="","UNKNOW",'Raw RetailSalesData'!C173)</f>
        <v>UNKNOW</v>
      </c>
      <c r="D173" t="str">
        <f>IF('Raw RetailSalesData'!D173="","UNKNOW",'Raw RetailSalesData'!D173)</f>
        <v>UNKNOW</v>
      </c>
      <c r="E173" s="5">
        <f>IF('Raw RetailSalesData'!E173="",'Raw RetailSalesData'!F173/'Raw RetailSalesData'!G173,'Raw RetailSalesData'!E173)</f>
        <v>7</v>
      </c>
      <c r="F173" s="7">
        <f>IF('Raw RetailSalesData'!F173="",'Raw RetailSalesData'!G173/'Raw RetailSalesData'!E173,'Raw RetailSalesData'!F173)</f>
        <v>63</v>
      </c>
      <c r="G173" s="7">
        <f t="shared" si="2"/>
        <v>441</v>
      </c>
      <c r="H173" s="5" t="str">
        <f>IF('Raw RetailSalesData'!H173="","Unknown",'Raw RetailSalesData'!H173)</f>
        <v>NA</v>
      </c>
      <c r="I173" t="s">
        <v>28</v>
      </c>
      <c r="J173" t="s">
        <v>2196</v>
      </c>
      <c r="K173" t="str">
        <f>TRIM('Raw RetailSalesData'!K173)</f>
        <v>Michael Johnson</v>
      </c>
      <c r="L173" t="s">
        <v>31</v>
      </c>
    </row>
    <row r="174" spans="1:12" x14ac:dyDescent="0.3">
      <c r="A174" t="str">
        <f>IF(COUNTIF('Raw RetailSalesData'!$A:$L,'Raw RetailSalesData'!A174)=1,'Raw RetailSalesData'!A174,"")</f>
        <v>ORD-10194</v>
      </c>
      <c r="B174" t="str">
        <f>IF('Raw RetailSalesData'!B174="","UNKNOWN",'Raw RetailSalesData'!B174)</f>
        <v>2023-03-05</v>
      </c>
      <c r="C174" t="str">
        <f>IF('Raw RetailSalesData'!C174="","UNKNOW",'Raw RetailSalesData'!C174)</f>
        <v>CUST-1132</v>
      </c>
      <c r="D174" t="str">
        <f>IF('Raw RetailSalesData'!D174="","UNKNOW",'Raw RetailSalesData'!D174)</f>
        <v>C304</v>
      </c>
      <c r="E174" s="5">
        <f>IF('Raw RetailSalesData'!E174="",'Raw RetailSalesData'!F174/'Raw RetailSalesData'!G174,'Raw RetailSalesData'!E174)</f>
        <v>7</v>
      </c>
      <c r="F174" s="7">
        <f>IF('Raw RetailSalesData'!F174="",'Raw RetailSalesData'!G174/'Raw RetailSalesData'!E174,'Raw RetailSalesData'!F174)</f>
        <v>63</v>
      </c>
      <c r="G174" s="7">
        <f t="shared" si="2"/>
        <v>441</v>
      </c>
      <c r="H174" s="5" t="str">
        <f>IF('Raw RetailSalesData'!H174="","Unknown",'Raw RetailSalesData'!H174)</f>
        <v>NA</v>
      </c>
      <c r="I174" t="s">
        <v>28</v>
      </c>
      <c r="J174" t="s">
        <v>2196</v>
      </c>
      <c r="K174" t="str">
        <f>TRIM('Raw RetailSalesData'!K174)</f>
        <v>Michael Johnson</v>
      </c>
      <c r="L174" t="s">
        <v>31</v>
      </c>
    </row>
    <row r="175" spans="1:12" x14ac:dyDescent="0.3">
      <c r="A175" t="str">
        <f>IF(COUNTIF('Raw RetailSalesData'!$A:$L,'Raw RetailSalesData'!A175)=1,'Raw RetailSalesData'!A175,"")</f>
        <v>ORD-10195</v>
      </c>
      <c r="B175" t="str">
        <f>IF('Raw RetailSalesData'!B175="","UNKNOWN",'Raw RetailSalesData'!B175)</f>
        <v>2022-10-22</v>
      </c>
      <c r="C175" t="str">
        <f>IF('Raw RetailSalesData'!C175="","UNKNOW",'Raw RetailSalesData'!C175)</f>
        <v>CUST-1065</v>
      </c>
      <c r="D175" t="str">
        <f>IF('Raw RetailSalesData'!D175="","UNKNOW",'Raw RetailSalesData'!D175)</f>
        <v>P101</v>
      </c>
      <c r="E175" s="5">
        <f>IF('Raw RetailSalesData'!E175="",'Raw RetailSalesData'!F175/'Raw RetailSalesData'!G175,'Raw RetailSalesData'!E175)</f>
        <v>19</v>
      </c>
      <c r="F175" s="7">
        <f>IF('Raw RetailSalesData'!F175="",'Raw RetailSalesData'!G175/'Raw RetailSalesData'!E175,'Raw RetailSalesData'!F175)</f>
        <v>85</v>
      </c>
      <c r="G175" s="7">
        <f t="shared" si="2"/>
        <v>1615</v>
      </c>
      <c r="H175" s="5" t="str">
        <f>IF('Raw RetailSalesData'!H175="","Unknown",'Raw RetailSalesData'!H175)</f>
        <v>APAC</v>
      </c>
      <c r="I175" t="s">
        <v>183</v>
      </c>
      <c r="J175" t="s">
        <v>2190</v>
      </c>
      <c r="K175" t="str">
        <f>TRIM('Raw RetailSalesData'!K175)</f>
        <v>Sales Rep 4</v>
      </c>
      <c r="L175" t="s">
        <v>31</v>
      </c>
    </row>
    <row r="176" spans="1:12" x14ac:dyDescent="0.3">
      <c r="A176" t="str">
        <f>IF(COUNTIF('Raw RetailSalesData'!$A:$L,'Raw RetailSalesData'!A176)=1,'Raw RetailSalesData'!A176,"")</f>
        <v>ORD-10196</v>
      </c>
      <c r="B176" t="str">
        <f>IF('Raw RetailSalesData'!B176="","UNKNOWN",'Raw RetailSalesData'!B176)</f>
        <v>2022-10-22</v>
      </c>
      <c r="C176" t="str">
        <f>IF('Raw RetailSalesData'!C176="","UNKNOW",'Raw RetailSalesData'!C176)</f>
        <v>CUST-1065</v>
      </c>
      <c r="D176" t="str">
        <f>IF('Raw RetailSalesData'!D176="","UNKNOW",'Raw RetailSalesData'!D176)</f>
        <v>P101</v>
      </c>
      <c r="E176" s="5">
        <f>IF('Raw RetailSalesData'!E176="",'Raw RetailSalesData'!F176/'Raw RetailSalesData'!G176,'Raw RetailSalesData'!E176)</f>
        <v>19</v>
      </c>
      <c r="F176" s="7">
        <f>IF('Raw RetailSalesData'!F176="",'Raw RetailSalesData'!G176/'Raw RetailSalesData'!E176,'Raw RetailSalesData'!F176)</f>
        <v>85</v>
      </c>
      <c r="G176" s="7">
        <f t="shared" si="2"/>
        <v>1615</v>
      </c>
      <c r="H176" s="5" t="str">
        <f>IF('Raw RetailSalesData'!H176="","Unknown",'Raw RetailSalesData'!H176)</f>
        <v>APAC</v>
      </c>
      <c r="I176" t="s">
        <v>183</v>
      </c>
      <c r="J176" t="s">
        <v>184</v>
      </c>
      <c r="K176" t="str">
        <f>TRIM('Raw RetailSalesData'!K176)</f>
        <v>Sales Rep 4</v>
      </c>
      <c r="L176" t="s">
        <v>31</v>
      </c>
    </row>
    <row r="177" spans="1:12" x14ac:dyDescent="0.3">
      <c r="A177" t="str">
        <f>IF(COUNTIF('Raw RetailSalesData'!$A:$L,'Raw RetailSalesData'!A177)=1,'Raw RetailSalesData'!A177,"")</f>
        <v>ORD-10197</v>
      </c>
      <c r="B177" t="str">
        <f>IF('Raw RetailSalesData'!B177="","UNKNOWN",'Raw RetailSalesData'!B177)</f>
        <v>2024-11-15</v>
      </c>
      <c r="C177" t="str">
        <f>IF('Raw RetailSalesData'!C177="","UNKNOW",'Raw RetailSalesData'!C177)</f>
        <v>CUST-1098</v>
      </c>
      <c r="D177" t="str">
        <f>IF('Raw RetailSalesData'!D177="","UNKNOW",'Raw RetailSalesData'!D177)</f>
        <v>P101</v>
      </c>
      <c r="E177" s="5">
        <f>IF('Raw RetailSalesData'!E177="",'Raw RetailSalesData'!F177/'Raw RetailSalesData'!G177,'Raw RetailSalesData'!E177)</f>
        <v>9</v>
      </c>
      <c r="F177" s="7">
        <f>IF('Raw RetailSalesData'!F177="",'Raw RetailSalesData'!G177/'Raw RetailSalesData'!E177,'Raw RetailSalesData'!F177)</f>
        <v>80</v>
      </c>
      <c r="G177" s="7">
        <f t="shared" si="2"/>
        <v>720</v>
      </c>
      <c r="H177" s="5" t="str">
        <f>IF('Raw RetailSalesData'!H177="","Unknown",'Raw RetailSalesData'!H177)</f>
        <v>LATAM</v>
      </c>
      <c r="I177" t="s">
        <v>18</v>
      </c>
      <c r="J177" t="s">
        <v>2197</v>
      </c>
      <c r="K177" t="str">
        <f>TRIM('Raw RetailSalesData'!K177)</f>
        <v>Sales Rep 1</v>
      </c>
      <c r="L177" t="s">
        <v>46</v>
      </c>
    </row>
    <row r="178" spans="1:12" x14ac:dyDescent="0.3">
      <c r="A178" t="str">
        <f>IF(COUNTIF('Raw RetailSalesData'!$A:$L,'Raw RetailSalesData'!A178)=1,'Raw RetailSalesData'!A178,"")</f>
        <v>ORD-10198</v>
      </c>
      <c r="B178" t="str">
        <f>IF('Raw RetailSalesData'!B178="","UNKNOWN",'Raw RetailSalesData'!B178)</f>
        <v>2024-07-07</v>
      </c>
      <c r="C178" t="str">
        <f>IF('Raw RetailSalesData'!C178="","UNKNOW",'Raw RetailSalesData'!C178)</f>
        <v>CUST-1085</v>
      </c>
      <c r="D178" t="str">
        <f>IF('Raw RetailSalesData'!D178="","UNKNOW",'Raw RetailSalesData'!D178)</f>
        <v>P202</v>
      </c>
      <c r="E178" s="5">
        <f>IF('Raw RetailSalesData'!E178="",'Raw RetailSalesData'!F178/'Raw RetailSalesData'!G178,'Raw RetailSalesData'!E178)</f>
        <v>19</v>
      </c>
      <c r="F178" s="7">
        <f>IF('Raw RetailSalesData'!F178="",'Raw RetailSalesData'!G178/'Raw RetailSalesData'!E178,'Raw RetailSalesData'!F178)</f>
        <v>60</v>
      </c>
      <c r="G178" s="7">
        <f t="shared" si="2"/>
        <v>1140</v>
      </c>
      <c r="H178" s="5" t="str">
        <f>IF('Raw RetailSalesData'!H178="","Unknown",'Raw RetailSalesData'!H178)</f>
        <v>LATAM</v>
      </c>
      <c r="I178" t="s">
        <v>90</v>
      </c>
      <c r="J178" t="s">
        <v>2198</v>
      </c>
      <c r="K178" t="str">
        <f>TRIM('Raw RetailSalesData'!K178)</f>
        <v>Sales Rep 5</v>
      </c>
      <c r="L178" t="s">
        <v>46</v>
      </c>
    </row>
    <row r="179" spans="1:12" x14ac:dyDescent="0.3">
      <c r="A179" t="str">
        <f>IF(COUNTIF('Raw RetailSalesData'!$A:$L,'Raw RetailSalesData'!A179)=1,'Raw RetailSalesData'!A179,"")</f>
        <v>ORD-10199</v>
      </c>
      <c r="B179" t="str">
        <f>IF('Raw RetailSalesData'!B179="","UNKNOWN",'Raw RetailSalesData'!B179)</f>
        <v>2025-02-13</v>
      </c>
      <c r="C179" t="str">
        <f>IF('Raw RetailSalesData'!C179="","UNKNOW",'Raw RetailSalesData'!C179)</f>
        <v>CUST-1043</v>
      </c>
      <c r="D179" t="str">
        <f>IF('Raw RetailSalesData'!D179="","UNKNOW",'Raw RetailSalesData'!D179)</f>
        <v>C303</v>
      </c>
      <c r="E179" s="5">
        <f>IF('Raw RetailSalesData'!E179="",'Raw RetailSalesData'!F179/'Raw RetailSalesData'!G179,'Raw RetailSalesData'!E179)</f>
        <v>9</v>
      </c>
      <c r="F179" s="7">
        <f>IF('Raw RetailSalesData'!F179="",'Raw RetailSalesData'!G179/'Raw RetailSalesData'!E179,'Raw RetailSalesData'!F179)</f>
        <v>65</v>
      </c>
      <c r="G179" s="7">
        <f t="shared" si="2"/>
        <v>585</v>
      </c>
      <c r="H179" s="5" t="str">
        <f>IF('Raw RetailSalesData'!H179="","Unknown",'Raw RetailSalesData'!H179)</f>
        <v>NA</v>
      </c>
      <c r="I179" t="s">
        <v>100</v>
      </c>
      <c r="J179" t="s">
        <v>101</v>
      </c>
      <c r="K179" t="str">
        <f>TRIM('Raw RetailSalesData'!K179)</f>
        <v>Sales Rep 4</v>
      </c>
      <c r="L179" t="s">
        <v>46</v>
      </c>
    </row>
    <row r="180" spans="1:12" x14ac:dyDescent="0.3">
      <c r="A180" t="str">
        <f>IF(COUNTIF('Raw RetailSalesData'!$A:$L,'Raw RetailSalesData'!A180)=1,'Raw RetailSalesData'!A180,"")</f>
        <v>ORD-10200</v>
      </c>
      <c r="B180" t="str">
        <f>IF('Raw RetailSalesData'!B180="","UNKNOWN",'Raw RetailSalesData'!B180)</f>
        <v>2024-01-07</v>
      </c>
      <c r="C180" t="str">
        <f>IF('Raw RetailSalesData'!C180="","UNKNOW",'Raw RetailSalesData'!C180)</f>
        <v>CUST-1003</v>
      </c>
      <c r="D180" t="str">
        <f>IF('Raw RetailSalesData'!D180="","UNKNOW",'Raw RetailSalesData'!D180)</f>
        <v>P203</v>
      </c>
      <c r="E180" s="5">
        <f>IF('Raw RetailSalesData'!E180="",'Raw RetailSalesData'!F180/'Raw RetailSalesData'!G180,'Raw RetailSalesData'!E180)</f>
        <v>5</v>
      </c>
      <c r="F180" s="7">
        <f>IF('Raw RetailSalesData'!F180="",'Raw RetailSalesData'!G180/'Raw RetailSalesData'!E180,'Raw RetailSalesData'!F180)</f>
        <v>73</v>
      </c>
      <c r="G180" s="7">
        <f t="shared" si="2"/>
        <v>365</v>
      </c>
      <c r="H180" s="5" t="str">
        <f>IF('Raw RetailSalesData'!H180="","Unknown",'Raw RetailSalesData'!H180)</f>
        <v>NA</v>
      </c>
      <c r="I180" t="s">
        <v>100</v>
      </c>
      <c r="J180" t="s">
        <v>101</v>
      </c>
      <c r="K180" t="str">
        <f>TRIM('Raw RetailSalesData'!K180)</f>
        <v>Sales Rep 4</v>
      </c>
      <c r="L180" t="s">
        <v>21</v>
      </c>
    </row>
    <row r="181" spans="1:12" x14ac:dyDescent="0.3">
      <c r="A181" t="str">
        <f>IF(COUNTIF('Raw RetailSalesData'!$A:$L,'Raw RetailSalesData'!A181)=1,'Raw RetailSalesData'!A181,"")</f>
        <v>ORD-10201</v>
      </c>
      <c r="B181" t="str">
        <f>IF('Raw RetailSalesData'!B181="","UNKNOWN",'Raw RetailSalesData'!B181)</f>
        <v>2022-11-04</v>
      </c>
      <c r="C181" t="str">
        <f>IF('Raw RetailSalesData'!C181="","UNKNOW",'Raw RetailSalesData'!C181)</f>
        <v>CUST-1073</v>
      </c>
      <c r="D181" t="str">
        <f>IF('Raw RetailSalesData'!D181="","UNKNOW",'Raw RetailSalesData'!D181)</f>
        <v>C302</v>
      </c>
      <c r="E181" s="5">
        <f>IF('Raw RetailSalesData'!E181="",'Raw RetailSalesData'!F181/'Raw RetailSalesData'!G181,'Raw RetailSalesData'!E181)</f>
        <v>5</v>
      </c>
      <c r="F181" s="7">
        <f>IF('Raw RetailSalesData'!F181="",'Raw RetailSalesData'!G181/'Raw RetailSalesData'!E181,'Raw RetailSalesData'!F181)</f>
        <v>55</v>
      </c>
      <c r="G181" s="7">
        <f t="shared" si="2"/>
        <v>275</v>
      </c>
      <c r="H181" s="5" t="str">
        <f>IF('Raw RetailSalesData'!H181="","Unknown",'Raw RetailSalesData'!H181)</f>
        <v>NA</v>
      </c>
      <c r="I181" t="s">
        <v>100</v>
      </c>
      <c r="J181" t="s">
        <v>101</v>
      </c>
      <c r="K181" t="str">
        <f>TRIM('Raw RetailSalesData'!K181)</f>
        <v>Sales Rep 5</v>
      </c>
      <c r="L181" t="s">
        <v>31</v>
      </c>
    </row>
    <row r="182" spans="1:12" x14ac:dyDescent="0.3">
      <c r="A182" t="str">
        <f>IF(COUNTIF('Raw RetailSalesData'!$A:$L,'Raw RetailSalesData'!A182)=1,'Raw RetailSalesData'!A182,"")</f>
        <v>ORD-10202</v>
      </c>
      <c r="B182" t="str">
        <f>IF('Raw RetailSalesData'!B182="","UNKNOWN",'Raw RetailSalesData'!B182)</f>
        <v>2022-05-28</v>
      </c>
      <c r="C182" t="str">
        <f>IF('Raw RetailSalesData'!C182="","UNKNOW",'Raw RetailSalesData'!C182)</f>
        <v>CUST-1047</v>
      </c>
      <c r="D182" t="str">
        <f>IF('Raw RetailSalesData'!D182="","UNKNOW",'Raw RetailSalesData'!D182)</f>
        <v>P103</v>
      </c>
      <c r="E182" s="5">
        <f>IF('Raw RetailSalesData'!E182="",'Raw RetailSalesData'!F182/'Raw RetailSalesData'!G182,'Raw RetailSalesData'!E182)</f>
        <v>7</v>
      </c>
      <c r="F182" s="7">
        <f>IF('Raw RetailSalesData'!F182="",'Raw RetailSalesData'!G182/'Raw RetailSalesData'!E182,'Raw RetailSalesData'!F182)</f>
        <v>95</v>
      </c>
      <c r="G182" s="7">
        <f t="shared" si="2"/>
        <v>665</v>
      </c>
      <c r="H182" s="5" t="str">
        <f>IF('Raw RetailSalesData'!H182="","Unknown",'Raw RetailSalesData'!H182)</f>
        <v>EMEA</v>
      </c>
      <c r="I182" t="s">
        <v>225</v>
      </c>
      <c r="J182" t="s">
        <v>226</v>
      </c>
      <c r="K182" t="str">
        <f>TRIM('Raw RetailSalesData'!K182)</f>
        <v>Sales Rep 3</v>
      </c>
      <c r="L182" t="s">
        <v>31</v>
      </c>
    </row>
    <row r="183" spans="1:12" x14ac:dyDescent="0.3">
      <c r="A183" t="str">
        <f>IF(COUNTIF('Raw RetailSalesData'!$A:$L,'Raw RetailSalesData'!A183)=1,'Raw RetailSalesData'!A183,"")</f>
        <v>ORD-10204</v>
      </c>
      <c r="B183" t="str">
        <f>IF('Raw RetailSalesData'!B183="","UNKNOWN",'Raw RetailSalesData'!B183)</f>
        <v>2025-01-01</v>
      </c>
      <c r="C183" t="str">
        <f>IF('Raw RetailSalesData'!C183="","UNKNOW",'Raw RetailSalesData'!C183)</f>
        <v>CUST-1043</v>
      </c>
      <c r="D183" t="str">
        <f>IF('Raw RetailSalesData'!D183="","UNKNOW",'Raw RetailSalesData'!D183)</f>
        <v>P103</v>
      </c>
      <c r="E183" s="5">
        <f>IF('Raw RetailSalesData'!E183="",'Raw RetailSalesData'!F183/'Raw RetailSalesData'!G183,'Raw RetailSalesData'!E183)</f>
        <v>7</v>
      </c>
      <c r="F183" s="7">
        <f>IF('Raw RetailSalesData'!F183="",'Raw RetailSalesData'!G183/'Raw RetailSalesData'!E183,'Raw RetailSalesData'!F183)</f>
        <v>90</v>
      </c>
      <c r="G183" s="7">
        <f t="shared" si="2"/>
        <v>630</v>
      </c>
      <c r="H183" s="5" t="str">
        <f>IF('Raw RetailSalesData'!H183="","Unknown",'Raw RetailSalesData'!H183)</f>
        <v>LATAM</v>
      </c>
      <c r="I183" t="s">
        <v>90</v>
      </c>
      <c r="J183" t="s">
        <v>2198</v>
      </c>
      <c r="K183" t="str">
        <f>TRIM('Raw RetailSalesData'!K183)</f>
        <v>Sales Rep 4</v>
      </c>
      <c r="L183" t="s">
        <v>21</v>
      </c>
    </row>
    <row r="184" spans="1:12" x14ac:dyDescent="0.3">
      <c r="A184" t="str">
        <f>IF(COUNTIF('Raw RetailSalesData'!$A:$L,'Raw RetailSalesData'!A184)=1,'Raw RetailSalesData'!A184,"")</f>
        <v>ORD-10205</v>
      </c>
      <c r="B184" t="str">
        <f>IF('Raw RetailSalesData'!B184="","UNKNOWN",'Raw RetailSalesData'!B184)</f>
        <v>2025-10-30</v>
      </c>
      <c r="C184" t="str">
        <f>IF('Raw RetailSalesData'!C184="","UNKNOW",'Raw RetailSalesData'!C184)</f>
        <v>CUST-1081</v>
      </c>
      <c r="D184" t="str">
        <f>IF('Raw RetailSalesData'!D184="","UNKNOW",'Raw RetailSalesData'!D184)</f>
        <v>C302</v>
      </c>
      <c r="E184" s="5">
        <f>IF('Raw RetailSalesData'!E184="",'Raw RetailSalesData'!F184/'Raw RetailSalesData'!G184,'Raw RetailSalesData'!E184)</f>
        <v>16</v>
      </c>
      <c r="F184" s="7">
        <f>IF('Raw RetailSalesData'!F184="",'Raw RetailSalesData'!G184/'Raw RetailSalesData'!E184,'Raw RetailSalesData'!F184)</f>
        <v>50</v>
      </c>
      <c r="G184" s="7">
        <f t="shared" si="2"/>
        <v>800</v>
      </c>
      <c r="H184" s="5" t="str">
        <f>IF('Raw RetailSalesData'!H184="","Unknown",'Raw RetailSalesData'!H184)</f>
        <v>EMEA</v>
      </c>
      <c r="I184" t="s">
        <v>83</v>
      </c>
      <c r="J184" t="s">
        <v>84</v>
      </c>
      <c r="K184" t="str">
        <f>TRIM('Raw RetailSalesData'!K184)</f>
        <v>John Smith</v>
      </c>
      <c r="L184" t="s">
        <v>31</v>
      </c>
    </row>
    <row r="185" spans="1:12" x14ac:dyDescent="0.3">
      <c r="A185" t="str">
        <f>IF(COUNTIF('Raw RetailSalesData'!$A:$L,'Raw RetailSalesData'!A185)=1,'Raw RetailSalesData'!A185,"")</f>
        <v>ORD-10206</v>
      </c>
      <c r="B185" t="str">
        <f>IF('Raw RetailSalesData'!B185="","UNKNOWN",'Raw RetailSalesData'!B185)</f>
        <v>2026-09-11</v>
      </c>
      <c r="C185" t="str">
        <f>IF('Raw RetailSalesData'!C185="","UNKNOW",'Raw RetailSalesData'!C185)</f>
        <v>CUST-1154</v>
      </c>
      <c r="D185" t="str">
        <f>IF('Raw RetailSalesData'!D185="","UNKNOW",'Raw RetailSalesData'!D185)</f>
        <v>P203</v>
      </c>
      <c r="E185" s="5">
        <f>IF('Raw RetailSalesData'!E185="",'Raw RetailSalesData'!F185/'Raw RetailSalesData'!G185,'Raw RetailSalesData'!E185)</f>
        <v>18</v>
      </c>
      <c r="F185" s="7">
        <f>IF('Raw RetailSalesData'!F185="",'Raw RetailSalesData'!G185/'Raw RetailSalesData'!E185,'Raw RetailSalesData'!F185)</f>
        <v>73</v>
      </c>
      <c r="G185" s="7">
        <f t="shared" si="2"/>
        <v>1314</v>
      </c>
      <c r="H185" s="5" t="str">
        <f>IF('Raw RetailSalesData'!H185="","Unknown",'Raw RetailSalesData'!H185)</f>
        <v>NA</v>
      </c>
      <c r="I185" t="s">
        <v>28</v>
      </c>
      <c r="J185" t="s">
        <v>2196</v>
      </c>
      <c r="K185" t="str">
        <f>TRIM('Raw RetailSalesData'!K185)</f>
        <v>Michael Johnson</v>
      </c>
      <c r="L185" t="s">
        <v>21</v>
      </c>
    </row>
    <row r="186" spans="1:12" x14ac:dyDescent="0.3">
      <c r="A186" t="str">
        <f>IF(COUNTIF('Raw RetailSalesData'!$A:$L,'Raw RetailSalesData'!A186)=1,'Raw RetailSalesData'!A186,"")</f>
        <v>ORD-10207</v>
      </c>
      <c r="B186" t="str">
        <f>IF('Raw RetailSalesData'!B186="","UNKNOWN",'Raw RetailSalesData'!B186)</f>
        <v>2026-09-11</v>
      </c>
      <c r="C186" t="str">
        <f>IF('Raw RetailSalesData'!C186="","UNKNOW",'Raw RetailSalesData'!C186)</f>
        <v>CUST-1154</v>
      </c>
      <c r="D186" t="str">
        <f>IF('Raw RetailSalesData'!D186="","UNKNOW",'Raw RetailSalesData'!D186)</f>
        <v>P203</v>
      </c>
      <c r="E186" s="5">
        <f>IF('Raw RetailSalesData'!E186="",'Raw RetailSalesData'!F186/'Raw RetailSalesData'!G186,'Raw RetailSalesData'!E186)</f>
        <v>18</v>
      </c>
      <c r="F186" s="7">
        <f>IF('Raw RetailSalesData'!F186="",'Raw RetailSalesData'!G186/'Raw RetailSalesData'!E186,'Raw RetailSalesData'!F186)</f>
        <v>73</v>
      </c>
      <c r="G186" s="7">
        <f t="shared" si="2"/>
        <v>1314</v>
      </c>
      <c r="H186" s="5" t="str">
        <f>IF('Raw RetailSalesData'!H186="","Unknown",'Raw RetailSalesData'!H186)</f>
        <v>NA</v>
      </c>
      <c r="I186" t="s">
        <v>28</v>
      </c>
      <c r="J186" t="s">
        <v>2196</v>
      </c>
      <c r="K186" t="str">
        <f>TRIM('Raw RetailSalesData'!K186)</f>
        <v>Michael Johnson</v>
      </c>
      <c r="L186" t="s">
        <v>21</v>
      </c>
    </row>
    <row r="187" spans="1:12" x14ac:dyDescent="0.3">
      <c r="A187" t="str">
        <f>IF(COUNTIF('Raw RetailSalesData'!$A:$L,'Raw RetailSalesData'!A187)=1,'Raw RetailSalesData'!A187,"")</f>
        <v>ORD-10208</v>
      </c>
      <c r="B187" t="str">
        <f>IF('Raw RetailSalesData'!B187="","UNKNOWN",'Raw RetailSalesData'!B187)</f>
        <v>UNKNOWN</v>
      </c>
      <c r="C187" t="str">
        <f>IF('Raw RetailSalesData'!C187="","UNKNOW",'Raw RetailSalesData'!C187)</f>
        <v>CUST-1035</v>
      </c>
      <c r="D187" t="str">
        <f>IF('Raw RetailSalesData'!D187="","UNKNOW",'Raw RetailSalesData'!D187)</f>
        <v>C303</v>
      </c>
      <c r="E187" s="5">
        <f>IF('Raw RetailSalesData'!E187="",'Raw RetailSalesData'!F187/'Raw RetailSalesData'!G187,'Raw RetailSalesData'!E187)</f>
        <v>11</v>
      </c>
      <c r="F187" s="7">
        <f>IF('Raw RetailSalesData'!F187="",'Raw RetailSalesData'!G187/'Raw RetailSalesData'!E187,'Raw RetailSalesData'!F187)</f>
        <v>55</v>
      </c>
      <c r="G187" s="7">
        <f t="shared" si="2"/>
        <v>605</v>
      </c>
      <c r="H187" s="5" t="str">
        <f>IF('Raw RetailSalesData'!H187="","Unknown",'Raw RetailSalesData'!H187)</f>
        <v>LATAM</v>
      </c>
      <c r="I187" t="s">
        <v>18</v>
      </c>
      <c r="J187" t="s">
        <v>2197</v>
      </c>
      <c r="K187" t="str">
        <f>TRIM('Raw RetailSalesData'!K187)</f>
        <v>Sales Rep 5</v>
      </c>
      <c r="L187" t="s">
        <v>21</v>
      </c>
    </row>
    <row r="188" spans="1:12" x14ac:dyDescent="0.3">
      <c r="A188" t="str">
        <f>IF(COUNTIF('Raw RetailSalesData'!$A:$L,'Raw RetailSalesData'!A188)=1,'Raw RetailSalesData'!A188,"")</f>
        <v>ORD-10209</v>
      </c>
      <c r="B188" t="str">
        <f>IF('Raw RetailSalesData'!B188="","UNKNOWN",'Raw RetailSalesData'!B188)</f>
        <v xml:space="preserve"> 2023-12-25 </v>
      </c>
      <c r="C188" t="str">
        <f>IF('Raw RetailSalesData'!C188="","UNKNOW",'Raw RetailSalesData'!C188)</f>
        <v>CUST-1097</v>
      </c>
      <c r="D188" t="str">
        <f>IF('Raw RetailSalesData'!D188="","UNKNOW",'Raw RetailSalesData'!D188)</f>
        <v>P102</v>
      </c>
      <c r="E188" s="5">
        <f>IF('Raw RetailSalesData'!E188="",'Raw RetailSalesData'!F188/'Raw RetailSalesData'!G188,'Raw RetailSalesData'!E188)</f>
        <v>4</v>
      </c>
      <c r="F188" s="7">
        <f>IF('Raw RetailSalesData'!F188="",'Raw RetailSalesData'!G188/'Raw RetailSalesData'!E188,'Raw RetailSalesData'!F188)</f>
        <v>80</v>
      </c>
      <c r="G188" s="7">
        <f t="shared" si="2"/>
        <v>320</v>
      </c>
      <c r="H188" s="5" t="str">
        <f>IF('Raw RetailSalesData'!H188="","Unknown",'Raw RetailSalesData'!H188)</f>
        <v>APAC</v>
      </c>
      <c r="I188" t="s">
        <v>71</v>
      </c>
      <c r="J188" t="s">
        <v>72</v>
      </c>
      <c r="K188" t="str">
        <f>TRIM('Raw RetailSalesData'!K188)</f>
        <v>Hiroshi Tanaka</v>
      </c>
      <c r="L188" t="s">
        <v>46</v>
      </c>
    </row>
    <row r="189" spans="1:12" x14ac:dyDescent="0.3">
      <c r="A189" t="str">
        <f>IF(COUNTIF('Raw RetailSalesData'!$A:$L,'Raw RetailSalesData'!A189)=1,'Raw RetailSalesData'!A189,"")</f>
        <v>ORD-10210</v>
      </c>
      <c r="B189" t="str">
        <f>IF('Raw RetailSalesData'!B189="","UNKNOWN",'Raw RetailSalesData'!B189)</f>
        <v>2023-09-17</v>
      </c>
      <c r="C189" t="str">
        <f>IF('Raw RetailSalesData'!C189="","UNKNOW",'Raw RetailSalesData'!C189)</f>
        <v>CUST-1142</v>
      </c>
      <c r="D189" t="str">
        <f>IF('Raw RetailSalesData'!D189="","UNKNOW",'Raw RetailSalesData'!D189)</f>
        <v>P202</v>
      </c>
      <c r="E189" s="5">
        <f>IF('Raw RetailSalesData'!E189="",'Raw RetailSalesData'!F189/'Raw RetailSalesData'!G189,'Raw RetailSalesData'!E189)</f>
        <v>15</v>
      </c>
      <c r="F189" s="7">
        <f>IF('Raw RetailSalesData'!F189="",'Raw RetailSalesData'!G189/'Raw RetailSalesData'!E189,'Raw RetailSalesData'!F189)</f>
        <v>70</v>
      </c>
      <c r="G189" s="7">
        <f t="shared" si="2"/>
        <v>1050</v>
      </c>
      <c r="H189" s="5" t="str">
        <f>IF('Raw RetailSalesData'!H189="","Unknown",'Raw RetailSalesData'!H189)</f>
        <v>Unknown</v>
      </c>
      <c r="I189" t="s">
        <v>28</v>
      </c>
      <c r="J189" t="s">
        <v>2196</v>
      </c>
      <c r="K189" t="str">
        <f>TRIM('Raw RetailSalesData'!K189)</f>
        <v>Michael Johnson</v>
      </c>
      <c r="L189" t="s">
        <v>21</v>
      </c>
    </row>
    <row r="190" spans="1:12" x14ac:dyDescent="0.3">
      <c r="A190" t="str">
        <f>IF(COUNTIF('Raw RetailSalesData'!$A:$L,'Raw RetailSalesData'!A190)=1,'Raw RetailSalesData'!A190,"")</f>
        <v>ORD-10212</v>
      </c>
      <c r="B190" t="str">
        <f>IF('Raw RetailSalesData'!B190="","UNKNOWN",'Raw RetailSalesData'!B190)</f>
        <v>2025-09-04</v>
      </c>
      <c r="C190" t="str">
        <f>IF('Raw RetailSalesData'!C190="","UNKNOW",'Raw RetailSalesData'!C190)</f>
        <v>CUST-1010</v>
      </c>
      <c r="D190" t="str">
        <f>IF('Raw RetailSalesData'!D190="","UNKNOW",'Raw RetailSalesData'!D190)</f>
        <v>C304</v>
      </c>
      <c r="E190" s="5">
        <f>IF('Raw RetailSalesData'!E190="",'Raw RetailSalesData'!F190/'Raw RetailSalesData'!G190,'Raw RetailSalesData'!E190)</f>
        <v>18</v>
      </c>
      <c r="F190" s="7">
        <f>IF('Raw RetailSalesData'!F190="",'Raw RetailSalesData'!G190/'Raw RetailSalesData'!E190,'Raw RetailSalesData'!F190)</f>
        <v>63</v>
      </c>
      <c r="G190" s="7">
        <f t="shared" si="2"/>
        <v>1134</v>
      </c>
      <c r="H190" s="5" t="str">
        <f>IF('Raw RetailSalesData'!H190="","Unknown",'Raw RetailSalesData'!H190)</f>
        <v>NA</v>
      </c>
      <c r="I190" t="s">
        <v>28</v>
      </c>
      <c r="J190" t="s">
        <v>2196</v>
      </c>
      <c r="K190" t="str">
        <f>TRIM('Raw RetailSalesData'!K190)</f>
        <v>Michael Johnson</v>
      </c>
      <c r="L190" t="s">
        <v>31</v>
      </c>
    </row>
    <row r="191" spans="1:12" x14ac:dyDescent="0.3">
      <c r="A191" t="str">
        <f>IF(COUNTIF('Raw RetailSalesData'!$A:$L,'Raw RetailSalesData'!A191)=1,'Raw RetailSalesData'!A191,"")</f>
        <v>ORD-10213</v>
      </c>
      <c r="B191" t="str">
        <f>IF('Raw RetailSalesData'!B191="","UNKNOWN",'Raw RetailSalesData'!B191)</f>
        <v>2025-09-04</v>
      </c>
      <c r="C191" t="str">
        <f>IF('Raw RetailSalesData'!C191="","UNKNOW",'Raw RetailSalesData'!C191)</f>
        <v>CUST-1010</v>
      </c>
      <c r="D191" t="str">
        <f>IF('Raw RetailSalesData'!D191="","UNKNOW",'Raw RetailSalesData'!D191)</f>
        <v>C304</v>
      </c>
      <c r="E191" s="5">
        <f>IF('Raw RetailSalesData'!E191="",'Raw RetailSalesData'!F191/'Raw RetailSalesData'!G191,'Raw RetailSalesData'!E191)</f>
        <v>18</v>
      </c>
      <c r="F191" s="7">
        <f>IF('Raw RetailSalesData'!F191="",'Raw RetailSalesData'!G191/'Raw RetailSalesData'!E191,'Raw RetailSalesData'!F191)</f>
        <v>63</v>
      </c>
      <c r="G191" s="7">
        <f t="shared" si="2"/>
        <v>1134</v>
      </c>
      <c r="H191" s="5" t="str">
        <f>IF('Raw RetailSalesData'!H191="","Unknown",'Raw RetailSalesData'!H191)</f>
        <v>NA</v>
      </c>
      <c r="I191" t="s">
        <v>28</v>
      </c>
      <c r="J191" t="s">
        <v>2196</v>
      </c>
      <c r="K191" t="str">
        <f>TRIM('Raw RetailSalesData'!K191)</f>
        <v>Michael Johnson</v>
      </c>
      <c r="L191" t="s">
        <v>31</v>
      </c>
    </row>
    <row r="192" spans="1:12" x14ac:dyDescent="0.3">
      <c r="A192" t="str">
        <f>IF(COUNTIF('Raw RetailSalesData'!$A:$L,'Raw RetailSalesData'!A192)=1,'Raw RetailSalesData'!A192,"")</f>
        <v>ORD-10214</v>
      </c>
      <c r="B192" t="str">
        <f>IF('Raw RetailSalesData'!B192="","UNKNOWN",'Raw RetailSalesData'!B192)</f>
        <v>2023-11-15</v>
      </c>
      <c r="C192" t="str">
        <f>IF('Raw RetailSalesData'!C192="","UNKNOW",'Raw RetailSalesData'!C192)</f>
        <v>CUST-1161</v>
      </c>
      <c r="D192" t="str">
        <f>IF('Raw RetailSalesData'!D192="","UNKNOW",'Raw RetailSalesData'!D192)</f>
        <v>P203</v>
      </c>
      <c r="E192" s="5">
        <f>IF('Raw RetailSalesData'!E192="",'Raw RetailSalesData'!F192/'Raw RetailSalesData'!G192,'Raw RetailSalesData'!E192)</f>
        <v>15</v>
      </c>
      <c r="F192" s="7">
        <f>IF('Raw RetailSalesData'!F192="",'Raw RetailSalesData'!G192/'Raw RetailSalesData'!E192,'Raw RetailSalesData'!F192)</f>
        <v>68</v>
      </c>
      <c r="G192" s="7">
        <f t="shared" si="2"/>
        <v>1020</v>
      </c>
      <c r="H192" s="5" t="str">
        <f>IF('Raw RetailSalesData'!H192="","Unknown",'Raw RetailSalesData'!H192)</f>
        <v>EMEA</v>
      </c>
      <c r="I192" t="s">
        <v>83</v>
      </c>
      <c r="J192" t="s">
        <v>84</v>
      </c>
      <c r="K192" t="str">
        <f>TRIM('Raw RetailSalesData'!K192)</f>
        <v>John Smith</v>
      </c>
      <c r="L192" t="s">
        <v>46</v>
      </c>
    </row>
    <row r="193" spans="1:12" x14ac:dyDescent="0.3">
      <c r="A193" t="str">
        <f>IF(COUNTIF('Raw RetailSalesData'!$A:$L,'Raw RetailSalesData'!A193)=1,'Raw RetailSalesData'!A193,"")</f>
        <v>ORD-10215</v>
      </c>
      <c r="B193" t="str">
        <f>IF('Raw RetailSalesData'!B193="","UNKNOWN",'Raw RetailSalesData'!B193)</f>
        <v>2025-12-10</v>
      </c>
      <c r="C193" t="str">
        <f>IF('Raw RetailSalesData'!C193="","UNKNOW",'Raw RetailSalesData'!C193)</f>
        <v>CUST-1116</v>
      </c>
      <c r="D193" t="str">
        <f>IF('Raw RetailSalesData'!D193="","UNKNOW",'Raw RetailSalesData'!D193)</f>
        <v xml:space="preserve"> P203 </v>
      </c>
      <c r="E193" s="5">
        <f>IF('Raw RetailSalesData'!E193="",'Raw RetailSalesData'!F193/'Raw RetailSalesData'!G193,'Raw RetailSalesData'!E193)</f>
        <v>3</v>
      </c>
      <c r="F193" s="7">
        <f>IF('Raw RetailSalesData'!F193="",'Raw RetailSalesData'!G193/'Raw RetailSalesData'!E193,'Raw RetailSalesData'!F193)</f>
        <v>63</v>
      </c>
      <c r="G193" s="7">
        <f t="shared" si="2"/>
        <v>189</v>
      </c>
      <c r="H193" s="5" t="str">
        <f>IF('Raw RetailSalesData'!H193="","Unknown",'Raw RetailSalesData'!H193)</f>
        <v>LATAM</v>
      </c>
      <c r="I193" t="s">
        <v>18</v>
      </c>
      <c r="J193" t="s">
        <v>2197</v>
      </c>
      <c r="K193" t="str">
        <f>TRIM('Raw RetailSalesData'!K193)</f>
        <v>Sales Rep 5</v>
      </c>
      <c r="L193" t="s">
        <v>46</v>
      </c>
    </row>
    <row r="194" spans="1:12" x14ac:dyDescent="0.3">
      <c r="A194" t="str">
        <f>IF(COUNTIF('Raw RetailSalesData'!$A:$L,'Raw RetailSalesData'!A194)=1,'Raw RetailSalesData'!A194,"")</f>
        <v>ORD-10216</v>
      </c>
      <c r="B194" t="str">
        <f>IF('Raw RetailSalesData'!B194="","UNKNOWN",'Raw RetailSalesData'!B194)</f>
        <v>2025-03-18</v>
      </c>
      <c r="C194" t="str">
        <f>IF('Raw RetailSalesData'!C194="","UNKNOW",'Raw RetailSalesData'!C194)</f>
        <v>CUST-1127</v>
      </c>
      <c r="D194" t="str">
        <f>IF('Raw RetailSalesData'!D194="","UNKNOW",'Raw RetailSalesData'!D194)</f>
        <v>P102</v>
      </c>
      <c r="E194" s="5">
        <f>IF('Raw RetailSalesData'!E194="",'Raw RetailSalesData'!F194/'Raw RetailSalesData'!G194,'Raw RetailSalesData'!E194)</f>
        <v>20</v>
      </c>
      <c r="F194" s="7">
        <f>IF('Raw RetailSalesData'!F194="",'Raw RetailSalesData'!G194/'Raw RetailSalesData'!E194,'Raw RetailSalesData'!F194)</f>
        <v>80</v>
      </c>
      <c r="G194" s="7">
        <f t="shared" si="2"/>
        <v>1600</v>
      </c>
      <c r="H194" s="5" t="str">
        <f>IF('Raw RetailSalesData'!H194="","Unknown",'Raw RetailSalesData'!H194)</f>
        <v>APAC</v>
      </c>
      <c r="I194" t="s">
        <v>183</v>
      </c>
      <c r="J194" t="s">
        <v>184</v>
      </c>
      <c r="K194" t="str">
        <f>TRIM('Raw RetailSalesData'!K194)</f>
        <v>Sales Rep 2</v>
      </c>
      <c r="L194" t="s">
        <v>46</v>
      </c>
    </row>
    <row r="195" spans="1:12" x14ac:dyDescent="0.3">
      <c r="A195" t="str">
        <f>IF(COUNTIF('Raw RetailSalesData'!$A:$L,'Raw RetailSalesData'!A195)=1,'Raw RetailSalesData'!A195,"")</f>
        <v>ORD-10217</v>
      </c>
      <c r="B195" t="str">
        <f>IF('Raw RetailSalesData'!B195="","UNKNOWN",'Raw RetailSalesData'!B195)</f>
        <v>2023-07-22</v>
      </c>
      <c r="C195" t="str">
        <f>IF('Raw RetailSalesData'!C195="","UNKNOW",'Raw RetailSalesData'!C195)</f>
        <v>CUST-1100</v>
      </c>
      <c r="D195" t="str">
        <f>IF('Raw RetailSalesData'!D195="","UNKNOW",'Raw RetailSalesData'!D195)</f>
        <v>P203</v>
      </c>
      <c r="E195" s="5">
        <f>IF('Raw RetailSalesData'!E195="",'Raw RetailSalesData'!F195/'Raw RetailSalesData'!G195,'Raw RetailSalesData'!E195)</f>
        <v>7</v>
      </c>
      <c r="F195" s="7">
        <f>IF('Raw RetailSalesData'!F195="",'Raw RetailSalesData'!G195/'Raw RetailSalesData'!E195,'Raw RetailSalesData'!F195)</f>
        <v>68</v>
      </c>
      <c r="G195" s="7">
        <f t="shared" ref="G195:G258" si="3">F195*E195</f>
        <v>476</v>
      </c>
      <c r="H195" s="5" t="str">
        <f>IF('Raw RetailSalesData'!H195="","Unknown",'Raw RetailSalesData'!H195)</f>
        <v>APAC</v>
      </c>
      <c r="I195" t="s">
        <v>71</v>
      </c>
      <c r="J195" t="s">
        <v>72</v>
      </c>
      <c r="K195" t="str">
        <f>TRIM('Raw RetailSalesData'!K195)</f>
        <v>Hiroshi Tanaka</v>
      </c>
      <c r="L195" t="s">
        <v>31</v>
      </c>
    </row>
    <row r="196" spans="1:12" x14ac:dyDescent="0.3">
      <c r="A196" t="str">
        <f>IF(COUNTIF('Raw RetailSalesData'!$A:$L,'Raw RetailSalesData'!A196)=1,'Raw RetailSalesData'!A196,"")</f>
        <v>ORD-10218</v>
      </c>
      <c r="B196" t="str">
        <f>IF('Raw RetailSalesData'!B196="","UNKNOWN",'Raw RetailSalesData'!B196)</f>
        <v>2022-11-27</v>
      </c>
      <c r="C196" t="str">
        <f>IF('Raw RetailSalesData'!C196="","UNKNOW",'Raw RetailSalesData'!C196)</f>
        <v>CUST-1157</v>
      </c>
      <c r="D196" t="str">
        <f>IF('Raw RetailSalesData'!D196="","UNKNOW",'Raw RetailSalesData'!D196)</f>
        <v xml:space="preserve"> P103 </v>
      </c>
      <c r="E196" s="5">
        <f>IF('Raw RetailSalesData'!E196="",'Raw RetailSalesData'!F196/'Raw RetailSalesData'!G196,'Raw RetailSalesData'!E196)</f>
        <v>1</v>
      </c>
      <c r="F196" s="7">
        <f>IF('Raw RetailSalesData'!F196="",'Raw RetailSalesData'!G196/'Raw RetailSalesData'!E196,'Raw RetailSalesData'!F196)</f>
        <v>100</v>
      </c>
      <c r="G196" s="7">
        <f t="shared" si="3"/>
        <v>100</v>
      </c>
      <c r="H196" s="5" t="str">
        <f>IF('Raw RetailSalesData'!H196="","Unknown",'Raw RetailSalesData'!H196)</f>
        <v>NA</v>
      </c>
      <c r="I196" t="s">
        <v>28</v>
      </c>
      <c r="J196" t="s">
        <v>2196</v>
      </c>
      <c r="K196" t="str">
        <f>TRIM('Raw RetailSalesData'!K196)</f>
        <v>Michael Johnson</v>
      </c>
      <c r="L196" t="s">
        <v>31</v>
      </c>
    </row>
    <row r="197" spans="1:12" x14ac:dyDescent="0.3">
      <c r="A197" t="str">
        <f>IF(COUNTIF('Raw RetailSalesData'!$A:$L,'Raw RetailSalesData'!A197)=1,'Raw RetailSalesData'!A197,"")</f>
        <v>ORD-10219</v>
      </c>
      <c r="B197" t="str">
        <f>IF('Raw RetailSalesData'!B197="","UNKNOWN",'Raw RetailSalesData'!B197)</f>
        <v>2023-05-07</v>
      </c>
      <c r="C197" t="str">
        <f>IF('Raw RetailSalesData'!C197="","UNKNOW",'Raw RetailSalesData'!C197)</f>
        <v>CUST-1101</v>
      </c>
      <c r="D197" t="str">
        <f>IF('Raw RetailSalesData'!D197="","UNKNOW",'Raw RetailSalesData'!D197)</f>
        <v>P203</v>
      </c>
      <c r="E197" s="5">
        <f>IF('Raw RetailSalesData'!E197="",'Raw RetailSalesData'!F197/'Raw RetailSalesData'!G197,'Raw RetailSalesData'!E197)</f>
        <v>4</v>
      </c>
      <c r="F197" s="7">
        <f>IF('Raw RetailSalesData'!F197="",'Raw RetailSalesData'!G197/'Raw RetailSalesData'!E197,'Raw RetailSalesData'!F197)</f>
        <v>68</v>
      </c>
      <c r="G197" s="7">
        <f t="shared" si="3"/>
        <v>272</v>
      </c>
      <c r="H197" s="5" t="str">
        <f>IF('Raw RetailSalesData'!H197="","Unknown",'Raw RetailSalesData'!H197)</f>
        <v>EMEA</v>
      </c>
      <c r="I197" t="s">
        <v>83</v>
      </c>
      <c r="J197" t="s">
        <v>84</v>
      </c>
      <c r="K197" t="str">
        <f>TRIM('Raw RetailSalesData'!K197)</f>
        <v>John Smith</v>
      </c>
      <c r="L197" t="s">
        <v>46</v>
      </c>
    </row>
    <row r="198" spans="1:12" x14ac:dyDescent="0.3">
      <c r="A198" t="str">
        <f>IF(COUNTIF('Raw RetailSalesData'!$A:$L,'Raw RetailSalesData'!A198)=1,'Raw RetailSalesData'!A198,"")</f>
        <v>ORD-10220</v>
      </c>
      <c r="B198" t="str">
        <f>IF('Raw RetailSalesData'!B198="","UNKNOWN",'Raw RetailSalesData'!B198)</f>
        <v>2022-09-22</v>
      </c>
      <c r="C198" t="str">
        <f>IF('Raw RetailSalesData'!C198="","UNKNOW",'Raw RetailSalesData'!C198)</f>
        <v>CUST-1047</v>
      </c>
      <c r="D198" t="str">
        <f>IF('Raw RetailSalesData'!D198="","UNKNOW",'Raw RetailSalesData'!D198)</f>
        <v>P102</v>
      </c>
      <c r="E198" s="5">
        <f>IF('Raw RetailSalesData'!E198="",'Raw RetailSalesData'!F198/'Raw RetailSalesData'!G198,'Raw RetailSalesData'!E198)</f>
        <v>13</v>
      </c>
      <c r="F198" s="7">
        <f>IF('Raw RetailSalesData'!F198="",'Raw RetailSalesData'!G198/'Raw RetailSalesData'!E198,'Raw RetailSalesData'!F198)</f>
        <v>80</v>
      </c>
      <c r="G198" s="7">
        <f t="shared" si="3"/>
        <v>1040</v>
      </c>
      <c r="H198" s="5" t="str">
        <f>IF('Raw RetailSalesData'!H198="","Unknown",'Raw RetailSalesData'!H198)</f>
        <v>EMEA</v>
      </c>
      <c r="I198" t="s">
        <v>225</v>
      </c>
      <c r="J198" t="s">
        <v>226</v>
      </c>
      <c r="K198" t="str">
        <f>TRIM('Raw RetailSalesData'!K198)</f>
        <v>Sales Rep 2</v>
      </c>
      <c r="L198" t="s">
        <v>46</v>
      </c>
    </row>
    <row r="199" spans="1:12" x14ac:dyDescent="0.3">
      <c r="A199" t="str">
        <f>IF(COUNTIF('Raw RetailSalesData'!$A:$L,'Raw RetailSalesData'!A199)=1,'Raw RetailSalesData'!A199,"")</f>
        <v>ORD-10221</v>
      </c>
      <c r="B199" t="str">
        <f>IF('Raw RetailSalesData'!B199="","UNKNOWN",'Raw RetailSalesData'!B199)</f>
        <v>2025-05-14</v>
      </c>
      <c r="C199" t="str">
        <f>IF('Raw RetailSalesData'!C199="","UNKNOW",'Raw RetailSalesData'!C199)</f>
        <v>CUST-1036</v>
      </c>
      <c r="D199" t="str">
        <f>IF('Raw RetailSalesData'!D199="","UNKNOW",'Raw RetailSalesData'!D199)</f>
        <v>C304</v>
      </c>
      <c r="E199" s="5">
        <f>IF('Raw RetailSalesData'!E199="",'Raw RetailSalesData'!F199/'Raw RetailSalesData'!G199,'Raw RetailSalesData'!E199)</f>
        <v>17</v>
      </c>
      <c r="F199" s="7">
        <f>IF('Raw RetailSalesData'!F199="",'Raw RetailSalesData'!G199/'Raw RetailSalesData'!E199,'Raw RetailSalesData'!F199)</f>
        <v>53</v>
      </c>
      <c r="G199" s="7">
        <f t="shared" si="3"/>
        <v>901</v>
      </c>
      <c r="H199" s="5" t="str">
        <f>IF('Raw RetailSalesData'!H199="","Unknown",'Raw RetailSalesData'!H199)</f>
        <v>LATAM</v>
      </c>
      <c r="I199" t="s">
        <v>90</v>
      </c>
      <c r="J199" t="s">
        <v>2198</v>
      </c>
      <c r="K199" t="str">
        <f>TRIM('Raw RetailSalesData'!K199)</f>
        <v>Sales Rep 3</v>
      </c>
      <c r="L199" t="s">
        <v>46</v>
      </c>
    </row>
    <row r="200" spans="1:12" x14ac:dyDescent="0.3">
      <c r="A200" t="str">
        <f>IF(COUNTIF('Raw RetailSalesData'!$A:$L,'Raw RetailSalesData'!A200)=1,'Raw RetailSalesData'!A200,"")</f>
        <v>ORD-10222</v>
      </c>
      <c r="B200" t="str">
        <f>IF('Raw RetailSalesData'!B200="","UNKNOWN",'Raw RetailSalesData'!B200)</f>
        <v>2025-02-12</v>
      </c>
      <c r="C200" t="str">
        <f>IF('Raw RetailSalesData'!C200="","UNKNOW",'Raw RetailSalesData'!C200)</f>
        <v>CUST-1076</v>
      </c>
      <c r="D200" t="str">
        <f>IF('Raw RetailSalesData'!D200="","UNKNOW",'Raw RetailSalesData'!D200)</f>
        <v>P201</v>
      </c>
      <c r="E200" s="5">
        <f>IF('Raw RetailSalesData'!E200="",'Raw RetailSalesData'!F200/'Raw RetailSalesData'!G200,'Raw RetailSalesData'!E200)</f>
        <v>17</v>
      </c>
      <c r="F200" s="7">
        <f>IF('Raw RetailSalesData'!F200="",'Raw RetailSalesData'!G200/'Raw RetailSalesData'!E200,'Raw RetailSalesData'!F200)</f>
        <v>70</v>
      </c>
      <c r="G200" s="7">
        <f t="shared" si="3"/>
        <v>1190</v>
      </c>
      <c r="H200" s="5" t="str">
        <f>IF('Raw RetailSalesData'!H200="","Unknown",'Raw RetailSalesData'!H200)</f>
        <v>APAC</v>
      </c>
      <c r="I200" t="s">
        <v>71</v>
      </c>
      <c r="J200" t="s">
        <v>72</v>
      </c>
      <c r="K200" t="str">
        <f>TRIM('Raw RetailSalesData'!K200)</f>
        <v>Hiroshi Tanaka</v>
      </c>
      <c r="L200" t="s">
        <v>21</v>
      </c>
    </row>
    <row r="201" spans="1:12" x14ac:dyDescent="0.3">
      <c r="A201" t="str">
        <f>IF(COUNTIF('Raw RetailSalesData'!$A:$L,'Raw RetailSalesData'!A201)=1,'Raw RetailSalesData'!A201,"")</f>
        <v>ORD-10223</v>
      </c>
      <c r="B201" t="str">
        <f>IF('Raw RetailSalesData'!B201="","UNKNOWN",'Raw RetailSalesData'!B201)</f>
        <v>2025-06-04</v>
      </c>
      <c r="C201" t="str">
        <f>IF('Raw RetailSalesData'!C201="","UNKNOW",'Raw RetailSalesData'!C201)</f>
        <v>CUST-1022</v>
      </c>
      <c r="D201" t="str">
        <f>IF('Raw RetailSalesData'!D201="","UNKNOW",'Raw RetailSalesData'!D201)</f>
        <v>P102</v>
      </c>
      <c r="E201" s="5">
        <f>IF('Raw RetailSalesData'!E201="",'Raw RetailSalesData'!F201/'Raw RetailSalesData'!G201,'Raw RetailSalesData'!E201)</f>
        <v>16</v>
      </c>
      <c r="F201" s="7">
        <f>IF('Raw RetailSalesData'!F201="",'Raw RetailSalesData'!G201/'Raw RetailSalesData'!E201,'Raw RetailSalesData'!F201)</f>
        <v>75</v>
      </c>
      <c r="G201" s="7">
        <f t="shared" si="3"/>
        <v>1200</v>
      </c>
      <c r="H201" s="5" t="str">
        <f>IF('Raw RetailSalesData'!H201="","Unknown",'Raw RetailSalesData'!H201)</f>
        <v>LATAM</v>
      </c>
      <c r="I201" t="s">
        <v>18</v>
      </c>
      <c r="J201" t="s">
        <v>2197</v>
      </c>
      <c r="K201" t="str">
        <f>TRIM('Raw RetailSalesData'!K201)</f>
        <v>Sales Rep 1</v>
      </c>
      <c r="L201" t="s">
        <v>46</v>
      </c>
    </row>
    <row r="202" spans="1:12" x14ac:dyDescent="0.3">
      <c r="A202" t="str">
        <f>IF(COUNTIF('Raw RetailSalesData'!$A:$L,'Raw RetailSalesData'!A202)=1,'Raw RetailSalesData'!A202,"")</f>
        <v>ORD-10224</v>
      </c>
      <c r="B202" t="str">
        <f>IF('Raw RetailSalesData'!B202="","UNKNOWN",'Raw RetailSalesData'!B202)</f>
        <v>2024-08-20</v>
      </c>
      <c r="C202" t="str">
        <f>IF('Raw RetailSalesData'!C202="","UNKNOW",'Raw RetailSalesData'!C202)</f>
        <v>CUST-1106</v>
      </c>
      <c r="D202" t="str">
        <f>IF('Raw RetailSalesData'!D202="","UNKNOW",'Raw RetailSalesData'!D202)</f>
        <v>C304</v>
      </c>
      <c r="E202" s="5">
        <f>IF('Raw RetailSalesData'!E202="",'Raw RetailSalesData'!F202/'Raw RetailSalesData'!G202,'Raw RetailSalesData'!E202)</f>
        <v>18</v>
      </c>
      <c r="F202" s="7">
        <f>IF('Raw RetailSalesData'!F202="",'Raw RetailSalesData'!G202/'Raw RetailSalesData'!E202,'Raw RetailSalesData'!F202)</f>
        <v>53</v>
      </c>
      <c r="G202" s="7">
        <f t="shared" si="3"/>
        <v>954</v>
      </c>
      <c r="H202" s="5" t="str">
        <f>IF('Raw RetailSalesData'!H202="","Unknown",'Raw RetailSalesData'!H202)</f>
        <v>LATAM</v>
      </c>
      <c r="I202" t="s">
        <v>90</v>
      </c>
      <c r="J202" t="s">
        <v>2198</v>
      </c>
      <c r="K202" t="str">
        <f>TRIM('Raw RetailSalesData'!K202)</f>
        <v>Unknown</v>
      </c>
      <c r="L202" t="s">
        <v>46</v>
      </c>
    </row>
    <row r="203" spans="1:12" x14ac:dyDescent="0.3">
      <c r="A203" t="str">
        <f>IF(COUNTIF('Raw RetailSalesData'!$A:$L,'Raw RetailSalesData'!A203)=1,'Raw RetailSalesData'!A203,"")</f>
        <v>ORD-10225</v>
      </c>
      <c r="B203" t="str">
        <f>IF('Raw RetailSalesData'!B203="","UNKNOWN",'Raw RetailSalesData'!B203)</f>
        <v>UNKNOWN</v>
      </c>
      <c r="C203" t="str">
        <f>IF('Raw RetailSalesData'!C203="","UNKNOW",'Raw RetailSalesData'!C203)</f>
        <v>CUST-1092</v>
      </c>
      <c r="D203" t="str">
        <f>IF('Raw RetailSalesData'!D203="","UNKNOW",'Raw RetailSalesData'!D203)</f>
        <v>P201</v>
      </c>
      <c r="E203" s="5">
        <f>IF('Raw RetailSalesData'!E203="",'Raw RetailSalesData'!F203/'Raw RetailSalesData'!G203,'Raw RetailSalesData'!E203)</f>
        <v>18</v>
      </c>
      <c r="F203" s="7">
        <f>IF('Raw RetailSalesData'!F203="",'Raw RetailSalesData'!G203/'Raw RetailSalesData'!E203,'Raw RetailSalesData'!F203)</f>
        <v>75</v>
      </c>
      <c r="G203" s="7">
        <f t="shared" si="3"/>
        <v>1350</v>
      </c>
      <c r="H203" s="5" t="str">
        <f>IF('Raw RetailSalesData'!H203="","Unknown",'Raw RetailSalesData'!H203)</f>
        <v>NA</v>
      </c>
      <c r="I203" t="s">
        <v>28</v>
      </c>
      <c r="J203" t="s">
        <v>29</v>
      </c>
      <c r="K203" t="str">
        <f>TRIM('Raw RetailSalesData'!K203)</f>
        <v>Sales Rep 4</v>
      </c>
      <c r="L203" t="s">
        <v>21</v>
      </c>
    </row>
    <row r="204" spans="1:12" x14ac:dyDescent="0.3">
      <c r="A204" t="str">
        <f>IF(COUNTIF('Raw RetailSalesData'!$A:$L,'Raw RetailSalesData'!A204)=1,'Raw RetailSalesData'!A204,"")</f>
        <v>ORD-10226</v>
      </c>
      <c r="B204" t="str">
        <f>IF('Raw RetailSalesData'!B204="","UNKNOWN",'Raw RetailSalesData'!B204)</f>
        <v>2024-03-09</v>
      </c>
      <c r="C204" t="str">
        <f>IF('Raw RetailSalesData'!C204="","UNKNOW",'Raw RetailSalesData'!C204)</f>
        <v>CUST-1092</v>
      </c>
      <c r="D204" t="str">
        <f>IF('Raw RetailSalesData'!D204="","UNKNOW",'Raw RetailSalesData'!D204)</f>
        <v>P201</v>
      </c>
      <c r="E204" s="5">
        <f>IF('Raw RetailSalesData'!E204="",'Raw RetailSalesData'!F204/'Raw RetailSalesData'!G204,'Raw RetailSalesData'!E204)</f>
        <v>18</v>
      </c>
      <c r="F204" s="7">
        <f>IF('Raw RetailSalesData'!F204="",'Raw RetailSalesData'!G204/'Raw RetailSalesData'!E204,'Raw RetailSalesData'!F204)</f>
        <v>75</v>
      </c>
      <c r="G204" s="7">
        <f t="shared" si="3"/>
        <v>1350</v>
      </c>
      <c r="H204" s="5" t="str">
        <f>IF('Raw RetailSalesData'!H204="","Unknown",'Raw RetailSalesData'!H204)</f>
        <v>NA</v>
      </c>
      <c r="I204" t="s">
        <v>28</v>
      </c>
      <c r="J204" t="s">
        <v>29</v>
      </c>
      <c r="K204" t="str">
        <f>TRIM('Raw RetailSalesData'!K204)</f>
        <v>Sales Rep 4</v>
      </c>
      <c r="L204" t="s">
        <v>21</v>
      </c>
    </row>
    <row r="205" spans="1:12" x14ac:dyDescent="0.3">
      <c r="A205" t="str">
        <f>IF(COUNTIF('Raw RetailSalesData'!$A:$L,'Raw RetailSalesData'!A205)=1,'Raw RetailSalesData'!A205,"")</f>
        <v>ORD-10227</v>
      </c>
      <c r="B205" t="str">
        <f>IF('Raw RetailSalesData'!B205="","UNKNOWN",'Raw RetailSalesData'!B205)</f>
        <v>2023-07-26</v>
      </c>
      <c r="C205" t="str">
        <f>IF('Raw RetailSalesData'!C205="","UNKNOW",'Raw RetailSalesData'!C205)</f>
        <v>CUST-1099</v>
      </c>
      <c r="D205" t="str">
        <f>IF('Raw RetailSalesData'!D205="","UNKNOW",'Raw RetailSalesData'!D205)</f>
        <v>C304</v>
      </c>
      <c r="E205" s="5">
        <f>IF('Raw RetailSalesData'!E205="",'Raw RetailSalesData'!F205/'Raw RetailSalesData'!G205,'Raw RetailSalesData'!E205)</f>
        <v>3</v>
      </c>
      <c r="F205" s="7">
        <f>IF('Raw RetailSalesData'!F205="",'Raw RetailSalesData'!G205/'Raw RetailSalesData'!E205,'Raw RetailSalesData'!F205)</f>
        <v>63</v>
      </c>
      <c r="G205" s="7">
        <f t="shared" si="3"/>
        <v>189</v>
      </c>
      <c r="H205" s="5" t="str">
        <f>IF('Raw RetailSalesData'!H205="","Unknown",'Raw RetailSalesData'!H205)</f>
        <v>NA</v>
      </c>
      <c r="I205" t="s">
        <v>28</v>
      </c>
      <c r="J205" t="s">
        <v>29</v>
      </c>
      <c r="K205" t="str">
        <f>TRIM('Raw RetailSalesData'!K205)</f>
        <v>Sales Rep 3</v>
      </c>
      <c r="L205" t="s">
        <v>46</v>
      </c>
    </row>
    <row r="206" spans="1:12" x14ac:dyDescent="0.3">
      <c r="A206" t="str">
        <f>IF(COUNTIF('Raw RetailSalesData'!$A:$L,'Raw RetailSalesData'!A206)=1,'Raw RetailSalesData'!A206,"")</f>
        <v>ORD-10229</v>
      </c>
      <c r="B206" t="str">
        <f>IF('Raw RetailSalesData'!B206="","UNKNOWN",'Raw RetailSalesData'!B206)</f>
        <v>2022-09-10</v>
      </c>
      <c r="C206" t="str">
        <f>IF('Raw RetailSalesData'!C206="","UNKNOW",'Raw RetailSalesData'!C206)</f>
        <v>CUST-1002</v>
      </c>
      <c r="D206" t="str">
        <f>IF('Raw RetailSalesData'!D206="","UNKNOW",'Raw RetailSalesData'!D206)</f>
        <v>P202</v>
      </c>
      <c r="E206" s="5">
        <f>IF('Raw RetailSalesData'!E206="",'Raw RetailSalesData'!F206/'Raw RetailSalesData'!G206,'Raw RetailSalesData'!E206)</f>
        <v>10</v>
      </c>
      <c r="F206" s="7">
        <f>IF('Raw RetailSalesData'!F206="",'Raw RetailSalesData'!G206/'Raw RetailSalesData'!E206,'Raw RetailSalesData'!F206)</f>
        <v>65</v>
      </c>
      <c r="G206" s="7">
        <f t="shared" si="3"/>
        <v>650</v>
      </c>
      <c r="H206" s="5" t="str">
        <f>IF('Raw RetailSalesData'!H206="","Unknown",'Raw RetailSalesData'!H206)</f>
        <v xml:space="preserve"> APAC </v>
      </c>
      <c r="I206" t="s">
        <v>71</v>
      </c>
      <c r="J206" t="s">
        <v>72</v>
      </c>
      <c r="K206" t="str">
        <f>TRIM('Raw RetailSalesData'!K206)</f>
        <v>Hiroshi Tanaka</v>
      </c>
      <c r="L206" t="s">
        <v>31</v>
      </c>
    </row>
    <row r="207" spans="1:12" x14ac:dyDescent="0.3">
      <c r="A207" t="str">
        <f>IF(COUNTIF('Raw RetailSalesData'!$A:$L,'Raw RetailSalesData'!A207)=1,'Raw RetailSalesData'!A207,"")</f>
        <v>ORD-10231</v>
      </c>
      <c r="B207" t="str">
        <f>IF('Raw RetailSalesData'!B207="","UNKNOWN",'Raw RetailSalesData'!B207)</f>
        <v>2023-06-05</v>
      </c>
      <c r="C207" t="str">
        <f>IF('Raw RetailSalesData'!C207="","UNKNOW",'Raw RetailSalesData'!C207)</f>
        <v>CUST-1062</v>
      </c>
      <c r="D207" t="str">
        <f>IF('Raw RetailSalesData'!D207="","UNKNOW",'Raw RetailSalesData'!D207)</f>
        <v>P201</v>
      </c>
      <c r="E207" s="5">
        <f>IF('Raw RetailSalesData'!E207="",'Raw RetailSalesData'!F207/'Raw RetailSalesData'!G207,'Raw RetailSalesData'!E207)</f>
        <v>2</v>
      </c>
      <c r="F207" s="7">
        <f>IF('Raw RetailSalesData'!F207="",'Raw RetailSalesData'!G207/'Raw RetailSalesData'!E207,'Raw RetailSalesData'!F207)</f>
        <v>70</v>
      </c>
      <c r="G207" s="7">
        <f t="shared" si="3"/>
        <v>140</v>
      </c>
      <c r="H207" s="5" t="str">
        <f>IF('Raw RetailSalesData'!H207="","Unknown",'Raw RetailSalesData'!H207)</f>
        <v>EMEA</v>
      </c>
      <c r="I207" t="s">
        <v>2190</v>
      </c>
      <c r="J207" t="s">
        <v>226</v>
      </c>
      <c r="K207" t="str">
        <f>TRIM('Raw RetailSalesData'!K207)</f>
        <v>Sales Rep 1</v>
      </c>
      <c r="L207" t="s">
        <v>21</v>
      </c>
    </row>
    <row r="208" spans="1:12" x14ac:dyDescent="0.3">
      <c r="A208" t="str">
        <f>IF(COUNTIF('Raw RetailSalesData'!$A:$L,'Raw RetailSalesData'!A208)=1,'Raw RetailSalesData'!A208,"")</f>
        <v>ORD-10232</v>
      </c>
      <c r="B208" t="str">
        <f>IF('Raw RetailSalesData'!B208="","UNKNOWN",'Raw RetailSalesData'!B208)</f>
        <v>2024-01-22</v>
      </c>
      <c r="C208" t="str">
        <f>IF('Raw RetailSalesData'!C208="","UNKNOW",'Raw RetailSalesData'!C208)</f>
        <v>CUST-1024</v>
      </c>
      <c r="D208" t="str">
        <f>IF('Raw RetailSalesData'!D208="","UNKNOW",'Raw RetailSalesData'!D208)</f>
        <v>C301</v>
      </c>
      <c r="E208" s="5">
        <f>IF('Raw RetailSalesData'!E208="",'Raw RetailSalesData'!F208/'Raw RetailSalesData'!G208,'Raw RetailSalesData'!E208)</f>
        <v>16</v>
      </c>
      <c r="F208" s="7">
        <f>IF('Raw RetailSalesData'!F208="",'Raw RetailSalesData'!G208/'Raw RetailSalesData'!E208,'Raw RetailSalesData'!F208)</f>
        <v>55</v>
      </c>
      <c r="G208" s="7">
        <f t="shared" si="3"/>
        <v>880</v>
      </c>
      <c r="H208" s="5" t="str">
        <f>IF('Raw RetailSalesData'!H208="","Unknown",'Raw RetailSalesData'!H208)</f>
        <v>EMEA</v>
      </c>
      <c r="I208" t="s">
        <v>225</v>
      </c>
      <c r="J208" t="s">
        <v>226</v>
      </c>
      <c r="K208" t="str">
        <f>TRIM('Raw RetailSalesData'!K208)</f>
        <v>Sales Rep 2</v>
      </c>
      <c r="L208" t="s">
        <v>21</v>
      </c>
    </row>
    <row r="209" spans="1:12" x14ac:dyDescent="0.3">
      <c r="A209" t="str">
        <f>IF(COUNTIF('Raw RetailSalesData'!$A:$L,'Raw RetailSalesData'!A209)=1,'Raw RetailSalesData'!A209,"")</f>
        <v>ORD-10233</v>
      </c>
      <c r="B209" t="str">
        <f>IF('Raw RetailSalesData'!B209="","UNKNOWN",'Raw RetailSalesData'!B209)</f>
        <v>2023-10-12</v>
      </c>
      <c r="C209" t="str">
        <f>IF('Raw RetailSalesData'!C209="","UNKNOW",'Raw RetailSalesData'!C209)</f>
        <v>CUST-1010</v>
      </c>
      <c r="D209" t="str">
        <f>IF('Raw RetailSalesData'!D209="","UNKNOW",'Raw RetailSalesData'!D209)</f>
        <v>C302</v>
      </c>
      <c r="E209" s="5">
        <f>IF('Raw RetailSalesData'!E209="",'Raw RetailSalesData'!F209/'Raw RetailSalesData'!G209,'Raw RetailSalesData'!E209)</f>
        <v>9</v>
      </c>
      <c r="F209" s="7">
        <f>IF('Raw RetailSalesData'!F209="",'Raw RetailSalesData'!G209/'Raw RetailSalesData'!E209,'Raw RetailSalesData'!F209)</f>
        <v>50</v>
      </c>
      <c r="G209" s="7">
        <f t="shared" si="3"/>
        <v>450</v>
      </c>
      <c r="H209" s="5" t="str">
        <f>IF('Raw RetailSalesData'!H209="","Unknown",'Raw RetailSalesData'!H209)</f>
        <v>APAC</v>
      </c>
      <c r="I209" t="s">
        <v>183</v>
      </c>
      <c r="J209" t="s">
        <v>184</v>
      </c>
      <c r="K209" t="str">
        <f>TRIM('Raw RetailSalesData'!K209)</f>
        <v>Sales Rep 1</v>
      </c>
      <c r="L209" t="s">
        <v>31</v>
      </c>
    </row>
    <row r="210" spans="1:12" x14ac:dyDescent="0.3">
      <c r="A210" t="str">
        <f>IF(COUNTIF('Raw RetailSalesData'!$A:$L,'Raw RetailSalesData'!A210)=1,'Raw RetailSalesData'!A210,"")</f>
        <v>ORD-10235</v>
      </c>
      <c r="B210" t="str">
        <f>IF('Raw RetailSalesData'!B210="","UNKNOWN",'Raw RetailSalesData'!B210)</f>
        <v xml:space="preserve"> 2025-11-30 </v>
      </c>
      <c r="C210" t="str">
        <f>IF('Raw RetailSalesData'!C210="","UNKNOW",'Raw RetailSalesData'!C210)</f>
        <v>CUST-1087</v>
      </c>
      <c r="D210" t="str">
        <f>IF('Raw RetailSalesData'!D210="","UNKNOW",'Raw RetailSalesData'!D210)</f>
        <v>C301</v>
      </c>
      <c r="E210" s="5">
        <f>IF('Raw RetailSalesData'!E210="",'Raw RetailSalesData'!F210/'Raw RetailSalesData'!G210,'Raw RetailSalesData'!E210)</f>
        <v>9</v>
      </c>
      <c r="F210" s="7">
        <f>IF('Raw RetailSalesData'!F210="",'Raw RetailSalesData'!G210/'Raw RetailSalesData'!E210,'Raw RetailSalesData'!F210)</f>
        <v>60</v>
      </c>
      <c r="G210" s="7">
        <f t="shared" si="3"/>
        <v>540</v>
      </c>
      <c r="H210" s="5" t="str">
        <f>IF('Raw RetailSalesData'!H210="","Unknown",'Raw RetailSalesData'!H210)</f>
        <v>NA</v>
      </c>
      <c r="I210" t="s">
        <v>28</v>
      </c>
      <c r="J210" t="s">
        <v>29</v>
      </c>
      <c r="K210" t="str">
        <f>TRIM('Raw RetailSalesData'!K210)</f>
        <v>Sales Rep 3</v>
      </c>
      <c r="L210" t="s">
        <v>46</v>
      </c>
    </row>
    <row r="211" spans="1:12" x14ac:dyDescent="0.3">
      <c r="A211" t="str">
        <f>IF(COUNTIF('Raw RetailSalesData'!$A:$L,'Raw RetailSalesData'!A211)=1,'Raw RetailSalesData'!A211,"")</f>
        <v>ORD-10236</v>
      </c>
      <c r="B211" t="str">
        <f>IF('Raw RetailSalesData'!B211="","UNKNOWN",'Raw RetailSalesData'!B211)</f>
        <v>2022-07-10</v>
      </c>
      <c r="C211" t="str">
        <f>IF('Raw RetailSalesData'!C211="","UNKNOW",'Raw RetailSalesData'!C211)</f>
        <v>CUST-1188</v>
      </c>
      <c r="D211" t="str">
        <f>IF('Raw RetailSalesData'!D211="","UNKNOW",'Raw RetailSalesData'!D211)</f>
        <v>P102</v>
      </c>
      <c r="E211" s="5">
        <f>IF('Raw RetailSalesData'!E211="",'Raw RetailSalesData'!F211/'Raw RetailSalesData'!G211,'Raw RetailSalesData'!E211)</f>
        <v>15</v>
      </c>
      <c r="F211" s="7">
        <f>IF('Raw RetailSalesData'!F211="",'Raw RetailSalesData'!G211/'Raw RetailSalesData'!E211,'Raw RetailSalesData'!F211)</f>
        <v>80</v>
      </c>
      <c r="G211" s="7">
        <f t="shared" si="3"/>
        <v>1200</v>
      </c>
      <c r="H211" s="5" t="str">
        <f>IF('Raw RetailSalesData'!H211="","Unknown",'Raw RetailSalesData'!H211)</f>
        <v>EMEA</v>
      </c>
      <c r="I211" t="s">
        <v>225</v>
      </c>
      <c r="J211" t="s">
        <v>226</v>
      </c>
      <c r="K211" t="str">
        <f>TRIM('Raw RetailSalesData'!K211)</f>
        <v>Sales Rep 1</v>
      </c>
      <c r="L211" t="s">
        <v>2190</v>
      </c>
    </row>
    <row r="212" spans="1:12" x14ac:dyDescent="0.3">
      <c r="A212" t="str">
        <f>IF(COUNTIF('Raw RetailSalesData'!$A:$L,'Raw RetailSalesData'!A212)=1,'Raw RetailSalesData'!A212,"")</f>
        <v>ORD-10237</v>
      </c>
      <c r="B212" t="str">
        <f>IF('Raw RetailSalesData'!B212="","UNKNOWN",'Raw RetailSalesData'!B212)</f>
        <v>2022-07-10</v>
      </c>
      <c r="C212" t="str">
        <f>IF('Raw RetailSalesData'!C212="","UNKNOW",'Raw RetailSalesData'!C212)</f>
        <v>CUST-1188</v>
      </c>
      <c r="D212" t="str">
        <f>IF('Raw RetailSalesData'!D212="","UNKNOW",'Raw RetailSalesData'!D212)</f>
        <v>P102</v>
      </c>
      <c r="E212" s="5">
        <f>IF('Raw RetailSalesData'!E212="",'Raw RetailSalesData'!F212/'Raw RetailSalesData'!G212,'Raw RetailSalesData'!E212)</f>
        <v>15</v>
      </c>
      <c r="F212" s="7">
        <f>IF('Raw RetailSalesData'!F212="",'Raw RetailSalesData'!G212/'Raw RetailSalesData'!E212,'Raw RetailSalesData'!F212)</f>
        <v>80</v>
      </c>
      <c r="G212" s="7">
        <f t="shared" si="3"/>
        <v>1200</v>
      </c>
      <c r="H212" s="5" t="str">
        <f>IF('Raw RetailSalesData'!H212="","Unknown",'Raw RetailSalesData'!H212)</f>
        <v>EMEA</v>
      </c>
      <c r="I212" t="s">
        <v>225</v>
      </c>
      <c r="J212" t="s">
        <v>226</v>
      </c>
      <c r="K212" t="str">
        <f>TRIM('Raw RetailSalesData'!K212)</f>
        <v>Sales Rep 1</v>
      </c>
      <c r="L212" t="s">
        <v>46</v>
      </c>
    </row>
    <row r="213" spans="1:12" x14ac:dyDescent="0.3">
      <c r="A213" t="str">
        <f>IF(COUNTIF('Raw RetailSalesData'!$A:$L,'Raw RetailSalesData'!A213)=1,'Raw RetailSalesData'!A213,"")</f>
        <v>ORD-10238</v>
      </c>
      <c r="B213" t="str">
        <f>IF('Raw RetailSalesData'!B213="","UNKNOWN",'Raw RetailSalesData'!B213)</f>
        <v>2024-04-06</v>
      </c>
      <c r="C213" t="str">
        <f>IF('Raw RetailSalesData'!C213="","UNKNOW",'Raw RetailSalesData'!C213)</f>
        <v>CUST-1050</v>
      </c>
      <c r="D213" t="str">
        <f>IF('Raw RetailSalesData'!D213="","UNKNOW",'Raw RetailSalesData'!D213)</f>
        <v>P103</v>
      </c>
      <c r="E213" s="5">
        <f>IF('Raw RetailSalesData'!E213="",'Raw RetailSalesData'!F213/'Raw RetailSalesData'!G213,'Raw RetailSalesData'!E213)</f>
        <v>10</v>
      </c>
      <c r="F213" s="7">
        <f>IF('Raw RetailSalesData'!F213="",'Raw RetailSalesData'!G213/'Raw RetailSalesData'!E213,'Raw RetailSalesData'!F213)</f>
        <v>95</v>
      </c>
      <c r="G213" s="7">
        <f t="shared" si="3"/>
        <v>950</v>
      </c>
      <c r="H213" s="5" t="str">
        <f>IF('Raw RetailSalesData'!H213="","Unknown",'Raw RetailSalesData'!H213)</f>
        <v>EMEA</v>
      </c>
      <c r="I213" t="s">
        <v>83</v>
      </c>
      <c r="J213" t="s">
        <v>84</v>
      </c>
      <c r="K213" t="str">
        <f>TRIM('Raw RetailSalesData'!K213)</f>
        <v>John Smith</v>
      </c>
      <c r="L213" t="s">
        <v>46</v>
      </c>
    </row>
    <row r="214" spans="1:12" x14ac:dyDescent="0.3">
      <c r="A214" t="str">
        <f>IF(COUNTIF('Raw RetailSalesData'!$A:$L,'Raw RetailSalesData'!A214)=1,'Raw RetailSalesData'!A214,"")</f>
        <v>ORD-10239</v>
      </c>
      <c r="B214" t="str">
        <f>IF('Raw RetailSalesData'!B214="","UNKNOWN",'Raw RetailSalesData'!B214)</f>
        <v>2023-05-24</v>
      </c>
      <c r="C214" t="str">
        <f>IF('Raw RetailSalesData'!C214="","UNKNOW",'Raw RetailSalesData'!C214)</f>
        <v>UNKNOW</v>
      </c>
      <c r="D214" t="str">
        <f>IF('Raw RetailSalesData'!D214="","UNKNOW",'Raw RetailSalesData'!D214)</f>
        <v>C302</v>
      </c>
      <c r="E214" s="5">
        <f>IF('Raw RetailSalesData'!E214="",'Raw RetailSalesData'!F214/'Raw RetailSalesData'!G214,'Raw RetailSalesData'!E214)</f>
        <v>1</v>
      </c>
      <c r="F214" s="7">
        <f>IF('Raw RetailSalesData'!F214="",'Raw RetailSalesData'!G214/'Raw RetailSalesData'!E214,'Raw RetailSalesData'!F214)</f>
        <v>50</v>
      </c>
      <c r="G214" s="7">
        <f t="shared" si="3"/>
        <v>50</v>
      </c>
      <c r="H214" s="5" t="str">
        <f>IF('Raw RetailSalesData'!H214="","Unknown",'Raw RetailSalesData'!H214)</f>
        <v>EMEA</v>
      </c>
      <c r="I214" t="s">
        <v>38</v>
      </c>
      <c r="J214" t="s">
        <v>39</v>
      </c>
      <c r="K214" t="str">
        <f>TRIM('Raw RetailSalesData'!K214)</f>
        <v>Sales Rep 1</v>
      </c>
      <c r="L214" t="s">
        <v>21</v>
      </c>
    </row>
    <row r="215" spans="1:12" x14ac:dyDescent="0.3">
      <c r="A215" t="str">
        <f>IF(COUNTIF('Raw RetailSalesData'!$A:$L,'Raw RetailSalesData'!A215)=1,'Raw RetailSalesData'!A215,"")</f>
        <v>ORD-10240</v>
      </c>
      <c r="B215" t="str">
        <f>IF('Raw RetailSalesData'!B215="","UNKNOWN",'Raw RetailSalesData'!B215)</f>
        <v>2025-11-09</v>
      </c>
      <c r="C215" t="str">
        <f>IF('Raw RetailSalesData'!C215="","UNKNOW",'Raw RetailSalesData'!C215)</f>
        <v>CUST-1079</v>
      </c>
      <c r="D215" t="str">
        <f>IF('Raw RetailSalesData'!D215="","UNKNOW",'Raw RetailSalesData'!D215)</f>
        <v>C303</v>
      </c>
      <c r="E215" s="5">
        <f>IF('Raw RetailSalesData'!E215="",'Raw RetailSalesData'!F215/'Raw RetailSalesData'!G215,'Raw RetailSalesData'!E215)</f>
        <v>17</v>
      </c>
      <c r="F215" s="7">
        <f>IF('Raw RetailSalesData'!F215="",'Raw RetailSalesData'!G215/'Raw RetailSalesData'!E215,'Raw RetailSalesData'!F215)</f>
        <v>60</v>
      </c>
      <c r="G215" s="7">
        <f t="shared" si="3"/>
        <v>1020</v>
      </c>
      <c r="H215" s="5" t="str">
        <f>IF('Raw RetailSalesData'!H215="","Unknown",'Raw RetailSalesData'!H215)</f>
        <v>EMEA</v>
      </c>
      <c r="I215" t="s">
        <v>83</v>
      </c>
      <c r="J215" t="s">
        <v>84</v>
      </c>
      <c r="K215" t="str">
        <f>TRIM('Raw RetailSalesData'!K215)</f>
        <v>John Smith</v>
      </c>
      <c r="L215" t="s">
        <v>21</v>
      </c>
    </row>
    <row r="216" spans="1:12" x14ac:dyDescent="0.3">
      <c r="A216" t="str">
        <f>IF(COUNTIF('Raw RetailSalesData'!$A:$L,'Raw RetailSalesData'!A216)=1,'Raw RetailSalesData'!A216,"")</f>
        <v>ORD-10241</v>
      </c>
      <c r="B216" t="str">
        <f>IF('Raw RetailSalesData'!B216="","UNKNOWN",'Raw RetailSalesData'!B216)</f>
        <v>2026-05-28</v>
      </c>
      <c r="C216" t="str">
        <f>IF('Raw RetailSalesData'!C216="","UNKNOW",'Raw RetailSalesData'!C216)</f>
        <v>CUST-1141</v>
      </c>
      <c r="D216" t="str">
        <f>IF('Raw RetailSalesData'!D216="","UNKNOW",'Raw RetailSalesData'!D216)</f>
        <v>P102</v>
      </c>
      <c r="E216" s="5">
        <f>IF('Raw RetailSalesData'!E216="",'Raw RetailSalesData'!F216/'Raw RetailSalesData'!G216,'Raw RetailSalesData'!E216)</f>
        <v>5.5555555555555552E-2</v>
      </c>
      <c r="F216" s="7">
        <f>IF('Raw RetailSalesData'!F216="",'Raw RetailSalesData'!G216/'Raw RetailSalesData'!E216,'Raw RetailSalesData'!F216)</f>
        <v>75</v>
      </c>
      <c r="G216" s="7">
        <f t="shared" si="3"/>
        <v>4.1666666666666661</v>
      </c>
      <c r="H216" s="5" t="str">
        <f>IF('Raw RetailSalesData'!H216="","Unknown",'Raw RetailSalesData'!H216)</f>
        <v>LATAM</v>
      </c>
      <c r="I216" t="s">
        <v>90</v>
      </c>
      <c r="J216" t="s">
        <v>2198</v>
      </c>
      <c r="K216" t="str">
        <f>TRIM('Raw RetailSalesData'!K216)</f>
        <v>Sales Rep 1</v>
      </c>
      <c r="L216" t="s">
        <v>21</v>
      </c>
    </row>
    <row r="217" spans="1:12" x14ac:dyDescent="0.3">
      <c r="A217" t="str">
        <f>IF(COUNTIF('Raw RetailSalesData'!$A:$L,'Raw RetailSalesData'!A217)=1,'Raw RetailSalesData'!A217,"")</f>
        <v>ORD-10243</v>
      </c>
      <c r="B217" t="str">
        <f>IF('Raw RetailSalesData'!B217="","UNKNOWN",'Raw RetailSalesData'!B217)</f>
        <v>2026-09-05</v>
      </c>
      <c r="C217" t="str">
        <f>IF('Raw RetailSalesData'!C217="","UNKNOW",'Raw RetailSalesData'!C217)</f>
        <v>CUST-1175</v>
      </c>
      <c r="D217" t="str">
        <f>IF('Raw RetailSalesData'!D217="","UNKNOW",'Raw RetailSalesData'!D217)</f>
        <v xml:space="preserve"> C302 </v>
      </c>
      <c r="E217" s="5">
        <f>IF('Raw RetailSalesData'!E217="",'Raw RetailSalesData'!F217/'Raw RetailSalesData'!G217,'Raw RetailSalesData'!E217)</f>
        <v>14</v>
      </c>
      <c r="F217" s="7">
        <f>IF('Raw RetailSalesData'!F217="",'Raw RetailSalesData'!G217/'Raw RetailSalesData'!E217,'Raw RetailSalesData'!F217)</f>
        <v>45</v>
      </c>
      <c r="G217" s="7">
        <f t="shared" si="3"/>
        <v>630</v>
      </c>
      <c r="H217" s="5" t="str">
        <f>IF('Raw RetailSalesData'!H217="","Unknown",'Raw RetailSalesData'!H217)</f>
        <v>LATAM</v>
      </c>
      <c r="I217" t="s">
        <v>18</v>
      </c>
      <c r="J217" t="s">
        <v>2197</v>
      </c>
      <c r="K217" t="str">
        <f>TRIM('Raw RetailSalesData'!K217)</f>
        <v>Sales Rep 2</v>
      </c>
      <c r="L217" t="s">
        <v>21</v>
      </c>
    </row>
    <row r="218" spans="1:12" x14ac:dyDescent="0.3">
      <c r="A218" t="str">
        <f>IF(COUNTIF('Raw RetailSalesData'!$A:$L,'Raw RetailSalesData'!A218)=1,'Raw RetailSalesData'!A218,"")</f>
        <v>ORD-10244</v>
      </c>
      <c r="B218" t="str">
        <f>IF('Raw RetailSalesData'!B218="","UNKNOWN",'Raw RetailSalesData'!B218)</f>
        <v>2025-07-05</v>
      </c>
      <c r="C218" t="str">
        <f>IF('Raw RetailSalesData'!C218="","UNKNOW",'Raw RetailSalesData'!C218)</f>
        <v>CUST-1157</v>
      </c>
      <c r="D218" t="str">
        <f>IF('Raw RetailSalesData'!D218="","UNKNOW",'Raw RetailSalesData'!D218)</f>
        <v>P102</v>
      </c>
      <c r="E218" s="5">
        <f>IF('Raw RetailSalesData'!E218="",'Raw RetailSalesData'!F218/'Raw RetailSalesData'!G218,'Raw RetailSalesData'!E218)</f>
        <v>13</v>
      </c>
      <c r="F218" s="7">
        <f>IF('Raw RetailSalesData'!F218="",'Raw RetailSalesData'!G218/'Raw RetailSalesData'!E218,'Raw RetailSalesData'!F218)</f>
        <v>75</v>
      </c>
      <c r="G218" s="7">
        <f t="shared" si="3"/>
        <v>975</v>
      </c>
      <c r="H218" s="5" t="str">
        <f>IF('Raw RetailSalesData'!H218="","Unknown",'Raw RetailSalesData'!H218)</f>
        <v>LATAM</v>
      </c>
      <c r="I218" t="s">
        <v>90</v>
      </c>
      <c r="J218" t="s">
        <v>2198</v>
      </c>
      <c r="K218" t="str">
        <f>TRIM('Raw RetailSalesData'!K218)</f>
        <v>Sales Rep 3</v>
      </c>
      <c r="L218" t="s">
        <v>31</v>
      </c>
    </row>
    <row r="219" spans="1:12" x14ac:dyDescent="0.3">
      <c r="A219" t="str">
        <f>IF(COUNTIF('Raw RetailSalesData'!$A:$L,'Raw RetailSalesData'!A219)=1,'Raw RetailSalesData'!A219,"")</f>
        <v>ORD-10245</v>
      </c>
      <c r="B219" t="str">
        <f>IF('Raw RetailSalesData'!B219="","UNKNOWN",'Raw RetailSalesData'!B219)</f>
        <v>2023-05-09</v>
      </c>
      <c r="C219" t="str">
        <f>IF('Raw RetailSalesData'!C219="","UNKNOW",'Raw RetailSalesData'!C219)</f>
        <v>CUST-1097</v>
      </c>
      <c r="D219" t="str">
        <f>IF('Raw RetailSalesData'!D219="","UNKNOW",'Raw RetailSalesData'!D219)</f>
        <v xml:space="preserve"> C304 </v>
      </c>
      <c r="E219" s="5">
        <f>IF('Raw RetailSalesData'!E219="",'Raw RetailSalesData'!F219/'Raw RetailSalesData'!G219,'Raw RetailSalesData'!E219)</f>
        <v>9</v>
      </c>
      <c r="F219" s="7">
        <f>IF('Raw RetailSalesData'!F219="",'Raw RetailSalesData'!G219/'Raw RetailSalesData'!E219,'Raw RetailSalesData'!F219)</f>
        <v>58</v>
      </c>
      <c r="G219" s="7">
        <f t="shared" si="3"/>
        <v>522</v>
      </c>
      <c r="H219" s="5" t="str">
        <f>IF('Raw RetailSalesData'!H219="","Unknown",'Raw RetailSalesData'!H219)</f>
        <v>EMEA</v>
      </c>
      <c r="I219" t="s">
        <v>38</v>
      </c>
      <c r="J219" t="s">
        <v>39</v>
      </c>
      <c r="K219" t="str">
        <f>TRIM('Raw RetailSalesData'!K219)</f>
        <v>Sales Rep 2</v>
      </c>
      <c r="L219" t="s">
        <v>2190</v>
      </c>
    </row>
    <row r="220" spans="1:12" x14ac:dyDescent="0.3">
      <c r="A220" t="str">
        <f>IF(COUNTIF('Raw RetailSalesData'!$A:$L,'Raw RetailSalesData'!A220)=1,'Raw RetailSalesData'!A220,"")</f>
        <v>ORD-10246</v>
      </c>
      <c r="B220" t="str">
        <f>IF('Raw RetailSalesData'!B220="","UNKNOWN",'Raw RetailSalesData'!B220)</f>
        <v>2026-04-15</v>
      </c>
      <c r="C220" t="str">
        <f>IF('Raw RetailSalesData'!C220="","UNKNOW",'Raw RetailSalesData'!C220)</f>
        <v>CUST-1156</v>
      </c>
      <c r="D220" t="str">
        <f>IF('Raw RetailSalesData'!D220="","UNKNOW",'Raw RetailSalesData'!D220)</f>
        <v>P201</v>
      </c>
      <c r="E220" s="5">
        <f>IF('Raw RetailSalesData'!E220="",'Raw RetailSalesData'!F220/'Raw RetailSalesData'!G220,'Raw RetailSalesData'!E220)</f>
        <v>12</v>
      </c>
      <c r="F220" s="7">
        <f>IF('Raw RetailSalesData'!F220="",'Raw RetailSalesData'!G220/'Raw RetailSalesData'!E220,'Raw RetailSalesData'!F220)</f>
        <v>70</v>
      </c>
      <c r="G220" s="7">
        <f t="shared" si="3"/>
        <v>840</v>
      </c>
      <c r="H220" s="5" t="str">
        <f>IF('Raw RetailSalesData'!H220="","Unknown",'Raw RetailSalesData'!H220)</f>
        <v>APAC</v>
      </c>
      <c r="I220" t="s">
        <v>151</v>
      </c>
      <c r="J220" t="s">
        <v>188</v>
      </c>
      <c r="K220" t="str">
        <f>TRIM('Raw RetailSalesData'!K220)</f>
        <v>Sales Rep 1</v>
      </c>
      <c r="L220" t="s">
        <v>46</v>
      </c>
    </row>
    <row r="221" spans="1:12" x14ac:dyDescent="0.3">
      <c r="A221" t="str">
        <f>IF(COUNTIF('Raw RetailSalesData'!$A:$L,'Raw RetailSalesData'!A221)=1,'Raw RetailSalesData'!A221,"")</f>
        <v>ORD-10247</v>
      </c>
      <c r="B221" t="str">
        <f>IF('Raw RetailSalesData'!B221="","UNKNOWN",'Raw RetailSalesData'!B221)</f>
        <v>2025-03-01</v>
      </c>
      <c r="C221" t="str">
        <f>IF('Raw RetailSalesData'!C221="","UNKNOW",'Raw RetailSalesData'!C221)</f>
        <v>CUST-1001</v>
      </c>
      <c r="D221" t="str">
        <f>IF('Raw RetailSalesData'!D221="","UNKNOW",'Raw RetailSalesData'!D221)</f>
        <v>P203</v>
      </c>
      <c r="E221" s="5">
        <f>IF('Raw RetailSalesData'!E221="",'Raw RetailSalesData'!F221/'Raw RetailSalesData'!G221,'Raw RetailSalesData'!E221)</f>
        <v>7</v>
      </c>
      <c r="F221" s="7">
        <f>IF('Raw RetailSalesData'!F221="",'Raw RetailSalesData'!G221/'Raw RetailSalesData'!E221,'Raw RetailSalesData'!F221)</f>
        <v>73</v>
      </c>
      <c r="G221" s="7">
        <f t="shared" si="3"/>
        <v>511</v>
      </c>
      <c r="H221" s="5" t="str">
        <f>IF('Raw RetailSalesData'!H221="","Unknown",'Raw RetailSalesData'!H221)</f>
        <v>NA</v>
      </c>
      <c r="I221" t="s">
        <v>100</v>
      </c>
      <c r="J221" t="s">
        <v>101</v>
      </c>
      <c r="K221" t="str">
        <f>TRIM('Raw RetailSalesData'!K221)</f>
        <v>Sales Rep 4</v>
      </c>
      <c r="L221" t="s">
        <v>31</v>
      </c>
    </row>
    <row r="222" spans="1:12" x14ac:dyDescent="0.3">
      <c r="A222" t="str">
        <f>IF(COUNTIF('Raw RetailSalesData'!$A:$L,'Raw RetailSalesData'!A222)=1,'Raw RetailSalesData'!A222,"")</f>
        <v>ORD-10248</v>
      </c>
      <c r="B222" t="str">
        <f>IF('Raw RetailSalesData'!B222="","UNKNOWN",'Raw RetailSalesData'!B222)</f>
        <v>2023-12-02</v>
      </c>
      <c r="C222" t="str">
        <f>IF('Raw RetailSalesData'!C222="","UNKNOW",'Raw RetailSalesData'!C222)</f>
        <v>CUST-1110</v>
      </c>
      <c r="D222" t="str">
        <f>IF('Raw RetailSalesData'!D222="","UNKNOW",'Raw RetailSalesData'!D222)</f>
        <v>C304</v>
      </c>
      <c r="E222" s="5">
        <f>IF('Raw RetailSalesData'!E222="",'Raw RetailSalesData'!F222/'Raw RetailSalesData'!G222,'Raw RetailSalesData'!E222)</f>
        <v>20</v>
      </c>
      <c r="F222" s="7">
        <f>IF('Raw RetailSalesData'!F222="",'Raw RetailSalesData'!G222/'Raw RetailSalesData'!E222,'Raw RetailSalesData'!F222)</f>
        <v>53</v>
      </c>
      <c r="G222" s="7">
        <f t="shared" si="3"/>
        <v>1060</v>
      </c>
      <c r="H222" s="5" t="str">
        <f>IF('Raw RetailSalesData'!H222="","Unknown",'Raw RetailSalesData'!H222)</f>
        <v>LATAM</v>
      </c>
      <c r="I222" t="s">
        <v>18</v>
      </c>
      <c r="J222" t="s">
        <v>2197</v>
      </c>
      <c r="K222" t="str">
        <f>TRIM('Raw RetailSalesData'!K222)</f>
        <v>Sales Rep 1</v>
      </c>
      <c r="L222" t="s">
        <v>21</v>
      </c>
    </row>
    <row r="223" spans="1:12" x14ac:dyDescent="0.3">
      <c r="A223" t="str">
        <f>IF(COUNTIF('Raw RetailSalesData'!$A:$L,'Raw RetailSalesData'!A223)=1,'Raw RetailSalesData'!A223,"")</f>
        <v>ORD-10249</v>
      </c>
      <c r="B223" t="str">
        <f>IF('Raw RetailSalesData'!B223="","UNKNOWN",'Raw RetailSalesData'!B223)</f>
        <v>2025-12-13</v>
      </c>
      <c r="C223" t="str">
        <f>IF('Raw RetailSalesData'!C223="","UNKNOW",'Raw RetailSalesData'!C223)</f>
        <v>CUST-1177</v>
      </c>
      <c r="D223" t="str">
        <f>IF('Raw RetailSalesData'!D223="","UNKNOW",'Raw RetailSalesData'!D223)</f>
        <v xml:space="preserve"> C301 </v>
      </c>
      <c r="E223" s="5">
        <f>IF('Raw RetailSalesData'!E223="",'Raw RetailSalesData'!F223/'Raw RetailSalesData'!G223,'Raw RetailSalesData'!E223)</f>
        <v>8</v>
      </c>
      <c r="F223" s="7">
        <f>IF('Raw RetailSalesData'!F223="",'Raw RetailSalesData'!G223/'Raw RetailSalesData'!E223,'Raw RetailSalesData'!F223)</f>
        <v>55</v>
      </c>
      <c r="G223" s="7">
        <f t="shared" si="3"/>
        <v>440</v>
      </c>
      <c r="H223" s="5" t="str">
        <f>IF('Raw RetailSalesData'!H223="","Unknown",'Raw RetailSalesData'!H223)</f>
        <v>EMEA</v>
      </c>
      <c r="I223" t="s">
        <v>2190</v>
      </c>
      <c r="J223" t="s">
        <v>84</v>
      </c>
      <c r="K223" t="str">
        <f>TRIM('Raw RetailSalesData'!K223)</f>
        <v>John Smith</v>
      </c>
      <c r="L223" t="s">
        <v>21</v>
      </c>
    </row>
    <row r="224" spans="1:12" x14ac:dyDescent="0.3">
      <c r="A224" t="str">
        <f>IF(COUNTIF('Raw RetailSalesData'!$A:$L,'Raw RetailSalesData'!A224)=1,'Raw RetailSalesData'!A224,"")</f>
        <v>ORD-10250</v>
      </c>
      <c r="B224" t="str">
        <f>IF('Raw RetailSalesData'!B224="","UNKNOWN",'Raw RetailSalesData'!B224)</f>
        <v>2023-10-30</v>
      </c>
      <c r="C224" t="str">
        <f>IF('Raw RetailSalesData'!C224="","UNKNOW",'Raw RetailSalesData'!C224)</f>
        <v>CUST-1179</v>
      </c>
      <c r="D224" t="str">
        <f>IF('Raw RetailSalesData'!D224="","UNKNOW",'Raw RetailSalesData'!D224)</f>
        <v>P203</v>
      </c>
      <c r="E224" s="5">
        <f>IF('Raw RetailSalesData'!E224="",'Raw RetailSalesData'!F224/'Raw RetailSalesData'!G224,'Raw RetailSalesData'!E224)</f>
        <v>18</v>
      </c>
      <c r="F224" s="7">
        <f>IF('Raw RetailSalesData'!F224="",'Raw RetailSalesData'!G224/'Raw RetailSalesData'!E224,'Raw RetailSalesData'!F224)</f>
        <v>63</v>
      </c>
      <c r="G224" s="7">
        <f t="shared" si="3"/>
        <v>1134</v>
      </c>
      <c r="H224" s="5" t="str">
        <f>IF('Raw RetailSalesData'!H224="","Unknown",'Raw RetailSalesData'!H224)</f>
        <v>LATAM</v>
      </c>
      <c r="I224" t="s">
        <v>2190</v>
      </c>
      <c r="J224" t="s">
        <v>2198</v>
      </c>
      <c r="K224" t="str">
        <f>TRIM('Raw RetailSalesData'!K224)</f>
        <v>Sales Rep 2</v>
      </c>
      <c r="L224" t="s">
        <v>21</v>
      </c>
    </row>
    <row r="225" spans="1:12" x14ac:dyDescent="0.3">
      <c r="A225" t="str">
        <f>IF(COUNTIF('Raw RetailSalesData'!$A:$L,'Raw RetailSalesData'!A225)=1,'Raw RetailSalesData'!A225,"")</f>
        <v>ORD-10251</v>
      </c>
      <c r="B225" t="str">
        <f>IF('Raw RetailSalesData'!B225="","UNKNOWN",'Raw RetailSalesData'!B225)</f>
        <v>2026-08-25</v>
      </c>
      <c r="C225" t="str">
        <f>IF('Raw RetailSalesData'!C225="","UNKNOW",'Raw RetailSalesData'!C225)</f>
        <v>CUST-1049</v>
      </c>
      <c r="D225" t="str">
        <f>IF('Raw RetailSalesData'!D225="","UNKNOW",'Raw RetailSalesData'!D225)</f>
        <v>P203</v>
      </c>
      <c r="E225" s="5">
        <f>IF('Raw RetailSalesData'!E225="",'Raw RetailSalesData'!F225/'Raw RetailSalesData'!G225,'Raw RetailSalesData'!E225)</f>
        <v>15</v>
      </c>
      <c r="F225" s="7">
        <f>IF('Raw RetailSalesData'!F225="",'Raw RetailSalesData'!G225/'Raw RetailSalesData'!E225,'Raw RetailSalesData'!F225)</f>
        <v>68</v>
      </c>
      <c r="G225" s="7">
        <f t="shared" si="3"/>
        <v>1020</v>
      </c>
      <c r="H225" s="5" t="str">
        <f>IF('Raw RetailSalesData'!H225="","Unknown",'Raw RetailSalesData'!H225)</f>
        <v>APAC</v>
      </c>
      <c r="I225" t="s">
        <v>183</v>
      </c>
      <c r="J225" t="s">
        <v>184</v>
      </c>
      <c r="K225" t="str">
        <f>TRIM('Raw RetailSalesData'!K225)</f>
        <v>Sales Rep 1</v>
      </c>
      <c r="L225" t="s">
        <v>21</v>
      </c>
    </row>
    <row r="226" spans="1:12" x14ac:dyDescent="0.3">
      <c r="A226" t="str">
        <f>IF(COUNTIF('Raw RetailSalesData'!$A:$L,'Raw RetailSalesData'!A226)=1,'Raw RetailSalesData'!A226,"")</f>
        <v>ORD-10252</v>
      </c>
      <c r="B226" t="str">
        <f>IF('Raw RetailSalesData'!B226="","UNKNOWN",'Raw RetailSalesData'!B226)</f>
        <v>2022-10-26</v>
      </c>
      <c r="C226" t="str">
        <f>IF('Raw RetailSalesData'!C226="","UNKNOW",'Raw RetailSalesData'!C226)</f>
        <v>CUST-1163</v>
      </c>
      <c r="D226" t="str">
        <f>IF('Raw RetailSalesData'!D226="","UNKNOW",'Raw RetailSalesData'!D226)</f>
        <v>C304</v>
      </c>
      <c r="E226" s="5">
        <f>IF('Raw RetailSalesData'!E226="",'Raw RetailSalesData'!F226/'Raw RetailSalesData'!G226,'Raw RetailSalesData'!E226)</f>
        <v>17</v>
      </c>
      <c r="F226" s="7">
        <f>IF('Raw RetailSalesData'!F226="",'Raw RetailSalesData'!G226/'Raw RetailSalesData'!E226,'Raw RetailSalesData'!F226)</f>
        <v>63</v>
      </c>
      <c r="G226" s="7">
        <f t="shared" si="3"/>
        <v>1071</v>
      </c>
      <c r="H226" s="5" t="str">
        <f>IF('Raw RetailSalesData'!H226="","Unknown",'Raw RetailSalesData'!H226)</f>
        <v>NA</v>
      </c>
      <c r="I226" t="s">
        <v>28</v>
      </c>
      <c r="J226" t="s">
        <v>29</v>
      </c>
      <c r="K226" t="str">
        <f>TRIM('Raw RetailSalesData'!K226)</f>
        <v>Sales Rep 5</v>
      </c>
      <c r="L226" t="s">
        <v>46</v>
      </c>
    </row>
    <row r="227" spans="1:12" x14ac:dyDescent="0.3">
      <c r="A227" t="str">
        <f>IF(COUNTIF('Raw RetailSalesData'!$A:$L,'Raw RetailSalesData'!A227)=1,'Raw RetailSalesData'!A227,"")</f>
        <v>ORD-10253</v>
      </c>
      <c r="B227" t="str">
        <f>IF('Raw RetailSalesData'!B227="","UNKNOWN",'Raw RetailSalesData'!B227)</f>
        <v>2024-01-18</v>
      </c>
      <c r="C227" t="str">
        <f>IF('Raw RetailSalesData'!C227="","UNKNOW",'Raw RetailSalesData'!C227)</f>
        <v>CUST-1087</v>
      </c>
      <c r="D227" t="str">
        <f>IF('Raw RetailSalesData'!D227="","UNKNOW",'Raw RetailSalesData'!D227)</f>
        <v>C303</v>
      </c>
      <c r="E227" s="5">
        <f>IF('Raw RetailSalesData'!E227="",'Raw RetailSalesData'!F227/'Raw RetailSalesData'!G227,'Raw RetailSalesData'!E227)</f>
        <v>3</v>
      </c>
      <c r="F227" s="7">
        <f>IF('Raw RetailSalesData'!F227="",'Raw RetailSalesData'!G227/'Raw RetailSalesData'!E227,'Raw RetailSalesData'!F227)</f>
        <v>55</v>
      </c>
      <c r="G227" s="7">
        <f t="shared" si="3"/>
        <v>165</v>
      </c>
      <c r="H227" s="5" t="str">
        <f>IF('Raw RetailSalesData'!H227="","Unknown",'Raw RetailSalesData'!H227)</f>
        <v>LATAM</v>
      </c>
      <c r="I227" t="s">
        <v>90</v>
      </c>
      <c r="J227" t="s">
        <v>2198</v>
      </c>
      <c r="K227" t="str">
        <f>TRIM('Raw RetailSalesData'!K227)</f>
        <v>Sales Rep 2</v>
      </c>
      <c r="L227" t="s">
        <v>21</v>
      </c>
    </row>
    <row r="228" spans="1:12" x14ac:dyDescent="0.3">
      <c r="A228" t="str">
        <f>IF(COUNTIF('Raw RetailSalesData'!$A:$L,'Raw RetailSalesData'!A228)=1,'Raw RetailSalesData'!A228,"")</f>
        <v>ORD-10254</v>
      </c>
      <c r="B228" t="str">
        <f>IF('Raw RetailSalesData'!B228="","UNKNOWN",'Raw RetailSalesData'!B228)</f>
        <v>2023-12-03</v>
      </c>
      <c r="C228" t="str">
        <f>IF('Raw RetailSalesData'!C228="","UNKNOW",'Raw RetailSalesData'!C228)</f>
        <v>CUST-1025</v>
      </c>
      <c r="D228" t="str">
        <f>IF('Raw RetailSalesData'!D228="","UNKNOW",'Raw RetailSalesData'!D228)</f>
        <v>P201</v>
      </c>
      <c r="E228" s="5">
        <f>IF('Raw RetailSalesData'!E228="",'Raw RetailSalesData'!F228/'Raw RetailSalesData'!G228,'Raw RetailSalesData'!E228)</f>
        <v>18</v>
      </c>
      <c r="F228" s="7">
        <f>IF('Raw RetailSalesData'!F228="",'Raw RetailSalesData'!G228/'Raw RetailSalesData'!E228,'Raw RetailSalesData'!F228)</f>
        <v>70</v>
      </c>
      <c r="G228" s="7">
        <f t="shared" si="3"/>
        <v>1260</v>
      </c>
      <c r="H228" s="5" t="str">
        <f>IF('Raw RetailSalesData'!H228="","Unknown",'Raw RetailSalesData'!H228)</f>
        <v>EMEA</v>
      </c>
      <c r="I228" t="s">
        <v>38</v>
      </c>
      <c r="J228" t="s">
        <v>39</v>
      </c>
      <c r="K228" t="str">
        <f>TRIM('Raw RetailSalesData'!K228)</f>
        <v>Sales Rep 3</v>
      </c>
      <c r="L228" t="s">
        <v>46</v>
      </c>
    </row>
    <row r="229" spans="1:12" x14ac:dyDescent="0.3">
      <c r="A229" t="str">
        <f>IF(COUNTIF('Raw RetailSalesData'!$A:$L,'Raw RetailSalesData'!A229)=1,'Raw RetailSalesData'!A229,"")</f>
        <v>ORD-10255</v>
      </c>
      <c r="B229" t="str">
        <f>IF('Raw RetailSalesData'!B229="","UNKNOWN",'Raw RetailSalesData'!B229)</f>
        <v>2023-12-03</v>
      </c>
      <c r="C229" t="str">
        <f>IF('Raw RetailSalesData'!C229="","UNKNOW",'Raw RetailSalesData'!C229)</f>
        <v>CUST-1025</v>
      </c>
      <c r="D229" t="str">
        <f>IF('Raw RetailSalesData'!D229="","UNKNOW",'Raw RetailSalesData'!D229)</f>
        <v>P201</v>
      </c>
      <c r="E229" s="5">
        <f>IF('Raw RetailSalesData'!E229="",'Raw RetailSalesData'!F229/'Raw RetailSalesData'!G229,'Raw RetailSalesData'!E229)</f>
        <v>18</v>
      </c>
      <c r="F229" s="7">
        <f>IF('Raw RetailSalesData'!F229="",'Raw RetailSalesData'!G229/'Raw RetailSalesData'!E229,'Raw RetailSalesData'!F229)</f>
        <v>70</v>
      </c>
      <c r="G229" s="7">
        <f t="shared" si="3"/>
        <v>1260</v>
      </c>
      <c r="H229" s="5" t="str">
        <f>IF('Raw RetailSalesData'!H229="","Unknown",'Raw RetailSalesData'!H229)</f>
        <v>EMEA</v>
      </c>
      <c r="I229" t="s">
        <v>38</v>
      </c>
      <c r="J229" t="s">
        <v>39</v>
      </c>
      <c r="K229" t="str">
        <f>TRIM('Raw RetailSalesData'!K229)</f>
        <v>Sales Rep 3</v>
      </c>
      <c r="L229" t="s">
        <v>46</v>
      </c>
    </row>
    <row r="230" spans="1:12" x14ac:dyDescent="0.3">
      <c r="A230" t="str">
        <f>IF(COUNTIF('Raw RetailSalesData'!$A:$L,'Raw RetailSalesData'!A230)=1,'Raw RetailSalesData'!A230,"")</f>
        <v>ORD-10256</v>
      </c>
      <c r="B230" t="str">
        <f>IF('Raw RetailSalesData'!B230="","UNKNOWN",'Raw RetailSalesData'!B230)</f>
        <v>2022-10-26</v>
      </c>
      <c r="C230" t="str">
        <f>IF('Raw RetailSalesData'!C230="","UNKNOW",'Raw RetailSalesData'!C230)</f>
        <v>CUST-1108</v>
      </c>
      <c r="D230" t="str">
        <f>IF('Raw RetailSalesData'!D230="","UNKNOW",'Raw RetailSalesData'!D230)</f>
        <v>P101</v>
      </c>
      <c r="E230" s="5">
        <f>IF('Raw RetailSalesData'!E230="",'Raw RetailSalesData'!F230/'Raw RetailSalesData'!G230,'Raw RetailSalesData'!E230)</f>
        <v>11</v>
      </c>
      <c r="F230" s="7">
        <f>IF('Raw RetailSalesData'!F230="",'Raw RetailSalesData'!G230/'Raw RetailSalesData'!E230,'Raw RetailSalesData'!F230)</f>
        <v>80</v>
      </c>
      <c r="G230" s="7">
        <f t="shared" si="3"/>
        <v>880</v>
      </c>
      <c r="H230" s="5" t="str">
        <f>IF('Raw RetailSalesData'!H230="","Unknown",'Raw RetailSalesData'!H230)</f>
        <v>Unknown</v>
      </c>
      <c r="I230" t="s">
        <v>90</v>
      </c>
      <c r="J230" t="s">
        <v>2198</v>
      </c>
      <c r="K230" t="str">
        <f>TRIM('Raw RetailSalesData'!K230)</f>
        <v>Sales Rep 3</v>
      </c>
      <c r="L230" t="s">
        <v>31</v>
      </c>
    </row>
    <row r="231" spans="1:12" x14ac:dyDescent="0.3">
      <c r="A231" t="str">
        <f>IF(COUNTIF('Raw RetailSalesData'!$A:$L,'Raw RetailSalesData'!A231)=1,'Raw RetailSalesData'!A231,"")</f>
        <v>ORD-10257</v>
      </c>
      <c r="B231" t="str">
        <f>IF('Raw RetailSalesData'!B231="","UNKNOWN",'Raw RetailSalesData'!B231)</f>
        <v>2024-07-16</v>
      </c>
      <c r="C231" t="str">
        <f>IF('Raw RetailSalesData'!C231="","UNKNOW",'Raw RetailSalesData'!C231)</f>
        <v>CUST-1056</v>
      </c>
      <c r="D231" t="str">
        <f>IF('Raw RetailSalesData'!D231="","UNKNOW",'Raw RetailSalesData'!D231)</f>
        <v>P103</v>
      </c>
      <c r="E231" s="5">
        <f>IF('Raw RetailSalesData'!E231="",'Raw RetailSalesData'!F231/'Raw RetailSalesData'!G231,'Raw RetailSalesData'!E231)</f>
        <v>8</v>
      </c>
      <c r="F231" s="7">
        <f>IF('Raw RetailSalesData'!F231="",'Raw RetailSalesData'!G231/'Raw RetailSalesData'!E231,'Raw RetailSalesData'!F231)</f>
        <v>100</v>
      </c>
      <c r="G231" s="7">
        <f t="shared" si="3"/>
        <v>800</v>
      </c>
      <c r="H231" s="5" t="str">
        <f>IF('Raw RetailSalesData'!H231="","Unknown",'Raw RetailSalesData'!H231)</f>
        <v>NA</v>
      </c>
      <c r="I231" t="s">
        <v>100</v>
      </c>
      <c r="J231" t="s">
        <v>101</v>
      </c>
      <c r="K231" t="str">
        <f>TRIM('Raw RetailSalesData'!K231)</f>
        <v>Sales Rep 1</v>
      </c>
      <c r="L231" t="s">
        <v>31</v>
      </c>
    </row>
    <row r="232" spans="1:12" x14ac:dyDescent="0.3">
      <c r="A232" t="str">
        <f>IF(COUNTIF('Raw RetailSalesData'!$A:$L,'Raw RetailSalesData'!A232)=1,'Raw RetailSalesData'!A232,"")</f>
        <v>ORD-10258</v>
      </c>
      <c r="B232" t="str">
        <f>IF('Raw RetailSalesData'!B232="","UNKNOWN",'Raw RetailSalesData'!B232)</f>
        <v>2024-01-01</v>
      </c>
      <c r="C232" t="str">
        <f>IF('Raw RetailSalesData'!C232="","UNKNOW",'Raw RetailSalesData'!C232)</f>
        <v>CUST-1140</v>
      </c>
      <c r="D232" t="str">
        <f>IF('Raw RetailSalesData'!D232="","UNKNOW",'Raw RetailSalesData'!D232)</f>
        <v>C302</v>
      </c>
      <c r="E232" s="5">
        <f>IF('Raw RetailSalesData'!E232="",'Raw RetailSalesData'!F232/'Raw RetailSalesData'!G232,'Raw RetailSalesData'!E232)</f>
        <v>14</v>
      </c>
      <c r="F232" s="7">
        <f>IF('Raw RetailSalesData'!F232="",'Raw RetailSalesData'!G232/'Raw RetailSalesData'!E232,'Raw RetailSalesData'!F232)</f>
        <v>50</v>
      </c>
      <c r="G232" s="7">
        <f t="shared" si="3"/>
        <v>700</v>
      </c>
      <c r="H232" s="5" t="str">
        <f>IF('Raw RetailSalesData'!H232="","Unknown",'Raw RetailSalesData'!H232)</f>
        <v>EMEA</v>
      </c>
      <c r="I232" t="s">
        <v>38</v>
      </c>
      <c r="J232" t="s">
        <v>39</v>
      </c>
      <c r="K232" t="str">
        <f>TRIM('Raw RetailSalesData'!K232)</f>
        <v>Sales Rep 5</v>
      </c>
      <c r="L232" t="s">
        <v>21</v>
      </c>
    </row>
    <row r="233" spans="1:12" x14ac:dyDescent="0.3">
      <c r="A233" t="str">
        <f>IF(COUNTIF('Raw RetailSalesData'!$A:$L,'Raw RetailSalesData'!A233)=1,'Raw RetailSalesData'!A233,"")</f>
        <v>ORD-10259</v>
      </c>
      <c r="B233" t="str">
        <f>IF('Raw RetailSalesData'!B233="","UNKNOWN",'Raw RetailSalesData'!B233)</f>
        <v>2023-10-11</v>
      </c>
      <c r="C233" t="str">
        <f>IF('Raw RetailSalesData'!C233="","UNKNOW",'Raw RetailSalesData'!C233)</f>
        <v>UNKNOW</v>
      </c>
      <c r="D233" t="str">
        <f>IF('Raw RetailSalesData'!D233="","UNKNOW",'Raw RetailSalesData'!D233)</f>
        <v>P202</v>
      </c>
      <c r="E233" s="5">
        <f>IF('Raw RetailSalesData'!E233="",'Raw RetailSalesData'!F233/'Raw RetailSalesData'!G233,'Raw RetailSalesData'!E233)</f>
        <v>9</v>
      </c>
      <c r="F233" s="7">
        <f>IF('Raw RetailSalesData'!F233="",'Raw RetailSalesData'!G233/'Raw RetailSalesData'!E233,'Raw RetailSalesData'!F233)</f>
        <v>65</v>
      </c>
      <c r="G233" s="7">
        <f t="shared" si="3"/>
        <v>585</v>
      </c>
      <c r="H233" s="5" t="str">
        <f>IF('Raw RetailSalesData'!H233="","Unknown",'Raw RetailSalesData'!H233)</f>
        <v xml:space="preserve"> EMEA </v>
      </c>
      <c r="I233" t="s">
        <v>225</v>
      </c>
      <c r="J233" t="s">
        <v>226</v>
      </c>
      <c r="K233" t="str">
        <f>TRIM('Raw RetailSalesData'!K233)</f>
        <v>Sales Rep 3</v>
      </c>
      <c r="L233" t="s">
        <v>46</v>
      </c>
    </row>
    <row r="234" spans="1:12" x14ac:dyDescent="0.3">
      <c r="A234" t="str">
        <f>IF(COUNTIF('Raw RetailSalesData'!$A:$L,'Raw RetailSalesData'!A234)=1,'Raw RetailSalesData'!A234,"")</f>
        <v>ORD-10261</v>
      </c>
      <c r="B234" t="str">
        <f>IF('Raw RetailSalesData'!B234="","UNKNOWN",'Raw RetailSalesData'!B234)</f>
        <v>2023-10-23</v>
      </c>
      <c r="C234" t="str">
        <f>IF('Raw RetailSalesData'!C234="","UNKNOW",'Raw RetailSalesData'!C234)</f>
        <v>CUST-1156</v>
      </c>
      <c r="D234" t="str">
        <f>IF('Raw RetailSalesData'!D234="","UNKNOW",'Raw RetailSalesData'!D234)</f>
        <v>P103</v>
      </c>
      <c r="E234" s="5">
        <f>IF('Raw RetailSalesData'!E234="",'Raw RetailSalesData'!F234/'Raw RetailSalesData'!G234,'Raw RetailSalesData'!E234)</f>
        <v>3</v>
      </c>
      <c r="F234" s="7">
        <f>IF('Raw RetailSalesData'!F234="",'Raw RetailSalesData'!G234/'Raw RetailSalesData'!E234,'Raw RetailSalesData'!F234)</f>
        <v>100</v>
      </c>
      <c r="G234" s="7">
        <f t="shared" si="3"/>
        <v>300</v>
      </c>
      <c r="H234" s="5" t="str">
        <f>IF('Raw RetailSalesData'!H234="","Unknown",'Raw RetailSalesData'!H234)</f>
        <v>NA</v>
      </c>
      <c r="I234" t="s">
        <v>100</v>
      </c>
      <c r="J234" t="s">
        <v>101</v>
      </c>
      <c r="K234" t="str">
        <f>TRIM('Raw RetailSalesData'!K234)</f>
        <v>Sales Rep 4</v>
      </c>
      <c r="L234" t="s">
        <v>2190</v>
      </c>
    </row>
    <row r="235" spans="1:12" x14ac:dyDescent="0.3">
      <c r="A235" t="str">
        <f>IF(COUNTIF('Raw RetailSalesData'!$A:$L,'Raw RetailSalesData'!A235)=1,'Raw RetailSalesData'!A235,"")</f>
        <v>ORD-10262</v>
      </c>
      <c r="B235" t="str">
        <f>IF('Raw RetailSalesData'!B235="","UNKNOWN",'Raw RetailSalesData'!B235)</f>
        <v>2023-10-23</v>
      </c>
      <c r="C235" t="str">
        <f>IF('Raw RetailSalesData'!C235="","UNKNOW",'Raw RetailSalesData'!C235)</f>
        <v>CUST-1156</v>
      </c>
      <c r="D235" t="str">
        <f>IF('Raw RetailSalesData'!D235="","UNKNOW",'Raw RetailSalesData'!D235)</f>
        <v>P103</v>
      </c>
      <c r="E235" s="5">
        <f>IF('Raw RetailSalesData'!E235="",'Raw RetailSalesData'!F235/'Raw RetailSalesData'!G235,'Raw RetailSalesData'!E235)</f>
        <v>3</v>
      </c>
      <c r="F235" s="7">
        <f>IF('Raw RetailSalesData'!F235="",'Raw RetailSalesData'!G235/'Raw RetailSalesData'!E235,'Raw RetailSalesData'!F235)</f>
        <v>100</v>
      </c>
      <c r="G235" s="7">
        <f t="shared" si="3"/>
        <v>300</v>
      </c>
      <c r="H235" s="5" t="str">
        <f>IF('Raw RetailSalesData'!H235="","Unknown",'Raw RetailSalesData'!H235)</f>
        <v>NA</v>
      </c>
      <c r="I235" t="s">
        <v>100</v>
      </c>
      <c r="J235" t="s">
        <v>101</v>
      </c>
      <c r="K235" t="str">
        <f>TRIM('Raw RetailSalesData'!K235)</f>
        <v>Sales Rep 4</v>
      </c>
      <c r="L235" t="s">
        <v>21</v>
      </c>
    </row>
    <row r="236" spans="1:12" x14ac:dyDescent="0.3">
      <c r="A236" t="str">
        <f>IF(COUNTIF('Raw RetailSalesData'!$A:$L,'Raw RetailSalesData'!A236)=1,'Raw RetailSalesData'!A236,"")</f>
        <v>ORD-10263</v>
      </c>
      <c r="B236" t="str">
        <f>IF('Raw RetailSalesData'!B236="","UNKNOWN",'Raw RetailSalesData'!B236)</f>
        <v>2023-01-09</v>
      </c>
      <c r="C236" t="str">
        <f>IF('Raw RetailSalesData'!C236="","UNKNOW",'Raw RetailSalesData'!C236)</f>
        <v>CUST-1139</v>
      </c>
      <c r="D236" t="str">
        <f>IF('Raw RetailSalesData'!D236="","UNKNOW",'Raw RetailSalesData'!D236)</f>
        <v>C301</v>
      </c>
      <c r="E236" s="5">
        <f>IF('Raw RetailSalesData'!E236="",'Raw RetailSalesData'!F236/'Raw RetailSalesData'!G236,'Raw RetailSalesData'!E236)</f>
        <v>14</v>
      </c>
      <c r="F236" s="7">
        <f>IF('Raw RetailSalesData'!F236="",'Raw RetailSalesData'!G236/'Raw RetailSalesData'!E236,'Raw RetailSalesData'!F236)</f>
        <v>60</v>
      </c>
      <c r="G236" s="7">
        <f t="shared" si="3"/>
        <v>840</v>
      </c>
      <c r="H236" s="5" t="str">
        <f>IF('Raw RetailSalesData'!H236="","Unknown",'Raw RetailSalesData'!H236)</f>
        <v>NA</v>
      </c>
      <c r="I236" t="s">
        <v>100</v>
      </c>
      <c r="J236" t="s">
        <v>101</v>
      </c>
      <c r="K236" t="str">
        <f>TRIM('Raw RetailSalesData'!K236)</f>
        <v>Sales Rep 2</v>
      </c>
      <c r="L236" t="s">
        <v>31</v>
      </c>
    </row>
    <row r="237" spans="1:12" x14ac:dyDescent="0.3">
      <c r="A237" t="str">
        <f>IF(COUNTIF('Raw RetailSalesData'!$A:$L,'Raw RetailSalesData'!A237)=1,'Raw RetailSalesData'!A237,"")</f>
        <v>ORD-10264</v>
      </c>
      <c r="B237" t="str">
        <f>IF('Raw RetailSalesData'!B237="","UNKNOWN",'Raw RetailSalesData'!B237)</f>
        <v>2022-04-13</v>
      </c>
      <c r="C237" t="str">
        <f>IF('Raw RetailSalesData'!C237="","UNKNOW",'Raw RetailSalesData'!C237)</f>
        <v>CUST-1099</v>
      </c>
      <c r="D237" t="str">
        <f>IF('Raw RetailSalesData'!D237="","UNKNOW",'Raw RetailSalesData'!D237)</f>
        <v>P102</v>
      </c>
      <c r="E237" s="5">
        <f>IF('Raw RetailSalesData'!E237="",'Raw RetailSalesData'!F237/'Raw RetailSalesData'!G237,'Raw RetailSalesData'!E237)</f>
        <v>12</v>
      </c>
      <c r="F237" s="7">
        <f>IF('Raw RetailSalesData'!F237="",'Raw RetailSalesData'!G237/'Raw RetailSalesData'!E237,'Raw RetailSalesData'!F237)</f>
        <v>80</v>
      </c>
      <c r="G237" s="7">
        <f t="shared" si="3"/>
        <v>960</v>
      </c>
      <c r="H237" s="5" t="str">
        <f>IF('Raw RetailSalesData'!H237="","Unknown",'Raw RetailSalesData'!H237)</f>
        <v>APAC</v>
      </c>
      <c r="I237" t="s">
        <v>183</v>
      </c>
      <c r="J237" t="s">
        <v>184</v>
      </c>
      <c r="K237" t="str">
        <f>TRIM('Raw RetailSalesData'!K237)</f>
        <v>Sales Rep 3</v>
      </c>
      <c r="L237" t="s">
        <v>46</v>
      </c>
    </row>
    <row r="238" spans="1:12" x14ac:dyDescent="0.3">
      <c r="A238" t="str">
        <f>IF(COUNTIF('Raw RetailSalesData'!$A:$L,'Raw RetailSalesData'!A238)=1,'Raw RetailSalesData'!A238,"")</f>
        <v>ORD-10265</v>
      </c>
      <c r="B238" t="str">
        <f>IF('Raw RetailSalesData'!B238="","UNKNOWN",'Raw RetailSalesData'!B238)</f>
        <v xml:space="preserve"> 2024-09-17 </v>
      </c>
      <c r="C238" t="str">
        <f>IF('Raw RetailSalesData'!C238="","UNKNOW",'Raw RetailSalesData'!C238)</f>
        <v>CUST-1066</v>
      </c>
      <c r="D238" t="str">
        <f>IF('Raw RetailSalesData'!D238="","UNKNOW",'Raw RetailSalesData'!D238)</f>
        <v>P201</v>
      </c>
      <c r="E238" s="5">
        <f>IF('Raw RetailSalesData'!E238="",'Raw RetailSalesData'!F238/'Raw RetailSalesData'!G238,'Raw RetailSalesData'!E238)</f>
        <v>5</v>
      </c>
      <c r="F238" s="7">
        <f>IF('Raw RetailSalesData'!F238="",'Raw RetailSalesData'!G238/'Raw RetailSalesData'!E238,'Raw RetailSalesData'!F238)</f>
        <v>70</v>
      </c>
      <c r="G238" s="7">
        <f t="shared" si="3"/>
        <v>350</v>
      </c>
      <c r="H238" s="5" t="str">
        <f>IF('Raw RetailSalesData'!H238="","Unknown",'Raw RetailSalesData'!H238)</f>
        <v>APAC</v>
      </c>
      <c r="I238" t="s">
        <v>183</v>
      </c>
      <c r="J238" t="s">
        <v>184</v>
      </c>
      <c r="K238" t="str">
        <f>TRIM('Raw RetailSalesData'!K238)</f>
        <v>Sales Rep 1</v>
      </c>
      <c r="L238" t="s">
        <v>21</v>
      </c>
    </row>
    <row r="239" spans="1:12" x14ac:dyDescent="0.3">
      <c r="A239" t="str">
        <f>IF(COUNTIF('Raw RetailSalesData'!$A:$L,'Raw RetailSalesData'!A239)=1,'Raw RetailSalesData'!A239,"")</f>
        <v>ORD-10266</v>
      </c>
      <c r="B239" t="str">
        <f>IF('Raw RetailSalesData'!B239="","UNKNOWN",'Raw RetailSalesData'!B239)</f>
        <v>2026-01-23</v>
      </c>
      <c r="C239" t="str">
        <f>IF('Raw RetailSalesData'!C239="","UNKNOW",'Raw RetailSalesData'!C239)</f>
        <v>CUST-1178</v>
      </c>
      <c r="D239" t="str">
        <f>IF('Raw RetailSalesData'!D239="","UNKNOW",'Raw RetailSalesData'!D239)</f>
        <v>P102</v>
      </c>
      <c r="E239" s="5">
        <f>IF('Raw RetailSalesData'!E239="",'Raw RetailSalesData'!F239/'Raw RetailSalesData'!G239,'Raw RetailSalesData'!E239)</f>
        <v>20</v>
      </c>
      <c r="F239" s="7">
        <f>IF('Raw RetailSalesData'!F239="",'Raw RetailSalesData'!G239/'Raw RetailSalesData'!E239,'Raw RetailSalesData'!F239)</f>
        <v>80</v>
      </c>
      <c r="G239" s="7">
        <f t="shared" si="3"/>
        <v>1600</v>
      </c>
      <c r="H239" s="5" t="str">
        <f>IF('Raw RetailSalesData'!H239="","Unknown",'Raw RetailSalesData'!H239)</f>
        <v>EMEA</v>
      </c>
      <c r="I239" t="s">
        <v>83</v>
      </c>
      <c r="J239" t="s">
        <v>84</v>
      </c>
      <c r="K239" t="str">
        <f>TRIM('Raw RetailSalesData'!K239)</f>
        <v>John Smith</v>
      </c>
      <c r="L239" t="s">
        <v>46</v>
      </c>
    </row>
    <row r="240" spans="1:12" x14ac:dyDescent="0.3">
      <c r="A240" t="str">
        <f>IF(COUNTIF('Raw RetailSalesData'!$A:$L,'Raw RetailSalesData'!A240)=1,'Raw RetailSalesData'!A240,"")</f>
        <v>ORD-10267</v>
      </c>
      <c r="B240" t="str">
        <f>IF('Raw RetailSalesData'!B240="","UNKNOWN",'Raw RetailSalesData'!B240)</f>
        <v>2022-07-14</v>
      </c>
      <c r="C240" t="str">
        <f>IF('Raw RetailSalesData'!C240="","UNKNOW",'Raw RetailSalesData'!C240)</f>
        <v>CUST-1200</v>
      </c>
      <c r="D240" t="str">
        <f>IF('Raw RetailSalesData'!D240="","UNKNOW",'Raw RetailSalesData'!D240)</f>
        <v>P202</v>
      </c>
      <c r="E240" s="5">
        <f>IF('Raw RetailSalesData'!E240="",'Raw RetailSalesData'!F240/'Raw RetailSalesData'!G240,'Raw RetailSalesData'!E240)</f>
        <v>20</v>
      </c>
      <c r="F240" s="7">
        <f>IF('Raw RetailSalesData'!F240="",'Raw RetailSalesData'!G240/'Raw RetailSalesData'!E240,'Raw RetailSalesData'!F240)</f>
        <v>65</v>
      </c>
      <c r="G240" s="7">
        <f t="shared" si="3"/>
        <v>1300</v>
      </c>
      <c r="H240" s="5" t="str">
        <f>IF('Raw RetailSalesData'!H240="","Unknown",'Raw RetailSalesData'!H240)</f>
        <v>EMEA</v>
      </c>
      <c r="I240" t="s">
        <v>83</v>
      </c>
      <c r="J240" t="s">
        <v>84</v>
      </c>
      <c r="K240" t="str">
        <f>TRIM('Raw RetailSalesData'!K240)</f>
        <v>John Smith</v>
      </c>
      <c r="L240" t="s">
        <v>21</v>
      </c>
    </row>
    <row r="241" spans="1:12" x14ac:dyDescent="0.3">
      <c r="A241" t="str">
        <f>IF(COUNTIF('Raw RetailSalesData'!$A:$L,'Raw RetailSalesData'!A241)=1,'Raw RetailSalesData'!A241,"")</f>
        <v>ORD-10269</v>
      </c>
      <c r="B241" t="str">
        <f>IF('Raw RetailSalesData'!B241="","UNKNOWN",'Raw RetailSalesData'!B241)</f>
        <v>2026-05-09</v>
      </c>
      <c r="C241" t="str">
        <f>IF('Raw RetailSalesData'!C241="","UNKNOW",'Raw RetailSalesData'!C241)</f>
        <v>CUST-1178</v>
      </c>
      <c r="D241" t="str">
        <f>IF('Raw RetailSalesData'!D241="","UNKNOW",'Raw RetailSalesData'!D241)</f>
        <v>P203</v>
      </c>
      <c r="E241" s="5">
        <f>IF('Raw RetailSalesData'!E241="",'Raw RetailSalesData'!F241/'Raw RetailSalesData'!G241,'Raw RetailSalesData'!E241)</f>
        <v>15</v>
      </c>
      <c r="F241" s="7">
        <f>IF('Raw RetailSalesData'!F241="",'Raw RetailSalesData'!G241/'Raw RetailSalesData'!E241,'Raw RetailSalesData'!F241)</f>
        <v>73</v>
      </c>
      <c r="G241" s="7">
        <f t="shared" si="3"/>
        <v>1095</v>
      </c>
      <c r="H241" s="5" t="str">
        <f>IF('Raw RetailSalesData'!H241="","Unknown",'Raw RetailSalesData'!H241)</f>
        <v>NA</v>
      </c>
      <c r="I241" t="s">
        <v>28</v>
      </c>
      <c r="J241" t="s">
        <v>2196</v>
      </c>
      <c r="K241" t="str">
        <f>TRIM('Raw RetailSalesData'!K241)</f>
        <v>Michael Johnson</v>
      </c>
      <c r="L241" t="s">
        <v>21</v>
      </c>
    </row>
    <row r="242" spans="1:12" x14ac:dyDescent="0.3">
      <c r="A242" t="str">
        <f>IF(COUNTIF('Raw RetailSalesData'!$A:$L,'Raw RetailSalesData'!A242)=1,'Raw RetailSalesData'!A242,"")</f>
        <v>ORD-10270</v>
      </c>
      <c r="B242" t="str">
        <f>IF('Raw RetailSalesData'!B242="","UNKNOWN",'Raw RetailSalesData'!B242)</f>
        <v>2026-01-07</v>
      </c>
      <c r="C242" t="str">
        <f>IF('Raw RetailSalesData'!C242="","UNKNOW",'Raw RetailSalesData'!C242)</f>
        <v>CUST-1106</v>
      </c>
      <c r="D242" t="str">
        <f>IF('Raw RetailSalesData'!D242="","UNKNOW",'Raw RetailSalesData'!D242)</f>
        <v>C302</v>
      </c>
      <c r="E242" s="5">
        <f>IF('Raw RetailSalesData'!E242="",'Raw RetailSalesData'!F242/'Raw RetailSalesData'!G242,'Raw RetailSalesData'!E242)</f>
        <v>2</v>
      </c>
      <c r="F242" s="7">
        <f>IF('Raw RetailSalesData'!F242="",'Raw RetailSalesData'!G242/'Raw RetailSalesData'!E242,'Raw RetailSalesData'!F242)</f>
        <v>50</v>
      </c>
      <c r="G242" s="7">
        <f t="shared" si="3"/>
        <v>100</v>
      </c>
      <c r="H242" s="5" t="str">
        <f>IF('Raw RetailSalesData'!H242="","Unknown",'Raw RetailSalesData'!H242)</f>
        <v>APAC</v>
      </c>
      <c r="I242" t="s">
        <v>71</v>
      </c>
      <c r="J242" t="s">
        <v>72</v>
      </c>
      <c r="K242" t="str">
        <f>TRIM('Raw RetailSalesData'!K242)</f>
        <v>Hiroshi Tanaka</v>
      </c>
      <c r="L242" t="s">
        <v>46</v>
      </c>
    </row>
    <row r="243" spans="1:12" x14ac:dyDescent="0.3">
      <c r="A243" t="str">
        <f>IF(COUNTIF('Raw RetailSalesData'!$A:$L,'Raw RetailSalesData'!A243)=1,'Raw RetailSalesData'!A243,"")</f>
        <v>ORD-10271</v>
      </c>
      <c r="B243" t="str">
        <f>IF('Raw RetailSalesData'!B243="","UNKNOWN",'Raw RetailSalesData'!B243)</f>
        <v>2026-01-07</v>
      </c>
      <c r="C243" t="str">
        <f>IF('Raw RetailSalesData'!C243="","UNKNOW",'Raw RetailSalesData'!C243)</f>
        <v>CUST-1106</v>
      </c>
      <c r="D243" t="str">
        <f>IF('Raw RetailSalesData'!D243="","UNKNOW",'Raw RetailSalesData'!D243)</f>
        <v>C302</v>
      </c>
      <c r="E243" s="5">
        <f>IF('Raw RetailSalesData'!E243="",'Raw RetailSalesData'!F243/'Raw RetailSalesData'!G243,'Raw RetailSalesData'!E243)</f>
        <v>2</v>
      </c>
      <c r="F243" s="7">
        <f>IF('Raw RetailSalesData'!F243="",'Raw RetailSalesData'!G243/'Raw RetailSalesData'!E243,'Raw RetailSalesData'!F243)</f>
        <v>50</v>
      </c>
      <c r="G243" s="7">
        <f t="shared" si="3"/>
        <v>100</v>
      </c>
      <c r="H243" s="5" t="str">
        <f>IF('Raw RetailSalesData'!H243="","Unknown",'Raw RetailSalesData'!H243)</f>
        <v>APAC</v>
      </c>
      <c r="I243" t="s">
        <v>71</v>
      </c>
      <c r="J243" t="s">
        <v>72</v>
      </c>
      <c r="K243" t="str">
        <f>TRIM('Raw RetailSalesData'!K243)</f>
        <v>Hiroshi Tanaka</v>
      </c>
      <c r="L243" t="s">
        <v>46</v>
      </c>
    </row>
    <row r="244" spans="1:12" x14ac:dyDescent="0.3">
      <c r="A244" t="str">
        <f>IF(COUNTIF('Raw RetailSalesData'!$A:$L,'Raw RetailSalesData'!A244)=1,'Raw RetailSalesData'!A244,"")</f>
        <v>ORD-10272</v>
      </c>
      <c r="B244" t="str">
        <f>IF('Raw RetailSalesData'!B244="","UNKNOWN",'Raw RetailSalesData'!B244)</f>
        <v>#N/A</v>
      </c>
      <c r="C244" t="str">
        <f>IF('Raw RetailSalesData'!C244="","UNKNOW",'Raw RetailSalesData'!C244)</f>
        <v>CUST-1190</v>
      </c>
      <c r="D244" t="str">
        <f>IF('Raw RetailSalesData'!D244="","UNKNOW",'Raw RetailSalesData'!D244)</f>
        <v>C303</v>
      </c>
      <c r="E244" s="5">
        <f>IF('Raw RetailSalesData'!E244="",'Raw RetailSalesData'!F244/'Raw RetailSalesData'!G244,'Raw RetailSalesData'!E244)</f>
        <v>18</v>
      </c>
      <c r="F244" s="7">
        <f>IF('Raw RetailSalesData'!F244="",'Raw RetailSalesData'!G244/'Raw RetailSalesData'!E244,'Raw RetailSalesData'!F244)</f>
        <v>65</v>
      </c>
      <c r="G244" s="7">
        <f t="shared" si="3"/>
        <v>1170</v>
      </c>
      <c r="H244" s="5" t="str">
        <f>IF('Raw RetailSalesData'!H244="","Unknown",'Raw RetailSalesData'!H244)</f>
        <v>NA</v>
      </c>
      <c r="I244" t="s">
        <v>100</v>
      </c>
      <c r="J244" t="s">
        <v>101</v>
      </c>
      <c r="K244" t="str">
        <f>TRIM('Raw RetailSalesData'!K244)</f>
        <v>Sales Rep 2</v>
      </c>
      <c r="L244" t="s">
        <v>21</v>
      </c>
    </row>
    <row r="245" spans="1:12" x14ac:dyDescent="0.3">
      <c r="A245" t="str">
        <f>IF(COUNTIF('Raw RetailSalesData'!$A:$L,'Raw RetailSalesData'!A245)=1,'Raw RetailSalesData'!A245,"")</f>
        <v>ORD-10273</v>
      </c>
      <c r="B245" t="str">
        <f>IF('Raw RetailSalesData'!B245="","UNKNOWN",'Raw RetailSalesData'!B245)</f>
        <v>2024-10-05</v>
      </c>
      <c r="C245" t="str">
        <f>IF('Raw RetailSalesData'!C245="","UNKNOW",'Raw RetailSalesData'!C245)</f>
        <v>CUST-1038</v>
      </c>
      <c r="D245" t="str">
        <f>IF('Raw RetailSalesData'!D245="","UNKNOW",'Raw RetailSalesData'!D245)</f>
        <v>P201</v>
      </c>
      <c r="E245" s="5">
        <f>IF('Raw RetailSalesData'!E245="",'Raw RetailSalesData'!F245/'Raw RetailSalesData'!G245,'Raw RetailSalesData'!E245)</f>
        <v>17</v>
      </c>
      <c r="F245" s="7">
        <f>IF('Raw RetailSalesData'!F245="",'Raw RetailSalesData'!G245/'Raw RetailSalesData'!E245,'Raw RetailSalesData'!F245)</f>
        <v>70</v>
      </c>
      <c r="G245" s="7">
        <f t="shared" si="3"/>
        <v>1190</v>
      </c>
      <c r="H245" s="5" t="str">
        <f>IF('Raw RetailSalesData'!H245="","Unknown",'Raw RetailSalesData'!H245)</f>
        <v>APAC</v>
      </c>
      <c r="I245" t="s">
        <v>71</v>
      </c>
      <c r="J245" t="s">
        <v>72</v>
      </c>
      <c r="K245" t="str">
        <f>TRIM('Raw RetailSalesData'!K245)</f>
        <v>Hiroshi Tanaka</v>
      </c>
      <c r="L245" t="s">
        <v>21</v>
      </c>
    </row>
    <row r="246" spans="1:12" x14ac:dyDescent="0.3">
      <c r="A246" t="str">
        <f>IF(COUNTIF('Raw RetailSalesData'!$A:$L,'Raw RetailSalesData'!A246)=1,'Raw RetailSalesData'!A246,"")</f>
        <v>ORD-10274</v>
      </c>
      <c r="B246" t="str">
        <f>IF('Raw RetailSalesData'!B246="","UNKNOWN",'Raw RetailSalesData'!B246)</f>
        <v>2025-08-21</v>
      </c>
      <c r="C246" t="str">
        <f>IF('Raw RetailSalesData'!C246="","UNKNOW",'Raw RetailSalesData'!C246)</f>
        <v>CUST-1005</v>
      </c>
      <c r="D246" t="str">
        <f>IF('Raw RetailSalesData'!D246="","UNKNOW",'Raw RetailSalesData'!D246)</f>
        <v>UNKNOW</v>
      </c>
      <c r="E246" s="5">
        <f>IF('Raw RetailSalesData'!E246="",'Raw RetailSalesData'!F246/'Raw RetailSalesData'!G246,'Raw RetailSalesData'!E246)</f>
        <v>2</v>
      </c>
      <c r="F246" s="7">
        <f>IF('Raw RetailSalesData'!F246="",'Raw RetailSalesData'!G246/'Raw RetailSalesData'!E246,'Raw RetailSalesData'!F246)</f>
        <v>55</v>
      </c>
      <c r="G246" s="7">
        <f t="shared" si="3"/>
        <v>110</v>
      </c>
      <c r="H246" s="5" t="str">
        <f>IF('Raw RetailSalesData'!H246="","Unknown",'Raw RetailSalesData'!H246)</f>
        <v>APAC</v>
      </c>
      <c r="I246" t="s">
        <v>183</v>
      </c>
      <c r="J246" t="s">
        <v>184</v>
      </c>
      <c r="K246" t="str">
        <f>TRIM('Raw RetailSalesData'!K246)</f>
        <v>Sales Rep 1</v>
      </c>
      <c r="L246" t="s">
        <v>21</v>
      </c>
    </row>
    <row r="247" spans="1:12" x14ac:dyDescent="0.3">
      <c r="A247" t="str">
        <f>IF(COUNTIF('Raw RetailSalesData'!$A:$L,'Raw RetailSalesData'!A247)=1,'Raw RetailSalesData'!A247,"")</f>
        <v>ORD-10275</v>
      </c>
      <c r="B247" t="str">
        <f>IF('Raw RetailSalesData'!B247="","UNKNOWN",'Raw RetailSalesData'!B247)</f>
        <v>2022-03-27</v>
      </c>
      <c r="C247" t="str">
        <f>IF('Raw RetailSalesData'!C247="","UNKNOW",'Raw RetailSalesData'!C247)</f>
        <v>CUST-1130</v>
      </c>
      <c r="D247" t="str">
        <f>IF('Raw RetailSalesData'!D247="","UNKNOW",'Raw RetailSalesData'!D247)</f>
        <v>UNKNOW</v>
      </c>
      <c r="E247" s="5">
        <f>IF('Raw RetailSalesData'!E247="",'Raw RetailSalesData'!F247/'Raw RetailSalesData'!G247,'Raw RetailSalesData'!E247)</f>
        <v>16</v>
      </c>
      <c r="F247" s="7">
        <f>IF('Raw RetailSalesData'!F247="",'Raw RetailSalesData'!G247/'Raw RetailSalesData'!E247,'Raw RetailSalesData'!F247)</f>
        <v>55</v>
      </c>
      <c r="G247" s="7">
        <f t="shared" si="3"/>
        <v>880</v>
      </c>
      <c r="H247" s="5" t="str">
        <f>IF('Raw RetailSalesData'!H247="","Unknown",'Raw RetailSalesData'!H247)</f>
        <v>LATAM</v>
      </c>
      <c r="I247" t="s">
        <v>18</v>
      </c>
      <c r="J247" t="s">
        <v>2197</v>
      </c>
      <c r="K247" t="str">
        <f>TRIM('Raw RetailSalesData'!K247)</f>
        <v>Sales Rep 3</v>
      </c>
      <c r="L247" t="s">
        <v>46</v>
      </c>
    </row>
    <row r="248" spans="1:12" x14ac:dyDescent="0.3">
      <c r="A248" t="str">
        <f>IF(COUNTIF('Raw RetailSalesData'!$A:$L,'Raw RetailSalesData'!A248)=1,'Raw RetailSalesData'!A248,"")</f>
        <v>ORD-10276</v>
      </c>
      <c r="B248" t="str">
        <f>IF('Raw RetailSalesData'!B248="","UNKNOWN",'Raw RetailSalesData'!B248)</f>
        <v>2022-05-29</v>
      </c>
      <c r="C248" t="str">
        <f>IF('Raw RetailSalesData'!C248="","UNKNOW",'Raw RetailSalesData'!C248)</f>
        <v xml:space="preserve"> CUST-1093 </v>
      </c>
      <c r="D248" t="str">
        <f>IF('Raw RetailSalesData'!D248="","UNKNOW",'Raw RetailSalesData'!D248)</f>
        <v>P101</v>
      </c>
      <c r="E248" s="5">
        <f>IF('Raw RetailSalesData'!E248="",'Raw RetailSalesData'!F248/'Raw RetailSalesData'!G248,'Raw RetailSalesData'!E248)</f>
        <v>5</v>
      </c>
      <c r="F248" s="7">
        <f>IF('Raw RetailSalesData'!F248="",'Raw RetailSalesData'!G248/'Raw RetailSalesData'!E248,'Raw RetailSalesData'!F248)</f>
        <v>85</v>
      </c>
      <c r="G248" s="7">
        <f t="shared" si="3"/>
        <v>425</v>
      </c>
      <c r="H248" s="5" t="str">
        <f>IF('Raw RetailSalesData'!H248="","Unknown",'Raw RetailSalesData'!H248)</f>
        <v>APAC</v>
      </c>
      <c r="I248" t="s">
        <v>71</v>
      </c>
      <c r="J248" t="s">
        <v>72</v>
      </c>
      <c r="K248" t="str">
        <f>TRIM('Raw RetailSalesData'!K248)</f>
        <v>Hiroshi Tanaka</v>
      </c>
      <c r="L248" t="s">
        <v>46</v>
      </c>
    </row>
    <row r="249" spans="1:12" x14ac:dyDescent="0.3">
      <c r="A249" t="str">
        <f>IF(COUNTIF('Raw RetailSalesData'!$A:$L,'Raw RetailSalesData'!A249)=1,'Raw RetailSalesData'!A249,"")</f>
        <v>ORD-10277</v>
      </c>
      <c r="B249" t="str">
        <f>IF('Raw RetailSalesData'!B249="","UNKNOWN",'Raw RetailSalesData'!B249)</f>
        <v>2023-08-27</v>
      </c>
      <c r="C249" t="str">
        <f>IF('Raw RetailSalesData'!C249="","UNKNOW",'Raw RetailSalesData'!C249)</f>
        <v>CUST-1156</v>
      </c>
      <c r="D249" t="str">
        <f>IF('Raw RetailSalesData'!D249="","UNKNOW",'Raw RetailSalesData'!D249)</f>
        <v>P202</v>
      </c>
      <c r="E249" s="5">
        <f>IF('Raw RetailSalesData'!E249="",'Raw RetailSalesData'!F249/'Raw RetailSalesData'!G249,'Raw RetailSalesData'!E249)</f>
        <v>1</v>
      </c>
      <c r="F249" s="7">
        <f>IF('Raw RetailSalesData'!F249="",'Raw RetailSalesData'!G249/'Raw RetailSalesData'!E249,'Raw RetailSalesData'!F249)</f>
        <v>65</v>
      </c>
      <c r="G249" s="7">
        <f t="shared" si="3"/>
        <v>65</v>
      </c>
      <c r="H249" s="5" t="str">
        <f>IF('Raw RetailSalesData'!H249="","Unknown",'Raw RetailSalesData'!H249)</f>
        <v>EMEA</v>
      </c>
      <c r="I249" t="s">
        <v>225</v>
      </c>
      <c r="J249" t="s">
        <v>226</v>
      </c>
      <c r="K249" t="str">
        <f>TRIM('Raw RetailSalesData'!K249)</f>
        <v>Sales Rep 3</v>
      </c>
      <c r="L249" t="s">
        <v>31</v>
      </c>
    </row>
    <row r="250" spans="1:12" x14ac:dyDescent="0.3">
      <c r="A250" t="str">
        <f>IF(COUNTIF('Raw RetailSalesData'!$A:$L,'Raw RetailSalesData'!A250)=1,'Raw RetailSalesData'!A250,"")</f>
        <v>ORD-10278</v>
      </c>
      <c r="B250" t="str">
        <f>IF('Raw RetailSalesData'!B250="","UNKNOWN",'Raw RetailSalesData'!B250)</f>
        <v>2026-08-26</v>
      </c>
      <c r="C250" t="str">
        <f>IF('Raw RetailSalesData'!C250="","UNKNOW",'Raw RetailSalesData'!C250)</f>
        <v xml:space="preserve"> CUST-1131 </v>
      </c>
      <c r="D250" t="str">
        <f>IF('Raw RetailSalesData'!D250="","UNKNOW",'Raw RetailSalesData'!D250)</f>
        <v>C304</v>
      </c>
      <c r="E250" s="5">
        <f>IF('Raw RetailSalesData'!E250="",'Raw RetailSalesData'!F250/'Raw RetailSalesData'!G250,'Raw RetailSalesData'!E250)</f>
        <v>19</v>
      </c>
      <c r="F250" s="7">
        <f>IF('Raw RetailSalesData'!F250="",'Raw RetailSalesData'!G250/'Raw RetailSalesData'!E250,'Raw RetailSalesData'!F250)</f>
        <v>53</v>
      </c>
      <c r="G250" s="7">
        <f t="shared" si="3"/>
        <v>1007</v>
      </c>
      <c r="H250" s="5" t="str">
        <f>IF('Raw RetailSalesData'!H250="","Unknown",'Raw RetailSalesData'!H250)</f>
        <v>LATAM</v>
      </c>
      <c r="I250" t="s">
        <v>90</v>
      </c>
      <c r="J250" t="s">
        <v>2198</v>
      </c>
      <c r="K250" t="str">
        <f>TRIM('Raw RetailSalesData'!K250)</f>
        <v>Sales Rep 1</v>
      </c>
      <c r="L250" t="s">
        <v>31</v>
      </c>
    </row>
    <row r="251" spans="1:12" x14ac:dyDescent="0.3">
      <c r="A251" t="str">
        <f>IF(COUNTIF('Raw RetailSalesData'!$A:$L,'Raw RetailSalesData'!A251)=1,'Raw RetailSalesData'!A251,"")</f>
        <v>ORD-10279</v>
      </c>
      <c r="B251" t="str">
        <f>IF('Raw RetailSalesData'!B251="","UNKNOWN",'Raw RetailSalesData'!B251)</f>
        <v>2026-04-09</v>
      </c>
      <c r="C251" t="str">
        <f>IF('Raw RetailSalesData'!C251="","UNKNOW",'Raw RetailSalesData'!C251)</f>
        <v>CUST-1030</v>
      </c>
      <c r="D251" t="str">
        <f>IF('Raw RetailSalesData'!D251="","UNKNOW",'Raw RetailSalesData'!D251)</f>
        <v>P103</v>
      </c>
      <c r="E251" s="5">
        <f>IF('Raw RetailSalesData'!E251="",'Raw RetailSalesData'!F251/'Raw RetailSalesData'!G251,'Raw RetailSalesData'!E251)</f>
        <v>20</v>
      </c>
      <c r="F251" s="7">
        <f>IF('Raw RetailSalesData'!F251="",'Raw RetailSalesData'!G251/'Raw RetailSalesData'!E251,'Raw RetailSalesData'!F251)</f>
        <v>90</v>
      </c>
      <c r="G251" s="7">
        <f t="shared" si="3"/>
        <v>1800</v>
      </c>
      <c r="H251" s="5" t="str">
        <f>IF('Raw RetailSalesData'!H251="","Unknown",'Raw RetailSalesData'!H251)</f>
        <v>LATAM</v>
      </c>
      <c r="I251" t="s">
        <v>18</v>
      </c>
      <c r="J251" t="s">
        <v>2197</v>
      </c>
      <c r="K251" t="str">
        <f>TRIM('Raw RetailSalesData'!K251)</f>
        <v>Sales Rep 5</v>
      </c>
      <c r="L251" t="s">
        <v>46</v>
      </c>
    </row>
    <row r="252" spans="1:12" x14ac:dyDescent="0.3">
      <c r="A252" t="str">
        <f>IF(COUNTIF('Raw RetailSalesData'!$A:$L,'Raw RetailSalesData'!A252)=1,'Raw RetailSalesData'!A252,"")</f>
        <v>ORD-10280</v>
      </c>
      <c r="B252" t="str">
        <f>IF('Raw RetailSalesData'!B252="","UNKNOWN",'Raw RetailSalesData'!B252)</f>
        <v>2022-11-27</v>
      </c>
      <c r="C252" t="str">
        <f>IF('Raw RetailSalesData'!C252="","UNKNOW",'Raw RetailSalesData'!C252)</f>
        <v>CUST-1050</v>
      </c>
      <c r="D252" t="str">
        <f>IF('Raw RetailSalesData'!D252="","UNKNOW",'Raw RetailSalesData'!D252)</f>
        <v>P203</v>
      </c>
      <c r="E252" s="5">
        <f>IF('Raw RetailSalesData'!E252="",'Raw RetailSalesData'!F252/'Raw RetailSalesData'!G252,'Raw RetailSalesData'!E252)</f>
        <v>11</v>
      </c>
      <c r="F252" s="7">
        <f>IF('Raw RetailSalesData'!F252="",'Raw RetailSalesData'!G252/'Raw RetailSalesData'!E252,'Raw RetailSalesData'!F252)</f>
        <v>68</v>
      </c>
      <c r="G252" s="7">
        <f t="shared" si="3"/>
        <v>748</v>
      </c>
      <c r="H252" s="5" t="str">
        <f>IF('Raw RetailSalesData'!H252="","Unknown",'Raw RetailSalesData'!H252)</f>
        <v>APAC</v>
      </c>
      <c r="I252" t="s">
        <v>183</v>
      </c>
      <c r="J252" t="s">
        <v>184</v>
      </c>
      <c r="K252" t="str">
        <f>TRIM('Raw RetailSalesData'!K252)</f>
        <v>Sales Rep 1</v>
      </c>
      <c r="L252" t="s">
        <v>21</v>
      </c>
    </row>
    <row r="253" spans="1:12" x14ac:dyDescent="0.3">
      <c r="A253" t="str">
        <f>IF(COUNTIF('Raw RetailSalesData'!$A:$L,'Raw RetailSalesData'!A253)=1,'Raw RetailSalesData'!A253,"")</f>
        <v>ORD-10281</v>
      </c>
      <c r="B253" t="str">
        <f>IF('Raw RetailSalesData'!B253="","UNKNOWN",'Raw RetailSalesData'!B253)</f>
        <v>2022-12-18</v>
      </c>
      <c r="C253" t="str">
        <f>IF('Raw RetailSalesData'!C253="","UNKNOW",'Raw RetailSalesData'!C253)</f>
        <v>CUST-1163</v>
      </c>
      <c r="D253" t="str">
        <f>IF('Raw RetailSalesData'!D253="","UNKNOW",'Raw RetailSalesData'!D253)</f>
        <v>C302</v>
      </c>
      <c r="E253" s="5">
        <f>IF('Raw RetailSalesData'!E253="",'Raw RetailSalesData'!F253/'Raw RetailSalesData'!G253,'Raw RetailSalesData'!E253)</f>
        <v>20</v>
      </c>
      <c r="F253" s="7">
        <f>IF('Raw RetailSalesData'!F253="",'Raw RetailSalesData'!G253/'Raw RetailSalesData'!E253,'Raw RetailSalesData'!F253)</f>
        <v>45</v>
      </c>
      <c r="G253" s="7">
        <f t="shared" si="3"/>
        <v>900</v>
      </c>
      <c r="H253" s="5" t="str">
        <f>IF('Raw RetailSalesData'!H253="","Unknown",'Raw RetailSalesData'!H253)</f>
        <v>LATAM</v>
      </c>
      <c r="I253" t="s">
        <v>90</v>
      </c>
      <c r="J253" t="s">
        <v>2198</v>
      </c>
      <c r="K253" t="str">
        <f>TRIM('Raw RetailSalesData'!K253)</f>
        <v>Sales Rep 3</v>
      </c>
      <c r="L253" t="s">
        <v>46</v>
      </c>
    </row>
    <row r="254" spans="1:12" x14ac:dyDescent="0.3">
      <c r="A254" t="str">
        <f>IF(COUNTIF('Raw RetailSalesData'!$A:$L,'Raw RetailSalesData'!A254)=1,'Raw RetailSalesData'!A254,"")</f>
        <v>ORD-10282</v>
      </c>
      <c r="B254" t="str">
        <f>IF('Raw RetailSalesData'!B254="","UNKNOWN",'Raw RetailSalesData'!B254)</f>
        <v>2026-09-04</v>
      </c>
      <c r="C254" t="str">
        <f>IF('Raw RetailSalesData'!C254="","UNKNOW",'Raw RetailSalesData'!C254)</f>
        <v>CUST-1196</v>
      </c>
      <c r="D254" t="str">
        <f>IF('Raw RetailSalesData'!D254="","UNKNOW",'Raw RetailSalesData'!D254)</f>
        <v>P203</v>
      </c>
      <c r="E254" s="5">
        <f>IF('Raw RetailSalesData'!E254="",'Raw RetailSalesData'!F254/'Raw RetailSalesData'!G254,'Raw RetailSalesData'!E254)</f>
        <v>12</v>
      </c>
      <c r="F254" s="7">
        <f>IF('Raw RetailSalesData'!F254="",'Raw RetailSalesData'!G254/'Raw RetailSalesData'!E254,'Raw RetailSalesData'!F254)</f>
        <v>68</v>
      </c>
      <c r="G254" s="7">
        <f t="shared" si="3"/>
        <v>816</v>
      </c>
      <c r="H254" s="5" t="str">
        <f>IF('Raw RetailSalesData'!H254="","Unknown",'Raw RetailSalesData'!H254)</f>
        <v>APAC</v>
      </c>
      <c r="I254" t="s">
        <v>2190</v>
      </c>
      <c r="J254" t="s">
        <v>188</v>
      </c>
      <c r="K254" t="str">
        <f>TRIM('Raw RetailSalesData'!K254)</f>
        <v>Sales Rep 1</v>
      </c>
      <c r="L254" t="s">
        <v>21</v>
      </c>
    </row>
    <row r="255" spans="1:12" x14ac:dyDescent="0.3">
      <c r="A255" t="str">
        <f>IF(COUNTIF('Raw RetailSalesData'!$A:$L,'Raw RetailSalesData'!A255)=1,'Raw RetailSalesData'!A255,"")</f>
        <v>ORD-10283</v>
      </c>
      <c r="B255" t="str">
        <f>IF('Raw RetailSalesData'!B255="","UNKNOWN",'Raw RetailSalesData'!B255)</f>
        <v>2023-02-10</v>
      </c>
      <c r="C255" t="str">
        <f>IF('Raw RetailSalesData'!C255="","UNKNOW",'Raw RetailSalesData'!C255)</f>
        <v>CUST-1186</v>
      </c>
      <c r="D255" t="str">
        <f>IF('Raw RetailSalesData'!D255="","UNKNOW",'Raw RetailSalesData'!D255)</f>
        <v>C304</v>
      </c>
      <c r="E255" s="5">
        <f>IF('Raw RetailSalesData'!E255="",'Raw RetailSalesData'!F255/'Raw RetailSalesData'!G255,'Raw RetailSalesData'!E255)</f>
        <v>3</v>
      </c>
      <c r="F255" s="7">
        <f>IF('Raw RetailSalesData'!F255="",'Raw RetailSalesData'!G255/'Raw RetailSalesData'!E255,'Raw RetailSalesData'!F255)</f>
        <v>63</v>
      </c>
      <c r="G255" s="7">
        <f t="shared" si="3"/>
        <v>189</v>
      </c>
      <c r="H255" s="5" t="str">
        <f>IF('Raw RetailSalesData'!H255="","Unknown",'Raw RetailSalesData'!H255)</f>
        <v>NA</v>
      </c>
      <c r="I255" t="s">
        <v>100</v>
      </c>
      <c r="J255" t="s">
        <v>101</v>
      </c>
      <c r="K255" t="str">
        <f>TRIM('Raw RetailSalesData'!K255)</f>
        <v>Sales Rep 2</v>
      </c>
      <c r="L255" t="s">
        <v>21</v>
      </c>
    </row>
    <row r="256" spans="1:12" x14ac:dyDescent="0.3">
      <c r="A256" t="str">
        <f>IF(COUNTIF('Raw RetailSalesData'!$A:$L,'Raw RetailSalesData'!A256)=1,'Raw RetailSalesData'!A256,"")</f>
        <v>ORD-10285</v>
      </c>
      <c r="B256" t="str">
        <f>IF('Raw RetailSalesData'!B256="","UNKNOWN",'Raw RetailSalesData'!B256)</f>
        <v>2024-01-05</v>
      </c>
      <c r="C256" t="str">
        <f>IF('Raw RetailSalesData'!C256="","UNKNOW",'Raw RetailSalesData'!C256)</f>
        <v>CUST-1164</v>
      </c>
      <c r="D256" t="str">
        <f>IF('Raw RetailSalesData'!D256="","UNKNOW",'Raw RetailSalesData'!D256)</f>
        <v>P102</v>
      </c>
      <c r="E256" s="5">
        <f>IF('Raw RetailSalesData'!E256="",'Raw RetailSalesData'!F256/'Raw RetailSalesData'!G256,'Raw RetailSalesData'!E256)</f>
        <v>7</v>
      </c>
      <c r="F256" s="7">
        <f>IF('Raw RetailSalesData'!F256="",'Raw RetailSalesData'!G256/'Raw RetailSalesData'!E256,'Raw RetailSalesData'!F256)</f>
        <v>75</v>
      </c>
      <c r="G256" s="7">
        <f t="shared" si="3"/>
        <v>525</v>
      </c>
      <c r="H256" s="5" t="str">
        <f>IF('Raw RetailSalesData'!H256="","Unknown",'Raw RetailSalesData'!H256)</f>
        <v>LATAM</v>
      </c>
      <c r="I256" t="s">
        <v>18</v>
      </c>
      <c r="J256" t="s">
        <v>2197</v>
      </c>
      <c r="K256" t="str">
        <f>TRIM('Raw RetailSalesData'!K256)</f>
        <v>Sales Rep 5</v>
      </c>
      <c r="L256" t="s">
        <v>31</v>
      </c>
    </row>
    <row r="257" spans="1:12" x14ac:dyDescent="0.3">
      <c r="A257" t="str">
        <f>IF(COUNTIF('Raw RetailSalesData'!$A:$L,'Raw RetailSalesData'!A257)=1,'Raw RetailSalesData'!A257,"")</f>
        <v>ORD-10286</v>
      </c>
      <c r="B257" t="str">
        <f>IF('Raw RetailSalesData'!B257="","UNKNOWN",'Raw RetailSalesData'!B257)</f>
        <v>2023-08-05</v>
      </c>
      <c r="C257" t="str">
        <f>IF('Raw RetailSalesData'!C257="","UNKNOW",'Raw RetailSalesData'!C257)</f>
        <v>CUST-1076</v>
      </c>
      <c r="D257" t="str">
        <f>IF('Raw RetailSalesData'!D257="","UNKNOW",'Raw RetailSalesData'!D257)</f>
        <v>P101</v>
      </c>
      <c r="E257" s="5">
        <f>IF('Raw RetailSalesData'!E257="",'Raw RetailSalesData'!F257/'Raw RetailSalesData'!G257,'Raw RetailSalesData'!E257)</f>
        <v>17</v>
      </c>
      <c r="F257" s="7">
        <f>IF('Raw RetailSalesData'!F257="",'Raw RetailSalesData'!G257/'Raw RetailSalesData'!E257,'Raw RetailSalesData'!F257)</f>
        <v>80</v>
      </c>
      <c r="G257" s="7">
        <f t="shared" si="3"/>
        <v>1360</v>
      </c>
      <c r="H257" s="5" t="str">
        <f>IF('Raw RetailSalesData'!H257="","Unknown",'Raw RetailSalesData'!H257)</f>
        <v>LATAM</v>
      </c>
      <c r="I257" t="s">
        <v>90</v>
      </c>
      <c r="J257" t="s">
        <v>2198</v>
      </c>
      <c r="K257" t="str">
        <f>TRIM('Raw RetailSalesData'!K257)</f>
        <v>Sales Rep 5</v>
      </c>
      <c r="L257" t="s">
        <v>31</v>
      </c>
    </row>
    <row r="258" spans="1:12" x14ac:dyDescent="0.3">
      <c r="A258" t="str">
        <f>IF(COUNTIF('Raw RetailSalesData'!$A:$L,'Raw RetailSalesData'!A258)=1,'Raw RetailSalesData'!A258,"")</f>
        <v>ORD-10287</v>
      </c>
      <c r="B258" t="str">
        <f>IF('Raw RetailSalesData'!B258="","UNKNOWN",'Raw RetailSalesData'!B258)</f>
        <v>2023-08-16</v>
      </c>
      <c r="C258" t="str">
        <f>IF('Raw RetailSalesData'!C258="","UNKNOW",'Raw RetailSalesData'!C258)</f>
        <v>CUST-1072</v>
      </c>
      <c r="D258" t="str">
        <f>IF('Raw RetailSalesData'!D258="","UNKNOW",'Raw RetailSalesData'!D258)</f>
        <v>P102</v>
      </c>
      <c r="E258" s="5">
        <f>IF('Raw RetailSalesData'!E258="",'Raw RetailSalesData'!F258/'Raw RetailSalesData'!G258,'Raw RetailSalesData'!E258)</f>
        <v>11</v>
      </c>
      <c r="F258" s="7">
        <f>IF('Raw RetailSalesData'!F258="",'Raw RetailSalesData'!G258/'Raw RetailSalesData'!E258,'Raw RetailSalesData'!F258)</f>
        <v>85</v>
      </c>
      <c r="G258" s="7">
        <f t="shared" si="3"/>
        <v>935</v>
      </c>
      <c r="H258" s="5" t="str">
        <f>IF('Raw RetailSalesData'!H258="","Unknown",'Raw RetailSalesData'!H258)</f>
        <v>NA</v>
      </c>
      <c r="I258" t="s">
        <v>100</v>
      </c>
      <c r="J258" t="s">
        <v>101</v>
      </c>
      <c r="K258" t="str">
        <f>TRIM('Raw RetailSalesData'!K258)</f>
        <v>Sales Rep 3</v>
      </c>
      <c r="L258" t="s">
        <v>46</v>
      </c>
    </row>
    <row r="259" spans="1:12" x14ac:dyDescent="0.3">
      <c r="A259" t="str">
        <f>IF(COUNTIF('Raw RetailSalesData'!$A:$L,'Raw RetailSalesData'!A259)=1,'Raw RetailSalesData'!A259,"")</f>
        <v>ORD-10288</v>
      </c>
      <c r="B259" t="str">
        <f>IF('Raw RetailSalesData'!B259="","UNKNOWN",'Raw RetailSalesData'!B259)</f>
        <v>2024-02-16</v>
      </c>
      <c r="C259" t="str">
        <f>IF('Raw RetailSalesData'!C259="","UNKNOW",'Raw RetailSalesData'!C259)</f>
        <v>CUST-1054</v>
      </c>
      <c r="D259" t="str">
        <f>IF('Raw RetailSalesData'!D259="","UNKNOW",'Raw RetailSalesData'!D259)</f>
        <v>P103</v>
      </c>
      <c r="E259" s="5">
        <f>IF('Raw RetailSalesData'!E259="",'Raw RetailSalesData'!F259/'Raw RetailSalesData'!G259,'Raw RetailSalesData'!E259)</f>
        <v>7</v>
      </c>
      <c r="F259" s="7">
        <f>IF('Raw RetailSalesData'!F259="",'Raw RetailSalesData'!G259/'Raw RetailSalesData'!E259,'Raw RetailSalesData'!F259)</f>
        <v>90</v>
      </c>
      <c r="G259" s="7">
        <f t="shared" ref="G259:G322" si="4">F259*E259</f>
        <v>630</v>
      </c>
      <c r="H259" s="5" t="str">
        <f>IF('Raw RetailSalesData'!H259="","Unknown",'Raw RetailSalesData'!H259)</f>
        <v>LATAM</v>
      </c>
      <c r="I259" t="s">
        <v>90</v>
      </c>
      <c r="J259" t="s">
        <v>2198</v>
      </c>
      <c r="K259" t="str">
        <f>TRIM('Raw RetailSalesData'!K259)</f>
        <v>Sales Rep 4</v>
      </c>
      <c r="L259" t="s">
        <v>31</v>
      </c>
    </row>
    <row r="260" spans="1:12" x14ac:dyDescent="0.3">
      <c r="A260" t="str">
        <f>IF(COUNTIF('Raw RetailSalesData'!$A:$L,'Raw RetailSalesData'!A260)=1,'Raw RetailSalesData'!A260,"")</f>
        <v>ORD-10290</v>
      </c>
      <c r="B260" t="str">
        <f>IF('Raw RetailSalesData'!B260="","UNKNOWN",'Raw RetailSalesData'!B260)</f>
        <v>2025-12-01</v>
      </c>
      <c r="C260" t="str">
        <f>IF('Raw RetailSalesData'!C260="","UNKNOW",'Raw RetailSalesData'!C260)</f>
        <v>CUST-1119</v>
      </c>
      <c r="D260" t="str">
        <f>IF('Raw RetailSalesData'!D260="","UNKNOW",'Raw RetailSalesData'!D260)</f>
        <v>P101</v>
      </c>
      <c r="E260" s="5">
        <f>IF('Raw RetailSalesData'!E260="",'Raw RetailSalesData'!F260/'Raw RetailSalesData'!G260,'Raw RetailSalesData'!E260)</f>
        <v>12</v>
      </c>
      <c r="F260" s="7">
        <f>IF('Raw RetailSalesData'!F260="",'Raw RetailSalesData'!G260/'Raw RetailSalesData'!E260,'Raw RetailSalesData'!F260)</f>
        <v>85</v>
      </c>
      <c r="G260" s="7">
        <f t="shared" si="4"/>
        <v>1020</v>
      </c>
      <c r="H260" s="5" t="str">
        <f>IF('Raw RetailSalesData'!H260="","Unknown",'Raw RetailSalesData'!H260)</f>
        <v>APAC</v>
      </c>
      <c r="I260" t="s">
        <v>151</v>
      </c>
      <c r="J260" t="s">
        <v>152</v>
      </c>
      <c r="K260" t="str">
        <f>TRIM('Raw RetailSalesData'!K260)</f>
        <v>Aarav Patel</v>
      </c>
      <c r="L260" t="s">
        <v>21</v>
      </c>
    </row>
    <row r="261" spans="1:12" x14ac:dyDescent="0.3">
      <c r="A261" t="str">
        <f>IF(COUNTIF('Raw RetailSalesData'!$A:$L,'Raw RetailSalesData'!A261)=1,'Raw RetailSalesData'!A261,"")</f>
        <v>ORD-10291</v>
      </c>
      <c r="B261" t="str">
        <f>IF('Raw RetailSalesData'!B261="","UNKNOWN",'Raw RetailSalesData'!B261)</f>
        <v>2025-12-01</v>
      </c>
      <c r="C261" t="str">
        <f>IF('Raw RetailSalesData'!C261="","UNKNOW",'Raw RetailSalesData'!C261)</f>
        <v>CUST-1119</v>
      </c>
      <c r="D261" t="str">
        <f>IF('Raw RetailSalesData'!D261="","UNKNOW",'Raw RetailSalesData'!D261)</f>
        <v>P101</v>
      </c>
      <c r="E261" s="5">
        <f>IF('Raw RetailSalesData'!E261="",'Raw RetailSalesData'!F261/'Raw RetailSalesData'!G261,'Raw RetailSalesData'!E261)</f>
        <v>12</v>
      </c>
      <c r="F261" s="7">
        <f>IF('Raw RetailSalesData'!F261="",'Raw RetailSalesData'!G261/'Raw RetailSalesData'!E261,'Raw RetailSalesData'!F261)</f>
        <v>85</v>
      </c>
      <c r="G261" s="7">
        <f t="shared" si="4"/>
        <v>1020</v>
      </c>
      <c r="H261" s="5" t="str">
        <f>IF('Raw RetailSalesData'!H261="","Unknown",'Raw RetailSalesData'!H261)</f>
        <v>APAC</v>
      </c>
      <c r="I261" t="s">
        <v>151</v>
      </c>
      <c r="J261" t="s">
        <v>152</v>
      </c>
      <c r="K261" t="str">
        <f>TRIM('Raw RetailSalesData'!K261)</f>
        <v>Aarav Patel</v>
      </c>
      <c r="L261" t="s">
        <v>21</v>
      </c>
    </row>
    <row r="262" spans="1:12" x14ac:dyDescent="0.3">
      <c r="A262" t="str">
        <f>IF(COUNTIF('Raw RetailSalesData'!$A:$L,'Raw RetailSalesData'!A262)=1,'Raw RetailSalesData'!A262,"")</f>
        <v>ORD-10292</v>
      </c>
      <c r="B262" t="str">
        <f>IF('Raw RetailSalesData'!B262="","UNKNOWN",'Raw RetailSalesData'!B262)</f>
        <v>2025-12-29</v>
      </c>
      <c r="C262" t="str">
        <f>IF('Raw RetailSalesData'!C262="","UNKNOW",'Raw RetailSalesData'!C262)</f>
        <v>CUST-1128</v>
      </c>
      <c r="D262" t="str">
        <f>IF('Raw RetailSalesData'!D262="","UNKNOW",'Raw RetailSalesData'!D262)</f>
        <v>P101</v>
      </c>
      <c r="E262" s="5">
        <f>IF('Raw RetailSalesData'!E262="",'Raw RetailSalesData'!F262/'Raw RetailSalesData'!G262,'Raw RetailSalesData'!E262)</f>
        <v>6</v>
      </c>
      <c r="F262" s="7">
        <f>IF('Raw RetailSalesData'!F262="",'Raw RetailSalesData'!G262/'Raw RetailSalesData'!E262,'Raw RetailSalesData'!F262)</f>
        <v>90</v>
      </c>
      <c r="G262" s="7">
        <f t="shared" si="4"/>
        <v>540</v>
      </c>
      <c r="H262" s="5" t="str">
        <f>IF('Raw RetailSalesData'!H262="","Unknown",'Raw RetailSalesData'!H262)</f>
        <v>NA</v>
      </c>
      <c r="I262" t="s">
        <v>100</v>
      </c>
      <c r="J262" t="s">
        <v>101</v>
      </c>
      <c r="K262" t="str">
        <f>TRIM('Raw RetailSalesData'!K262)</f>
        <v>Sales Rep 2</v>
      </c>
      <c r="L262" t="s">
        <v>31</v>
      </c>
    </row>
    <row r="263" spans="1:12" x14ac:dyDescent="0.3">
      <c r="A263" t="str">
        <f>IF(COUNTIF('Raw RetailSalesData'!$A:$L,'Raw RetailSalesData'!A263)=1,'Raw RetailSalesData'!A263,"")</f>
        <v>ORD-10293</v>
      </c>
      <c r="B263" t="str">
        <f>IF('Raw RetailSalesData'!B263="","UNKNOWN",'Raw RetailSalesData'!B263)</f>
        <v>2026-05-18</v>
      </c>
      <c r="C263" t="str">
        <f>IF('Raw RetailSalesData'!C263="","UNKNOW",'Raw RetailSalesData'!C263)</f>
        <v>CUST-1025</v>
      </c>
      <c r="D263" t="str">
        <f>IF('Raw RetailSalesData'!D263="","UNKNOW",'Raw RetailSalesData'!D263)</f>
        <v>P202</v>
      </c>
      <c r="E263" s="5">
        <f>IF('Raw RetailSalesData'!E263="",'Raw RetailSalesData'!F263/'Raw RetailSalesData'!G263,'Raw RetailSalesData'!E263)</f>
        <v>9</v>
      </c>
      <c r="F263" s="7">
        <f>IF('Raw RetailSalesData'!F263="",'Raw RetailSalesData'!G263/'Raw RetailSalesData'!E263,'Raw RetailSalesData'!F263)</f>
        <v>65</v>
      </c>
      <c r="G263" s="7">
        <f t="shared" si="4"/>
        <v>585</v>
      </c>
      <c r="H263" s="5" t="str">
        <f>IF('Raw RetailSalesData'!H263="","Unknown",'Raw RetailSalesData'!H263)</f>
        <v>APAC</v>
      </c>
      <c r="I263" t="s">
        <v>151</v>
      </c>
      <c r="J263" t="s">
        <v>188</v>
      </c>
      <c r="K263" t="str">
        <f>TRIM('Raw RetailSalesData'!K263)</f>
        <v>Sales Rep 4</v>
      </c>
      <c r="L263" t="s">
        <v>46</v>
      </c>
    </row>
    <row r="264" spans="1:12" x14ac:dyDescent="0.3">
      <c r="A264" t="str">
        <f>IF(COUNTIF('Raw RetailSalesData'!$A:$L,'Raw RetailSalesData'!A264)=1,'Raw RetailSalesData'!A264,"")</f>
        <v>ORD-10294</v>
      </c>
      <c r="B264" t="str">
        <f>IF('Raw RetailSalesData'!B264="","UNKNOWN",'Raw RetailSalesData'!B264)</f>
        <v>2026-01-20</v>
      </c>
      <c r="C264" t="str">
        <f>IF('Raw RetailSalesData'!C264="","UNKNOW",'Raw RetailSalesData'!C264)</f>
        <v>CUST-1010</v>
      </c>
      <c r="D264" t="str">
        <f>IF('Raw RetailSalesData'!D264="","UNKNOW",'Raw RetailSalesData'!D264)</f>
        <v>P101</v>
      </c>
      <c r="E264" s="5">
        <f>IF('Raw RetailSalesData'!E264="",'Raw RetailSalesData'!F264/'Raw RetailSalesData'!G264,'Raw RetailSalesData'!E264)</f>
        <v>10</v>
      </c>
      <c r="F264" s="7">
        <f>IF('Raw RetailSalesData'!F264="",'Raw RetailSalesData'!G264/'Raw RetailSalesData'!E264,'Raw RetailSalesData'!F264)</f>
        <v>80</v>
      </c>
      <c r="G264" s="7">
        <f t="shared" si="4"/>
        <v>800</v>
      </c>
      <c r="H264" s="5" t="str">
        <f>IF('Raw RetailSalesData'!H264="","Unknown",'Raw RetailSalesData'!H264)</f>
        <v>LATAM</v>
      </c>
      <c r="I264" t="s">
        <v>90</v>
      </c>
      <c r="J264" t="s">
        <v>2198</v>
      </c>
      <c r="K264" t="str">
        <f>TRIM('Raw RetailSalesData'!K264)</f>
        <v>Sales Rep 1</v>
      </c>
      <c r="L264" t="s">
        <v>46</v>
      </c>
    </row>
    <row r="265" spans="1:12" x14ac:dyDescent="0.3">
      <c r="A265" t="str">
        <f>IF(COUNTIF('Raw RetailSalesData'!$A:$L,'Raw RetailSalesData'!A265)=1,'Raw RetailSalesData'!A265,"")</f>
        <v>ORD-10295</v>
      </c>
      <c r="B265" t="str">
        <f>IF('Raw RetailSalesData'!B265="","UNKNOWN",'Raw RetailSalesData'!B265)</f>
        <v>2025-04-12</v>
      </c>
      <c r="C265" t="str">
        <f>IF('Raw RetailSalesData'!C265="","UNKNOW",'Raw RetailSalesData'!C265)</f>
        <v>CUST-1020</v>
      </c>
      <c r="D265" t="str">
        <f>IF('Raw RetailSalesData'!D265="","UNKNOW",'Raw RetailSalesData'!D265)</f>
        <v>C302</v>
      </c>
      <c r="E265" s="5">
        <f>IF('Raw RetailSalesData'!E265="",'Raw RetailSalesData'!F265/'Raw RetailSalesData'!G265,'Raw RetailSalesData'!E265)</f>
        <v>5</v>
      </c>
      <c r="F265" s="7">
        <f>IF('Raw RetailSalesData'!F265="",'Raw RetailSalesData'!G265/'Raw RetailSalesData'!E265,'Raw RetailSalesData'!F265)</f>
        <v>50</v>
      </c>
      <c r="G265" s="7">
        <f t="shared" si="4"/>
        <v>250</v>
      </c>
      <c r="H265" s="5" t="str">
        <f>IF('Raw RetailSalesData'!H265="","Unknown",'Raw RetailSalesData'!H265)</f>
        <v>EMEA</v>
      </c>
      <c r="I265" t="s">
        <v>225</v>
      </c>
      <c r="J265" t="s">
        <v>226</v>
      </c>
      <c r="K265" t="str">
        <f>TRIM('Raw RetailSalesData'!K265)</f>
        <v>Sales Rep 4</v>
      </c>
      <c r="L265" t="s">
        <v>31</v>
      </c>
    </row>
    <row r="266" spans="1:12" x14ac:dyDescent="0.3">
      <c r="A266" t="str">
        <f>IF(COUNTIF('Raw RetailSalesData'!$A:$L,'Raw RetailSalesData'!A266)=1,'Raw RetailSalesData'!A266,"")</f>
        <v>ORD-10297</v>
      </c>
      <c r="B266" t="str">
        <f>IF('Raw RetailSalesData'!B266="","UNKNOWN",'Raw RetailSalesData'!B266)</f>
        <v>2026-02-06</v>
      </c>
      <c r="C266" t="str">
        <f>IF('Raw RetailSalesData'!C266="","UNKNOW",'Raw RetailSalesData'!C266)</f>
        <v>CUST-1121</v>
      </c>
      <c r="D266" t="str">
        <f>IF('Raw RetailSalesData'!D266="","UNKNOW",'Raw RetailSalesData'!D266)</f>
        <v>C302</v>
      </c>
      <c r="E266" s="5">
        <f>IF('Raw RetailSalesData'!E266="",'Raw RetailSalesData'!F266/'Raw RetailSalesData'!G266,'Raw RetailSalesData'!E266)</f>
        <v>5.5555555555555552E-2</v>
      </c>
      <c r="F266" s="7">
        <f>IF('Raw RetailSalesData'!F266="",'Raw RetailSalesData'!G266/'Raw RetailSalesData'!E266,'Raw RetailSalesData'!F266)</f>
        <v>50</v>
      </c>
      <c r="G266" s="7">
        <f t="shared" si="4"/>
        <v>2.7777777777777777</v>
      </c>
      <c r="H266" s="5" t="str">
        <f>IF('Raw RetailSalesData'!H266="","Unknown",'Raw RetailSalesData'!H266)</f>
        <v>APAC</v>
      </c>
      <c r="I266" t="s">
        <v>183</v>
      </c>
      <c r="J266" t="s">
        <v>184</v>
      </c>
      <c r="K266" t="str">
        <f>TRIM('Raw RetailSalesData'!K266)</f>
        <v>Sales Rep 3</v>
      </c>
      <c r="L266" t="s">
        <v>46</v>
      </c>
    </row>
    <row r="267" spans="1:12" x14ac:dyDescent="0.3">
      <c r="A267" t="str">
        <f>IF(COUNTIF('Raw RetailSalesData'!$A:$L,'Raw RetailSalesData'!A267)=1,'Raw RetailSalesData'!A267,"")</f>
        <v>ORD-10298</v>
      </c>
      <c r="B267" t="str">
        <f>IF('Raw RetailSalesData'!B267="","UNKNOWN",'Raw RetailSalesData'!B267)</f>
        <v>2022-07-14</v>
      </c>
      <c r="C267" t="str">
        <f>IF('Raw RetailSalesData'!C267="","UNKNOW",'Raw RetailSalesData'!C267)</f>
        <v>CUST-1134</v>
      </c>
      <c r="D267" t="str">
        <f>IF('Raw RetailSalesData'!D267="","UNKNOW",'Raw RetailSalesData'!D267)</f>
        <v>P203</v>
      </c>
      <c r="E267" s="5">
        <f>IF('Raw RetailSalesData'!E267="",'Raw RetailSalesData'!F267/'Raw RetailSalesData'!G267,'Raw RetailSalesData'!E267)</f>
        <v>9</v>
      </c>
      <c r="F267" s="7">
        <f>IF('Raw RetailSalesData'!F267="",'Raw RetailSalesData'!G267/'Raw RetailSalesData'!E267,'Raw RetailSalesData'!F267)</f>
        <v>63</v>
      </c>
      <c r="G267" s="7">
        <f t="shared" si="4"/>
        <v>567</v>
      </c>
      <c r="H267" s="5" t="str">
        <f>IF('Raw RetailSalesData'!H267="","Unknown",'Raw RetailSalesData'!H267)</f>
        <v>LATAM</v>
      </c>
      <c r="I267" t="s">
        <v>90</v>
      </c>
      <c r="J267" t="s">
        <v>2198</v>
      </c>
      <c r="K267" t="str">
        <f>TRIM('Raw RetailSalesData'!K267)</f>
        <v>Sales Rep 4</v>
      </c>
      <c r="L267" t="s">
        <v>21</v>
      </c>
    </row>
    <row r="268" spans="1:12" x14ac:dyDescent="0.3">
      <c r="A268" t="str">
        <f>IF(COUNTIF('Raw RetailSalesData'!$A:$L,'Raw RetailSalesData'!A268)=1,'Raw RetailSalesData'!A268,"")</f>
        <v>ORD-10299</v>
      </c>
      <c r="B268" t="str">
        <f>IF('Raw RetailSalesData'!B268="","UNKNOWN",'Raw RetailSalesData'!B268)</f>
        <v>2026-02-01</v>
      </c>
      <c r="C268" t="str">
        <f>IF('Raw RetailSalesData'!C268="","UNKNOW",'Raw RetailSalesData'!C268)</f>
        <v>CUST-1007</v>
      </c>
      <c r="D268" t="str">
        <f>IF('Raw RetailSalesData'!D268="","UNKNOW",'Raw RetailSalesData'!D268)</f>
        <v>C301</v>
      </c>
      <c r="E268" s="5">
        <f>IF('Raw RetailSalesData'!E268="",'Raw RetailSalesData'!F268/'Raw RetailSalesData'!G268,'Raw RetailSalesData'!E268)</f>
        <v>14</v>
      </c>
      <c r="F268" s="7">
        <f>IF('Raw RetailSalesData'!F268="",'Raw RetailSalesData'!G268/'Raw RetailSalesData'!E268,'Raw RetailSalesData'!F268)</f>
        <v>60</v>
      </c>
      <c r="G268" s="7">
        <f t="shared" si="4"/>
        <v>840</v>
      </c>
      <c r="H268" s="5" t="str">
        <f>IF('Raw RetailSalesData'!H268="","Unknown",'Raw RetailSalesData'!H268)</f>
        <v xml:space="preserve"> NA </v>
      </c>
      <c r="I268" t="s">
        <v>100</v>
      </c>
      <c r="J268" t="s">
        <v>101</v>
      </c>
      <c r="K268" t="str">
        <f>TRIM('Raw RetailSalesData'!K268)</f>
        <v>Unknown</v>
      </c>
      <c r="L268" t="s">
        <v>31</v>
      </c>
    </row>
    <row r="269" spans="1:12" x14ac:dyDescent="0.3">
      <c r="A269" t="str">
        <f>IF(COUNTIF('Raw RetailSalesData'!$A:$L,'Raw RetailSalesData'!A269)=1,'Raw RetailSalesData'!A269,"")</f>
        <v>ORD-10300</v>
      </c>
      <c r="B269" t="str">
        <f>IF('Raw RetailSalesData'!B269="","UNKNOWN",'Raw RetailSalesData'!B269)</f>
        <v>2026-02-01</v>
      </c>
      <c r="C269" t="str">
        <f>IF('Raw RetailSalesData'!C269="","UNKNOW",'Raw RetailSalesData'!C269)</f>
        <v>CUST-1007</v>
      </c>
      <c r="D269" t="str">
        <f>IF('Raw RetailSalesData'!D269="","UNKNOW",'Raw RetailSalesData'!D269)</f>
        <v>C301</v>
      </c>
      <c r="E269" s="5">
        <f>IF('Raw RetailSalesData'!E269="",'Raw RetailSalesData'!F269/'Raw RetailSalesData'!G269,'Raw RetailSalesData'!E269)</f>
        <v>14</v>
      </c>
      <c r="F269" s="7">
        <f>IF('Raw RetailSalesData'!F269="",'Raw RetailSalesData'!G269/'Raw RetailSalesData'!E269,'Raw RetailSalesData'!F269)</f>
        <v>60</v>
      </c>
      <c r="G269" s="7">
        <f t="shared" si="4"/>
        <v>840</v>
      </c>
      <c r="H269" s="5" t="str">
        <f>IF('Raw RetailSalesData'!H269="","Unknown",'Raw RetailSalesData'!H269)</f>
        <v>NA</v>
      </c>
      <c r="I269" t="s">
        <v>100</v>
      </c>
      <c r="J269" t="s">
        <v>101</v>
      </c>
      <c r="K269" t="str">
        <f>TRIM('Raw RetailSalesData'!K269)</f>
        <v>Sales Rep 5</v>
      </c>
      <c r="L269" t="s">
        <v>31</v>
      </c>
    </row>
    <row r="270" spans="1:12" x14ac:dyDescent="0.3">
      <c r="A270" t="str">
        <f>IF(COUNTIF('Raw RetailSalesData'!$A:$L,'Raw RetailSalesData'!A270)=1,'Raw RetailSalesData'!A270,"")</f>
        <v>ORD-10301</v>
      </c>
      <c r="B270" t="str">
        <f>IF('Raw RetailSalesData'!B270="","UNKNOWN",'Raw RetailSalesData'!B270)</f>
        <v>2023-10-29</v>
      </c>
      <c r="C270" t="str">
        <f>IF('Raw RetailSalesData'!C270="","UNKNOW",'Raw RetailSalesData'!C270)</f>
        <v>CUST-1076</v>
      </c>
      <c r="D270" t="str">
        <f>IF('Raw RetailSalesData'!D270="","UNKNOW",'Raw RetailSalesData'!D270)</f>
        <v>UNKNOW</v>
      </c>
      <c r="E270" s="5">
        <f>IF('Raw RetailSalesData'!E270="",'Raw RetailSalesData'!F270/'Raw RetailSalesData'!G270,'Raw RetailSalesData'!E270)</f>
        <v>20</v>
      </c>
      <c r="F270" s="7">
        <f>IF('Raw RetailSalesData'!F270="",'Raw RetailSalesData'!G270/'Raw RetailSalesData'!E270,'Raw RetailSalesData'!F270)</f>
        <v>65</v>
      </c>
      <c r="G270" s="7">
        <f t="shared" si="4"/>
        <v>1300</v>
      </c>
      <c r="H270" s="5" t="str">
        <f>IF('Raw RetailSalesData'!H270="","Unknown",'Raw RetailSalesData'!H270)</f>
        <v>EMEA</v>
      </c>
      <c r="I270" t="s">
        <v>225</v>
      </c>
      <c r="J270" t="s">
        <v>226</v>
      </c>
      <c r="K270" t="str">
        <f>TRIM('Raw RetailSalesData'!K270)</f>
        <v>Sales Rep 3</v>
      </c>
      <c r="L270" t="s">
        <v>21</v>
      </c>
    </row>
    <row r="271" spans="1:12" x14ac:dyDescent="0.3">
      <c r="A271" t="str">
        <f>IF(COUNTIF('Raw RetailSalesData'!$A:$L,'Raw RetailSalesData'!A271)=1,'Raw RetailSalesData'!A271,"")</f>
        <v>ORD-10303</v>
      </c>
      <c r="B271" t="str">
        <f>IF('Raw RetailSalesData'!B271="","UNKNOWN",'Raw RetailSalesData'!B271)</f>
        <v>2022-12-08</v>
      </c>
      <c r="C271" t="str">
        <f>IF('Raw RetailSalesData'!C271="","UNKNOW",'Raw RetailSalesData'!C271)</f>
        <v>CUST-1123</v>
      </c>
      <c r="D271" t="str">
        <f>IF('Raw RetailSalesData'!D271="","UNKNOW",'Raw RetailSalesData'!D271)</f>
        <v>C301</v>
      </c>
      <c r="E271" s="5">
        <f>IF('Raw RetailSalesData'!E271="",'Raw RetailSalesData'!F271/'Raw RetailSalesData'!G271,'Raw RetailSalesData'!E271)</f>
        <v>9</v>
      </c>
      <c r="F271" s="7">
        <f>IF('Raw RetailSalesData'!F271="",'Raw RetailSalesData'!G271/'Raw RetailSalesData'!E271,'Raw RetailSalesData'!F271)</f>
        <v>55</v>
      </c>
      <c r="G271" s="7">
        <f t="shared" si="4"/>
        <v>495</v>
      </c>
      <c r="H271" s="5" t="str">
        <f>IF('Raw RetailSalesData'!H271="","Unknown",'Raw RetailSalesData'!H271)</f>
        <v>EMEA</v>
      </c>
      <c r="I271" t="s">
        <v>38</v>
      </c>
      <c r="J271" t="s">
        <v>39</v>
      </c>
      <c r="K271" t="str">
        <f>TRIM('Raw RetailSalesData'!K271)</f>
        <v>Sales Rep 2</v>
      </c>
      <c r="L271" t="s">
        <v>21</v>
      </c>
    </row>
    <row r="272" spans="1:12" x14ac:dyDescent="0.3">
      <c r="A272" t="str">
        <f>IF(COUNTIF('Raw RetailSalesData'!$A:$L,'Raw RetailSalesData'!A272)=1,'Raw RetailSalesData'!A272,"")</f>
        <v>ORD-10304</v>
      </c>
      <c r="B272" t="str">
        <f>IF('Raw RetailSalesData'!B272="","UNKNOWN",'Raw RetailSalesData'!B272)</f>
        <v>2022-05-25</v>
      </c>
      <c r="C272" t="str">
        <f>IF('Raw RetailSalesData'!C272="","UNKNOW",'Raw RetailSalesData'!C272)</f>
        <v>CUST-1192</v>
      </c>
      <c r="D272" t="str">
        <f>IF('Raw RetailSalesData'!D272="","UNKNOW",'Raw RetailSalesData'!D272)</f>
        <v>UNKNOW</v>
      </c>
      <c r="E272" s="5">
        <f>IF('Raw RetailSalesData'!E272="",'Raw RetailSalesData'!F272/'Raw RetailSalesData'!G272,'Raw RetailSalesData'!E272)</f>
        <v>5</v>
      </c>
      <c r="F272" s="7">
        <f>IF('Raw RetailSalesData'!F272="",'Raw RetailSalesData'!G272/'Raw RetailSalesData'!E272,'Raw RetailSalesData'!F272)</f>
        <v>100</v>
      </c>
      <c r="G272" s="7">
        <f t="shared" si="4"/>
        <v>500</v>
      </c>
      <c r="H272" s="5" t="str">
        <f>IF('Raw RetailSalesData'!H272="","Unknown",'Raw RetailSalesData'!H272)</f>
        <v>NA</v>
      </c>
      <c r="I272" t="s">
        <v>28</v>
      </c>
      <c r="J272" t="s">
        <v>29</v>
      </c>
      <c r="K272" t="str">
        <f>TRIM('Raw RetailSalesData'!K272)</f>
        <v>Sales Rep 2</v>
      </c>
      <c r="L272" t="s">
        <v>31</v>
      </c>
    </row>
    <row r="273" spans="1:12" x14ac:dyDescent="0.3">
      <c r="A273" t="str">
        <f>IF(COUNTIF('Raw RetailSalesData'!$A:$L,'Raw RetailSalesData'!A273)=1,'Raw RetailSalesData'!A273,"")</f>
        <v>ORD-10305</v>
      </c>
      <c r="B273" t="str">
        <f>IF('Raw RetailSalesData'!B273="","UNKNOWN",'Raw RetailSalesData'!B273)</f>
        <v>2025-06-22</v>
      </c>
      <c r="C273" t="str">
        <f>IF('Raw RetailSalesData'!C273="","UNKNOW",'Raw RetailSalesData'!C273)</f>
        <v>CUST-1104</v>
      </c>
      <c r="D273" t="str">
        <f>IF('Raw RetailSalesData'!D273="","UNKNOW",'Raw RetailSalesData'!D273)</f>
        <v>C302</v>
      </c>
      <c r="E273" s="5">
        <f>IF('Raw RetailSalesData'!E273="",'Raw RetailSalesData'!F273/'Raw RetailSalesData'!G273,'Raw RetailSalesData'!E273)</f>
        <v>1</v>
      </c>
      <c r="F273" s="7">
        <f>IF('Raw RetailSalesData'!F273="",'Raw RetailSalesData'!G273/'Raw RetailSalesData'!E273,'Raw RetailSalesData'!F273)</f>
        <v>55</v>
      </c>
      <c r="G273" s="7">
        <f t="shared" si="4"/>
        <v>55</v>
      </c>
      <c r="H273" s="5" t="str">
        <f>IF('Raw RetailSalesData'!H273="","Unknown",'Raw RetailSalesData'!H273)</f>
        <v>NA</v>
      </c>
      <c r="I273" t="s">
        <v>28</v>
      </c>
      <c r="J273" t="s">
        <v>2196</v>
      </c>
      <c r="K273" t="str">
        <f>TRIM('Raw RetailSalesData'!K273)</f>
        <v>Michael Johnson</v>
      </c>
      <c r="L273" t="s">
        <v>46</v>
      </c>
    </row>
    <row r="274" spans="1:12" x14ac:dyDescent="0.3">
      <c r="A274" t="str">
        <f>IF(COUNTIF('Raw RetailSalesData'!$A:$L,'Raw RetailSalesData'!A274)=1,'Raw RetailSalesData'!A274,"")</f>
        <v>ORD-10306</v>
      </c>
      <c r="B274" t="str">
        <f>IF('Raw RetailSalesData'!B274="","UNKNOWN",'Raw RetailSalesData'!B274)</f>
        <v>2023-10-06</v>
      </c>
      <c r="C274" t="str">
        <f>IF('Raw RetailSalesData'!C274="","UNKNOW",'Raw RetailSalesData'!C274)</f>
        <v>CUST-1038</v>
      </c>
      <c r="D274" t="str">
        <f>IF('Raw RetailSalesData'!D274="","UNKNOW",'Raw RetailSalesData'!D274)</f>
        <v xml:space="preserve"> C304 </v>
      </c>
      <c r="E274" s="5">
        <f>IF('Raw RetailSalesData'!E274="",'Raw RetailSalesData'!F274/'Raw RetailSalesData'!G274,'Raw RetailSalesData'!E274)</f>
        <v>13</v>
      </c>
      <c r="F274" s="7">
        <f>IF('Raw RetailSalesData'!F274="",'Raw RetailSalesData'!G274/'Raw RetailSalesData'!E274,'Raw RetailSalesData'!F274)</f>
        <v>58</v>
      </c>
      <c r="G274" s="7">
        <f t="shared" si="4"/>
        <v>754</v>
      </c>
      <c r="H274" s="5" t="str">
        <f>IF('Raw RetailSalesData'!H274="","Unknown",'Raw RetailSalesData'!H274)</f>
        <v>APAC</v>
      </c>
      <c r="I274" t="s">
        <v>151</v>
      </c>
      <c r="J274" t="s">
        <v>152</v>
      </c>
      <c r="K274" t="str">
        <f>TRIM('Raw RetailSalesData'!K274)</f>
        <v>Aarav Patel</v>
      </c>
      <c r="L274" t="s">
        <v>46</v>
      </c>
    </row>
    <row r="275" spans="1:12" x14ac:dyDescent="0.3">
      <c r="A275" t="str">
        <f>IF(COUNTIF('Raw RetailSalesData'!$A:$L,'Raw RetailSalesData'!A275)=1,'Raw RetailSalesData'!A275,"")</f>
        <v>ORD-10307</v>
      </c>
      <c r="B275" t="str">
        <f>IF('Raw RetailSalesData'!B275="","UNKNOWN",'Raw RetailSalesData'!B275)</f>
        <v>2024-04-24</v>
      </c>
      <c r="C275" t="str">
        <f>IF('Raw RetailSalesData'!C275="","UNKNOW",'Raw RetailSalesData'!C275)</f>
        <v>CUST-1145</v>
      </c>
      <c r="D275" t="str">
        <f>IF('Raw RetailSalesData'!D275="","UNKNOW",'Raw RetailSalesData'!D275)</f>
        <v>P201</v>
      </c>
      <c r="E275" s="5">
        <f>IF('Raw RetailSalesData'!E275="",'Raw RetailSalesData'!F275/'Raw RetailSalesData'!G275,'Raw RetailSalesData'!E275)</f>
        <v>19</v>
      </c>
      <c r="F275" s="7">
        <f>IF('Raw RetailSalesData'!F275="",'Raw RetailSalesData'!G275/'Raw RetailSalesData'!E275,'Raw RetailSalesData'!F275)</f>
        <v>75</v>
      </c>
      <c r="G275" s="7">
        <f t="shared" si="4"/>
        <v>1425</v>
      </c>
      <c r="H275" s="5" t="str">
        <f>IF('Raw RetailSalesData'!H275="","Unknown",'Raw RetailSalesData'!H275)</f>
        <v>NA</v>
      </c>
      <c r="I275" t="s">
        <v>100</v>
      </c>
      <c r="J275" t="s">
        <v>101</v>
      </c>
      <c r="K275" t="str">
        <f>TRIM('Raw RetailSalesData'!K275)</f>
        <v>Sales Rep 2</v>
      </c>
      <c r="L275" t="s">
        <v>46</v>
      </c>
    </row>
    <row r="276" spans="1:12" x14ac:dyDescent="0.3">
      <c r="A276" t="str">
        <f>IF(COUNTIF('Raw RetailSalesData'!$A:$L,'Raw RetailSalesData'!A276)=1,'Raw RetailSalesData'!A276,"")</f>
        <v>ORD-10308</v>
      </c>
      <c r="B276" t="str">
        <f>IF('Raw RetailSalesData'!B276="","UNKNOWN",'Raw RetailSalesData'!B276)</f>
        <v>2026-07-27</v>
      </c>
      <c r="C276" t="str">
        <f>IF('Raw RetailSalesData'!C276="","UNKNOW",'Raw RetailSalesData'!C276)</f>
        <v>CUST-1072</v>
      </c>
      <c r="D276" t="str">
        <f>IF('Raw RetailSalesData'!D276="","UNKNOW",'Raw RetailSalesData'!D276)</f>
        <v>P103</v>
      </c>
      <c r="E276" s="5">
        <f>IF('Raw RetailSalesData'!E276="",'Raw RetailSalesData'!F276/'Raw RetailSalesData'!G276,'Raw RetailSalesData'!E276)</f>
        <v>15</v>
      </c>
      <c r="F276" s="7">
        <f>IF('Raw RetailSalesData'!F276="",'Raw RetailSalesData'!G276/'Raw RetailSalesData'!E276,'Raw RetailSalesData'!F276)</f>
        <v>90</v>
      </c>
      <c r="G276" s="7">
        <f t="shared" si="4"/>
        <v>1350</v>
      </c>
      <c r="H276" s="5" t="str">
        <f>IF('Raw RetailSalesData'!H276="","Unknown",'Raw RetailSalesData'!H276)</f>
        <v>LATAM</v>
      </c>
      <c r="I276" t="s">
        <v>2190</v>
      </c>
      <c r="J276" t="s">
        <v>2197</v>
      </c>
      <c r="K276" t="str">
        <f>TRIM('Raw RetailSalesData'!K276)</f>
        <v>Unknown</v>
      </c>
      <c r="L276" t="s">
        <v>46</v>
      </c>
    </row>
    <row r="277" spans="1:12" x14ac:dyDescent="0.3">
      <c r="A277" t="str">
        <f>IF(COUNTIF('Raw RetailSalesData'!$A:$L,'Raw RetailSalesData'!A277)=1,'Raw RetailSalesData'!A277,"")</f>
        <v>ORD-10309</v>
      </c>
      <c r="B277" t="str">
        <f>IF('Raw RetailSalesData'!B277="","UNKNOWN",'Raw RetailSalesData'!B277)</f>
        <v>2023-08-20</v>
      </c>
      <c r="C277" t="str">
        <f>IF('Raw RetailSalesData'!C277="","UNKNOW",'Raw RetailSalesData'!C277)</f>
        <v xml:space="preserve"> CUST-1067 </v>
      </c>
      <c r="D277" t="str">
        <f>IF('Raw RetailSalesData'!D277="","UNKNOW",'Raw RetailSalesData'!D277)</f>
        <v>P103</v>
      </c>
      <c r="E277" s="5">
        <f>IF('Raw RetailSalesData'!E277="",'Raw RetailSalesData'!F277/'Raw RetailSalesData'!G277,'Raw RetailSalesData'!E277)</f>
        <v>12</v>
      </c>
      <c r="F277" s="7">
        <f>IF('Raw RetailSalesData'!F277="",'Raw RetailSalesData'!G277/'Raw RetailSalesData'!E277,'Raw RetailSalesData'!F277)</f>
        <v>95</v>
      </c>
      <c r="G277" s="7">
        <f t="shared" si="4"/>
        <v>1140</v>
      </c>
      <c r="H277" s="5" t="str">
        <f>IF('Raw RetailSalesData'!H277="","Unknown",'Raw RetailSalesData'!H277)</f>
        <v>EMEA</v>
      </c>
      <c r="I277" t="s">
        <v>225</v>
      </c>
      <c r="J277" t="s">
        <v>2190</v>
      </c>
      <c r="K277" t="str">
        <f>TRIM('Raw RetailSalesData'!K277)</f>
        <v>Sales Rep 2</v>
      </c>
      <c r="L277" t="s">
        <v>46</v>
      </c>
    </row>
    <row r="278" spans="1:12" x14ac:dyDescent="0.3">
      <c r="A278" t="str">
        <f>IF(COUNTIF('Raw RetailSalesData'!$A:$L,'Raw RetailSalesData'!A278)=1,'Raw RetailSalesData'!A278,"")</f>
        <v>ORD-10311</v>
      </c>
      <c r="B278" t="str">
        <f>IF('Raw RetailSalesData'!B278="","UNKNOWN",'Raw RetailSalesData'!B278)</f>
        <v>2023-11-17</v>
      </c>
      <c r="C278" t="str">
        <f>IF('Raw RetailSalesData'!C278="","UNKNOW",'Raw RetailSalesData'!C278)</f>
        <v>CUST-1061</v>
      </c>
      <c r="D278" t="str">
        <f>IF('Raw RetailSalesData'!D278="","UNKNOW",'Raw RetailSalesData'!D278)</f>
        <v>P203</v>
      </c>
      <c r="E278" s="5">
        <f>IF('Raw RetailSalesData'!E278="",'Raw RetailSalesData'!F278/'Raw RetailSalesData'!G278,'Raw RetailSalesData'!E278)</f>
        <v>20</v>
      </c>
      <c r="F278" s="7">
        <f>IF('Raw RetailSalesData'!F278="",'Raw RetailSalesData'!G278/'Raw RetailSalesData'!E278,'Raw RetailSalesData'!F278)</f>
        <v>68</v>
      </c>
      <c r="G278" s="7">
        <f t="shared" si="4"/>
        <v>1360</v>
      </c>
      <c r="H278" s="5" t="str">
        <f>IF('Raw RetailSalesData'!H278="","Unknown",'Raw RetailSalesData'!H278)</f>
        <v>APAC</v>
      </c>
      <c r="I278" t="s">
        <v>151</v>
      </c>
      <c r="J278" t="s">
        <v>188</v>
      </c>
      <c r="K278" t="str">
        <f>TRIM('Raw RetailSalesData'!K278)</f>
        <v>Sales Rep 4</v>
      </c>
      <c r="L278" t="s">
        <v>31</v>
      </c>
    </row>
    <row r="279" spans="1:12" x14ac:dyDescent="0.3">
      <c r="A279" t="str">
        <f>IF(COUNTIF('Raw RetailSalesData'!$A:$L,'Raw RetailSalesData'!A279)=1,'Raw RetailSalesData'!A279,"")</f>
        <v>ORD-10312</v>
      </c>
      <c r="B279" t="str">
        <f>IF('Raw RetailSalesData'!B279="","UNKNOWN",'Raw RetailSalesData'!B279)</f>
        <v>2024-07-02</v>
      </c>
      <c r="C279" t="str">
        <f>IF('Raw RetailSalesData'!C279="","UNKNOW",'Raw RetailSalesData'!C279)</f>
        <v>CUST-1015</v>
      </c>
      <c r="D279" t="str">
        <f>IF('Raw RetailSalesData'!D279="","UNKNOW",'Raw RetailSalesData'!D279)</f>
        <v>C304</v>
      </c>
      <c r="E279" s="5">
        <f>IF('Raw RetailSalesData'!E279="",'Raw RetailSalesData'!F279/'Raw RetailSalesData'!G279,'Raw RetailSalesData'!E279)</f>
        <v>8</v>
      </c>
      <c r="F279" s="7">
        <f>IF('Raw RetailSalesData'!F279="",'Raw RetailSalesData'!G279/'Raw RetailSalesData'!E279,'Raw RetailSalesData'!F279)</f>
        <v>58</v>
      </c>
      <c r="G279" s="7">
        <f t="shared" si="4"/>
        <v>464</v>
      </c>
      <c r="H279" s="5" t="str">
        <f>IF('Raw RetailSalesData'!H279="","Unknown",'Raw RetailSalesData'!H279)</f>
        <v>APAC</v>
      </c>
      <c r="I279" t="s">
        <v>71</v>
      </c>
      <c r="J279" t="s">
        <v>72</v>
      </c>
      <c r="K279" t="str">
        <f>TRIM('Raw RetailSalesData'!K279)</f>
        <v>Hiroshi Tanaka</v>
      </c>
      <c r="L279" t="s">
        <v>46</v>
      </c>
    </row>
    <row r="280" spans="1:12" x14ac:dyDescent="0.3">
      <c r="A280" t="str">
        <f>IF(COUNTIF('Raw RetailSalesData'!$A:$L,'Raw RetailSalesData'!A280)=1,'Raw RetailSalesData'!A280,"")</f>
        <v>ORD-10314</v>
      </c>
      <c r="B280" t="str">
        <f>IF('Raw RetailSalesData'!B280="","UNKNOWN",'Raw RetailSalesData'!B280)</f>
        <v>2022-07-06</v>
      </c>
      <c r="C280" t="str">
        <f>IF('Raw RetailSalesData'!C280="","UNKNOW",'Raw RetailSalesData'!C280)</f>
        <v>CUST-1102</v>
      </c>
      <c r="D280" t="str">
        <f>IF('Raw RetailSalesData'!D280="","UNKNOW",'Raw RetailSalesData'!D280)</f>
        <v>P102</v>
      </c>
      <c r="E280" s="5">
        <f>IF('Raw RetailSalesData'!E280="",'Raw RetailSalesData'!F280/'Raw RetailSalesData'!G280,'Raw RetailSalesData'!E280)</f>
        <v>10</v>
      </c>
      <c r="F280" s="7">
        <f>IF('Raw RetailSalesData'!F280="",'Raw RetailSalesData'!G280/'Raw RetailSalesData'!E280,'Raw RetailSalesData'!F280)</f>
        <v>80</v>
      </c>
      <c r="G280" s="7">
        <f t="shared" si="4"/>
        <v>800</v>
      </c>
      <c r="H280" s="5" t="str">
        <f>IF('Raw RetailSalesData'!H280="","Unknown",'Raw RetailSalesData'!H280)</f>
        <v>Unknown</v>
      </c>
      <c r="I280" t="s">
        <v>83</v>
      </c>
      <c r="J280" t="s">
        <v>84</v>
      </c>
      <c r="K280" t="str">
        <f>TRIM('Raw RetailSalesData'!K280)</f>
        <v>John Smith</v>
      </c>
      <c r="L280" t="s">
        <v>31</v>
      </c>
    </row>
    <row r="281" spans="1:12" x14ac:dyDescent="0.3">
      <c r="A281" t="str">
        <f>IF(COUNTIF('Raw RetailSalesData'!$A:$L,'Raw RetailSalesData'!A281)=1,'Raw RetailSalesData'!A281,"")</f>
        <v>ORD-10315</v>
      </c>
      <c r="B281" t="str">
        <f>IF('Raw RetailSalesData'!B281="","UNKNOWN",'Raw RetailSalesData'!B281)</f>
        <v>2023-08-09</v>
      </c>
      <c r="C281" t="str">
        <f>IF('Raw RetailSalesData'!C281="","UNKNOW",'Raw RetailSalesData'!C281)</f>
        <v>CUST-1123</v>
      </c>
      <c r="D281" t="str">
        <f>IF('Raw RetailSalesData'!D281="","UNKNOW",'Raw RetailSalesData'!D281)</f>
        <v>P203</v>
      </c>
      <c r="E281" s="5">
        <f>IF('Raw RetailSalesData'!E281="",'Raw RetailSalesData'!F281/'Raw RetailSalesData'!G281,'Raw RetailSalesData'!E281)</f>
        <v>8</v>
      </c>
      <c r="F281" s="7">
        <f>IF('Raw RetailSalesData'!F281="",'Raw RetailSalesData'!G281/'Raw RetailSalesData'!E281,'Raw RetailSalesData'!F281)</f>
        <v>63</v>
      </c>
      <c r="G281" s="7">
        <f t="shared" si="4"/>
        <v>504</v>
      </c>
      <c r="H281" s="5" t="str">
        <f>IF('Raw RetailSalesData'!H281="","Unknown",'Raw RetailSalesData'!H281)</f>
        <v>LATAM</v>
      </c>
      <c r="I281" t="s">
        <v>90</v>
      </c>
      <c r="J281" t="s">
        <v>2198</v>
      </c>
      <c r="K281" t="str">
        <f>TRIM('Raw RetailSalesData'!K281)</f>
        <v>Sales Rep 1</v>
      </c>
      <c r="L281" t="s">
        <v>46</v>
      </c>
    </row>
    <row r="282" spans="1:12" x14ac:dyDescent="0.3">
      <c r="A282" t="str">
        <f>IF(COUNTIF('Raw RetailSalesData'!$A:$L,'Raw RetailSalesData'!A282)=1,'Raw RetailSalesData'!A282,"")</f>
        <v>ORD-10316</v>
      </c>
      <c r="B282" t="str">
        <f>IF('Raw RetailSalesData'!B282="","UNKNOWN",'Raw RetailSalesData'!B282)</f>
        <v>2024-10-04</v>
      </c>
      <c r="C282" t="str">
        <f>IF('Raw RetailSalesData'!C282="","UNKNOW",'Raw RetailSalesData'!C282)</f>
        <v>CUST-1198</v>
      </c>
      <c r="D282" t="str">
        <f>IF('Raw RetailSalesData'!D282="","UNKNOW",'Raw RetailSalesData'!D282)</f>
        <v>P102</v>
      </c>
      <c r="E282" s="5">
        <f>IF('Raw RetailSalesData'!E282="",'Raw RetailSalesData'!F282/'Raw RetailSalesData'!G282,'Raw RetailSalesData'!E282)</f>
        <v>4</v>
      </c>
      <c r="F282" s="7">
        <f>IF('Raw RetailSalesData'!F282="",'Raw RetailSalesData'!G282/'Raw RetailSalesData'!E282,'Raw RetailSalesData'!F282)</f>
        <v>80</v>
      </c>
      <c r="G282" s="7">
        <f t="shared" si="4"/>
        <v>320</v>
      </c>
      <c r="H282" s="5" t="str">
        <f>IF('Raw RetailSalesData'!H282="","Unknown",'Raw RetailSalesData'!H282)</f>
        <v>EMEA</v>
      </c>
      <c r="I282" t="s">
        <v>83</v>
      </c>
      <c r="J282" t="s">
        <v>84</v>
      </c>
      <c r="K282" t="str">
        <f>TRIM('Raw RetailSalesData'!K282)</f>
        <v>#N/A</v>
      </c>
      <c r="L282" t="s">
        <v>31</v>
      </c>
    </row>
    <row r="283" spans="1:12" x14ac:dyDescent="0.3">
      <c r="A283" t="str">
        <f>IF(COUNTIF('Raw RetailSalesData'!$A:$L,'Raw RetailSalesData'!A283)=1,'Raw RetailSalesData'!A283,"")</f>
        <v>ORD-10317</v>
      </c>
      <c r="B283" t="str">
        <f>IF('Raw RetailSalesData'!B283="","UNKNOWN",'Raw RetailSalesData'!B283)</f>
        <v>2022-07-17</v>
      </c>
      <c r="C283" t="str">
        <f>IF('Raw RetailSalesData'!C283="","UNKNOW",'Raw RetailSalesData'!C283)</f>
        <v>CUST-1197</v>
      </c>
      <c r="D283" t="str">
        <f>IF('Raw RetailSalesData'!D283="","UNKNOW",'Raw RetailSalesData'!D283)</f>
        <v>P102</v>
      </c>
      <c r="E283" s="5">
        <f>IF('Raw RetailSalesData'!E283="",'Raw RetailSalesData'!F283/'Raw RetailSalesData'!G283,'Raw RetailSalesData'!E283)</f>
        <v>11</v>
      </c>
      <c r="F283" s="7">
        <f>IF('Raw RetailSalesData'!F283="",'Raw RetailSalesData'!G283/'Raw RetailSalesData'!E283,'Raw RetailSalesData'!F283)</f>
        <v>80</v>
      </c>
      <c r="G283" s="7">
        <f t="shared" si="4"/>
        <v>880</v>
      </c>
      <c r="H283" s="5" t="str">
        <f>IF('Raw RetailSalesData'!H283="","Unknown",'Raw RetailSalesData'!H283)</f>
        <v>APAC</v>
      </c>
      <c r="I283" t="s">
        <v>183</v>
      </c>
      <c r="J283" t="s">
        <v>184</v>
      </c>
      <c r="K283" t="str">
        <f>TRIM('Raw RetailSalesData'!K283)</f>
        <v>Sales Rep 5</v>
      </c>
      <c r="L283" t="s">
        <v>31</v>
      </c>
    </row>
    <row r="284" spans="1:12" x14ac:dyDescent="0.3">
      <c r="A284" t="str">
        <f>IF(COUNTIF('Raw RetailSalesData'!$A:$L,'Raw RetailSalesData'!A284)=1,'Raw RetailSalesData'!A284,"")</f>
        <v>ORD-10318</v>
      </c>
      <c r="B284" t="str">
        <f>IF('Raw RetailSalesData'!B284="","UNKNOWN",'Raw RetailSalesData'!B284)</f>
        <v>2023-04-09</v>
      </c>
      <c r="C284" t="str">
        <f>IF('Raw RetailSalesData'!C284="","UNKNOW",'Raw RetailSalesData'!C284)</f>
        <v>CUST-1041</v>
      </c>
      <c r="D284" t="str">
        <f>IF('Raw RetailSalesData'!D284="","UNKNOW",'Raw RetailSalesData'!D284)</f>
        <v>C304</v>
      </c>
      <c r="E284" s="5">
        <f>IF('Raw RetailSalesData'!E284="",'Raw RetailSalesData'!F284/'Raw RetailSalesData'!G284,'Raw RetailSalesData'!E284)</f>
        <v>16</v>
      </c>
      <c r="F284" s="7">
        <f>IF('Raw RetailSalesData'!F284="",'Raw RetailSalesData'!G284/'Raw RetailSalesData'!E284,'Raw RetailSalesData'!F284)</f>
        <v>53</v>
      </c>
      <c r="G284" s="7">
        <f t="shared" si="4"/>
        <v>848</v>
      </c>
      <c r="H284" s="5" t="str">
        <f>IF('Raw RetailSalesData'!H284="","Unknown",'Raw RetailSalesData'!H284)</f>
        <v>LATAM</v>
      </c>
      <c r="I284" t="s">
        <v>90</v>
      </c>
      <c r="J284" t="s">
        <v>2198</v>
      </c>
      <c r="K284" t="str">
        <f>TRIM('Raw RetailSalesData'!K284)</f>
        <v>Sales Rep 2</v>
      </c>
      <c r="L284" t="s">
        <v>21</v>
      </c>
    </row>
    <row r="285" spans="1:12" x14ac:dyDescent="0.3">
      <c r="A285" t="str">
        <f>IF(COUNTIF('Raw RetailSalesData'!$A:$L,'Raw RetailSalesData'!A285)=1,'Raw RetailSalesData'!A285,"")</f>
        <v>ORD-10320</v>
      </c>
      <c r="B285" t="str">
        <f>IF('Raw RetailSalesData'!B285="","UNKNOWN",'Raw RetailSalesData'!B285)</f>
        <v>2023-04-09</v>
      </c>
      <c r="C285" t="str">
        <f>IF('Raw RetailSalesData'!C285="","UNKNOW",'Raw RetailSalesData'!C285)</f>
        <v>CUST-1041</v>
      </c>
      <c r="D285" t="str">
        <f>IF('Raw RetailSalesData'!D285="","UNKNOW",'Raw RetailSalesData'!D285)</f>
        <v>C304</v>
      </c>
      <c r="E285" s="5">
        <f>IF('Raw RetailSalesData'!E285="",'Raw RetailSalesData'!F285/'Raw RetailSalesData'!G285,'Raw RetailSalesData'!E285)</f>
        <v>16</v>
      </c>
      <c r="F285" s="7">
        <f>IF('Raw RetailSalesData'!F285="",'Raw RetailSalesData'!G285/'Raw RetailSalesData'!E285,'Raw RetailSalesData'!F285)</f>
        <v>53</v>
      </c>
      <c r="G285" s="7">
        <f t="shared" si="4"/>
        <v>848</v>
      </c>
      <c r="H285" s="5" t="str">
        <f>IF('Raw RetailSalesData'!H285="","Unknown",'Raw RetailSalesData'!H285)</f>
        <v>LATAM</v>
      </c>
      <c r="I285" t="s">
        <v>90</v>
      </c>
      <c r="J285" t="s">
        <v>2198</v>
      </c>
      <c r="K285" t="str">
        <f>TRIM('Raw RetailSalesData'!K285)</f>
        <v>Sales Rep 2</v>
      </c>
      <c r="L285" t="s">
        <v>21</v>
      </c>
    </row>
    <row r="286" spans="1:12" x14ac:dyDescent="0.3">
      <c r="A286" t="str">
        <f>IF(COUNTIF('Raw RetailSalesData'!$A:$L,'Raw RetailSalesData'!A286)=1,'Raw RetailSalesData'!A286,"")</f>
        <v>ORD-10321</v>
      </c>
      <c r="B286" t="str">
        <f>IF('Raw RetailSalesData'!B286="","UNKNOWN",'Raw RetailSalesData'!B286)</f>
        <v>2023-09-24</v>
      </c>
      <c r="C286" t="str">
        <f>IF('Raw RetailSalesData'!C286="","UNKNOW",'Raw RetailSalesData'!C286)</f>
        <v>CUST-1173</v>
      </c>
      <c r="D286" t="str">
        <f>IF('Raw RetailSalesData'!D286="","UNKNOW",'Raw RetailSalesData'!D286)</f>
        <v>P203</v>
      </c>
      <c r="E286" s="5">
        <f>IF('Raw RetailSalesData'!E286="",'Raw RetailSalesData'!F286/'Raw RetailSalesData'!G286,'Raw RetailSalesData'!E286)</f>
        <v>11</v>
      </c>
      <c r="F286" s="7">
        <f>IF('Raw RetailSalesData'!F286="",'Raw RetailSalesData'!G286/'Raw RetailSalesData'!E286,'Raw RetailSalesData'!F286)</f>
        <v>68</v>
      </c>
      <c r="G286" s="7">
        <f t="shared" si="4"/>
        <v>748</v>
      </c>
      <c r="H286" s="5" t="str">
        <f>IF('Raw RetailSalesData'!H286="","Unknown",'Raw RetailSalesData'!H286)</f>
        <v>APAC</v>
      </c>
      <c r="I286" t="s">
        <v>151</v>
      </c>
      <c r="J286" t="s">
        <v>188</v>
      </c>
      <c r="K286" t="str">
        <f>TRIM('Raw RetailSalesData'!K286)</f>
        <v>Sales Rep 5</v>
      </c>
      <c r="L286" t="s">
        <v>46</v>
      </c>
    </row>
    <row r="287" spans="1:12" x14ac:dyDescent="0.3">
      <c r="A287" t="str">
        <f>IF(COUNTIF('Raw RetailSalesData'!$A:$L,'Raw RetailSalesData'!A287)=1,'Raw RetailSalesData'!A287,"")</f>
        <v>ORD-10322</v>
      </c>
      <c r="B287" t="str">
        <f>IF('Raw RetailSalesData'!B287="","UNKNOWN",'Raw RetailSalesData'!B287)</f>
        <v>2024-09-06</v>
      </c>
      <c r="C287" t="str">
        <f>IF('Raw RetailSalesData'!C287="","UNKNOW",'Raw RetailSalesData'!C287)</f>
        <v>UNKNOW</v>
      </c>
      <c r="D287" t="str">
        <f>IF('Raw RetailSalesData'!D287="","UNKNOW",'Raw RetailSalesData'!D287)</f>
        <v>P201</v>
      </c>
      <c r="E287" s="5">
        <f>IF('Raw RetailSalesData'!E287="",'Raw RetailSalesData'!F287/'Raw RetailSalesData'!G287,'Raw RetailSalesData'!E287)</f>
        <v>14</v>
      </c>
      <c r="F287" s="7">
        <f>IF('Raw RetailSalesData'!F287="",'Raw RetailSalesData'!G287/'Raw RetailSalesData'!E287,'Raw RetailSalesData'!F287)</f>
        <v>70</v>
      </c>
      <c r="G287" s="7">
        <f t="shared" si="4"/>
        <v>980</v>
      </c>
      <c r="H287" s="5" t="str">
        <f>IF('Raw RetailSalesData'!H287="","Unknown",'Raw RetailSalesData'!H287)</f>
        <v xml:space="preserve"> EMEA </v>
      </c>
      <c r="I287" t="s">
        <v>83</v>
      </c>
      <c r="J287" t="s">
        <v>84</v>
      </c>
      <c r="K287" t="str">
        <f>TRIM('Raw RetailSalesData'!K287)</f>
        <v>John Smith</v>
      </c>
      <c r="L287" t="s">
        <v>21</v>
      </c>
    </row>
    <row r="288" spans="1:12" x14ac:dyDescent="0.3">
      <c r="A288" t="str">
        <f>IF(COUNTIF('Raw RetailSalesData'!$A:$L,'Raw RetailSalesData'!A288)=1,'Raw RetailSalesData'!A288,"")</f>
        <v>ORD-10323</v>
      </c>
      <c r="B288" t="str">
        <f>IF('Raw RetailSalesData'!B288="","UNKNOWN",'Raw RetailSalesData'!B288)</f>
        <v>2024-12-31</v>
      </c>
      <c r="C288" t="str">
        <f>IF('Raw RetailSalesData'!C288="","UNKNOW",'Raw RetailSalesData'!C288)</f>
        <v>CUST-1196</v>
      </c>
      <c r="D288" t="str">
        <f>IF('Raw RetailSalesData'!D288="","UNKNOW",'Raw RetailSalesData'!D288)</f>
        <v>P203</v>
      </c>
      <c r="E288" s="5">
        <f>IF('Raw RetailSalesData'!E288="",'Raw RetailSalesData'!F288/'Raw RetailSalesData'!G288,'Raw RetailSalesData'!E288)</f>
        <v>17</v>
      </c>
      <c r="F288" s="7">
        <f>IF('Raw RetailSalesData'!F288="",'Raw RetailSalesData'!G288/'Raw RetailSalesData'!E288,'Raw RetailSalesData'!F288)</f>
        <v>68</v>
      </c>
      <c r="G288" s="7">
        <f t="shared" si="4"/>
        <v>1156</v>
      </c>
      <c r="H288" s="5" t="str">
        <f>IF('Raw RetailSalesData'!H288="","Unknown",'Raw RetailSalesData'!H288)</f>
        <v>APAC</v>
      </c>
      <c r="I288" t="s">
        <v>151</v>
      </c>
      <c r="J288" t="s">
        <v>152</v>
      </c>
      <c r="K288" t="str">
        <f>TRIM('Raw RetailSalesData'!K288)</f>
        <v>Aarav Patel</v>
      </c>
      <c r="L288" t="s">
        <v>46</v>
      </c>
    </row>
    <row r="289" spans="1:12" x14ac:dyDescent="0.3">
      <c r="A289" t="str">
        <f>IF(COUNTIF('Raw RetailSalesData'!$A:$L,'Raw RetailSalesData'!A289)=1,'Raw RetailSalesData'!A289,"")</f>
        <v>ORD-10324</v>
      </c>
      <c r="B289" t="str">
        <f>IF('Raw RetailSalesData'!B289="","UNKNOWN",'Raw RetailSalesData'!B289)</f>
        <v>2026-07-06</v>
      </c>
      <c r="C289" t="str">
        <f>IF('Raw RetailSalesData'!C289="","UNKNOW",'Raw RetailSalesData'!C289)</f>
        <v>CUST-1181</v>
      </c>
      <c r="D289" t="str">
        <f>IF('Raw RetailSalesData'!D289="","UNKNOW",'Raw RetailSalesData'!D289)</f>
        <v>P202</v>
      </c>
      <c r="E289" s="5">
        <f>IF('Raw RetailSalesData'!E289="",'Raw RetailSalesData'!F289/'Raw RetailSalesData'!G289,'Raw RetailSalesData'!E289)</f>
        <v>6</v>
      </c>
      <c r="F289" s="7">
        <f>IF('Raw RetailSalesData'!F289="",'Raw RetailSalesData'!G289/'Raw RetailSalesData'!E289,'Raw RetailSalesData'!F289)</f>
        <v>60</v>
      </c>
      <c r="G289" s="7">
        <f t="shared" si="4"/>
        <v>360</v>
      </c>
      <c r="H289" s="5" t="str">
        <f>IF('Raw RetailSalesData'!H289="","Unknown",'Raw RetailSalesData'!H289)</f>
        <v>LATAM</v>
      </c>
      <c r="I289" t="s">
        <v>18</v>
      </c>
      <c r="J289" t="s">
        <v>2197</v>
      </c>
      <c r="K289" t="str">
        <f>TRIM('Raw RetailSalesData'!K289)</f>
        <v>Sales Rep 1</v>
      </c>
      <c r="L289" t="s">
        <v>21</v>
      </c>
    </row>
    <row r="290" spans="1:12" x14ac:dyDescent="0.3">
      <c r="A290" t="str">
        <f>IF(COUNTIF('Raw RetailSalesData'!$A:$L,'Raw RetailSalesData'!A290)=1,'Raw RetailSalesData'!A290,"")</f>
        <v>ORD-10325</v>
      </c>
      <c r="B290" t="str">
        <f>IF('Raw RetailSalesData'!B290="","UNKNOWN",'Raw RetailSalesData'!B290)</f>
        <v>2026-02-12</v>
      </c>
      <c r="C290" t="str">
        <f>IF('Raw RetailSalesData'!C290="","UNKNOW",'Raw RetailSalesData'!C290)</f>
        <v>CUST-1051</v>
      </c>
      <c r="D290" t="str">
        <f>IF('Raw RetailSalesData'!D290="","UNKNOW",'Raw RetailSalesData'!D290)</f>
        <v>P102</v>
      </c>
      <c r="E290" s="5">
        <f>IF('Raw RetailSalesData'!E290="",'Raw RetailSalesData'!F290/'Raw RetailSalesData'!G290,'Raw RetailSalesData'!E290)</f>
        <v>19</v>
      </c>
      <c r="F290" s="7">
        <f>IF('Raw RetailSalesData'!F290="",'Raw RetailSalesData'!G290/'Raw RetailSalesData'!E290,'Raw RetailSalesData'!F290)</f>
        <v>80</v>
      </c>
      <c r="G290" s="7">
        <f t="shared" si="4"/>
        <v>1520</v>
      </c>
      <c r="H290" s="5" t="str">
        <f>IF('Raw RetailSalesData'!H290="","Unknown",'Raw RetailSalesData'!H290)</f>
        <v>APAC</v>
      </c>
      <c r="I290" t="s">
        <v>183</v>
      </c>
      <c r="J290" t="s">
        <v>184</v>
      </c>
      <c r="K290" t="str">
        <f>TRIM('Raw RetailSalesData'!K290)</f>
        <v>Sales Rep 3</v>
      </c>
      <c r="L290" t="s">
        <v>46</v>
      </c>
    </row>
    <row r="291" spans="1:12" x14ac:dyDescent="0.3">
      <c r="A291" t="str">
        <f>IF(COUNTIF('Raw RetailSalesData'!$A:$L,'Raw RetailSalesData'!A291)=1,'Raw RetailSalesData'!A291,"")</f>
        <v>ORD-10326</v>
      </c>
      <c r="B291" t="str">
        <f>IF('Raw RetailSalesData'!B291="","UNKNOWN",'Raw RetailSalesData'!B291)</f>
        <v>2023-08-17</v>
      </c>
      <c r="C291" t="str">
        <f>IF('Raw RetailSalesData'!C291="","UNKNOW",'Raw RetailSalesData'!C291)</f>
        <v>CUST-1056</v>
      </c>
      <c r="D291" t="str">
        <f>IF('Raw RetailSalesData'!D291="","UNKNOW",'Raw RetailSalesData'!D291)</f>
        <v>P203</v>
      </c>
      <c r="E291" s="5">
        <f>IF('Raw RetailSalesData'!E291="",'Raw RetailSalesData'!F291/'Raw RetailSalesData'!G291,'Raw RetailSalesData'!E291)</f>
        <v>11</v>
      </c>
      <c r="F291" s="7">
        <f>IF('Raw RetailSalesData'!F291="",'Raw RetailSalesData'!G291/'Raw RetailSalesData'!E291,'Raw RetailSalesData'!F291)</f>
        <v>68</v>
      </c>
      <c r="G291" s="7">
        <f t="shared" si="4"/>
        <v>748</v>
      </c>
      <c r="H291" s="5" t="str">
        <f>IF('Raw RetailSalesData'!H291="","Unknown",'Raw RetailSalesData'!H291)</f>
        <v>APAC</v>
      </c>
      <c r="I291" t="s">
        <v>151</v>
      </c>
      <c r="J291" t="s">
        <v>152</v>
      </c>
      <c r="K291" t="str">
        <f>TRIM('Raw RetailSalesData'!K291)</f>
        <v>Aarav Patel</v>
      </c>
      <c r="L291" t="s">
        <v>31</v>
      </c>
    </row>
    <row r="292" spans="1:12" x14ac:dyDescent="0.3">
      <c r="A292" t="str">
        <f>IF(COUNTIF('Raw RetailSalesData'!$A:$L,'Raw RetailSalesData'!A292)=1,'Raw RetailSalesData'!A292,"")</f>
        <v>ORD-10328</v>
      </c>
      <c r="B292" t="str">
        <f>IF('Raw RetailSalesData'!B292="","UNKNOWN",'Raw RetailSalesData'!B292)</f>
        <v>2025-12-30</v>
      </c>
      <c r="C292" t="str">
        <f>IF('Raw RetailSalesData'!C292="","UNKNOW",'Raw RetailSalesData'!C292)</f>
        <v>CUST-1075</v>
      </c>
      <c r="D292" t="str">
        <f>IF('Raw RetailSalesData'!D292="","UNKNOW",'Raw RetailSalesData'!D292)</f>
        <v>C303</v>
      </c>
      <c r="E292" s="5">
        <f>IF('Raw RetailSalesData'!E292="",'Raw RetailSalesData'!F292/'Raw RetailSalesData'!G292,'Raw RetailSalesData'!E292)</f>
        <v>15</v>
      </c>
      <c r="F292" s="7">
        <f>IF('Raw RetailSalesData'!F292="",'Raw RetailSalesData'!G292/'Raw RetailSalesData'!E292,'Raw RetailSalesData'!F292)</f>
        <v>55</v>
      </c>
      <c r="G292" s="7">
        <f t="shared" si="4"/>
        <v>825</v>
      </c>
      <c r="H292" s="5" t="str">
        <f>IF('Raw RetailSalesData'!H292="","Unknown",'Raw RetailSalesData'!H292)</f>
        <v>LATAM</v>
      </c>
      <c r="I292" t="s">
        <v>90</v>
      </c>
      <c r="J292" t="s">
        <v>2198</v>
      </c>
      <c r="K292" t="str">
        <f>TRIM('Raw RetailSalesData'!K292)</f>
        <v>Sales Rep 4</v>
      </c>
      <c r="L292" t="s">
        <v>46</v>
      </c>
    </row>
    <row r="293" spans="1:12" x14ac:dyDescent="0.3">
      <c r="A293" t="str">
        <f>IF(COUNTIF('Raw RetailSalesData'!$A:$L,'Raw RetailSalesData'!A293)=1,'Raw RetailSalesData'!A293,"")</f>
        <v>ORD-10329</v>
      </c>
      <c r="B293" t="str">
        <f>IF('Raw RetailSalesData'!B293="","UNKNOWN",'Raw RetailSalesData'!B293)</f>
        <v>2024-04-26</v>
      </c>
      <c r="C293" t="str">
        <f>IF('Raw RetailSalesData'!C293="","UNKNOW",'Raw RetailSalesData'!C293)</f>
        <v>CUST-1132</v>
      </c>
      <c r="D293" t="str">
        <f>IF('Raw RetailSalesData'!D293="","UNKNOW",'Raw RetailSalesData'!D293)</f>
        <v>C304</v>
      </c>
      <c r="E293" s="5">
        <f>IF('Raw RetailSalesData'!E293="",'Raw RetailSalesData'!F293/'Raw RetailSalesData'!G293,'Raw RetailSalesData'!E293)</f>
        <v>17</v>
      </c>
      <c r="F293" s="7">
        <f>IF('Raw RetailSalesData'!F293="",'Raw RetailSalesData'!G293/'Raw RetailSalesData'!E293,'Raw RetailSalesData'!F293)</f>
        <v>58</v>
      </c>
      <c r="G293" s="7">
        <f t="shared" si="4"/>
        <v>986</v>
      </c>
      <c r="H293" s="5" t="str">
        <f>IF('Raw RetailSalesData'!H293="","Unknown",'Raw RetailSalesData'!H293)</f>
        <v>EMEA</v>
      </c>
      <c r="I293" t="s">
        <v>225</v>
      </c>
      <c r="J293" t="s">
        <v>226</v>
      </c>
      <c r="K293" t="str">
        <f>TRIM('Raw RetailSalesData'!K293)</f>
        <v>Sales Rep 3</v>
      </c>
      <c r="L293" t="s">
        <v>21</v>
      </c>
    </row>
    <row r="294" spans="1:12" x14ac:dyDescent="0.3">
      <c r="A294" t="str">
        <f>IF(COUNTIF('Raw RetailSalesData'!$A:$L,'Raw RetailSalesData'!A294)=1,'Raw RetailSalesData'!A294,"")</f>
        <v>ORD-10330</v>
      </c>
      <c r="B294" t="str">
        <f>IF('Raw RetailSalesData'!B294="","UNKNOWN",'Raw RetailSalesData'!B294)</f>
        <v>2023-11-12</v>
      </c>
      <c r="C294" t="str">
        <f>IF('Raw RetailSalesData'!C294="","UNKNOW",'Raw RetailSalesData'!C294)</f>
        <v>CUST-1126</v>
      </c>
      <c r="D294" t="str">
        <f>IF('Raw RetailSalesData'!D294="","UNKNOW",'Raw RetailSalesData'!D294)</f>
        <v>C303</v>
      </c>
      <c r="E294" s="5">
        <f>IF('Raw RetailSalesData'!E294="",'Raw RetailSalesData'!F294/'Raw RetailSalesData'!G294,'Raw RetailSalesData'!E294)</f>
        <v>19</v>
      </c>
      <c r="F294" s="7">
        <f>IF('Raw RetailSalesData'!F294="",'Raw RetailSalesData'!G294/'Raw RetailSalesData'!E294,'Raw RetailSalesData'!F294)</f>
        <v>60</v>
      </c>
      <c r="G294" s="7">
        <f t="shared" si="4"/>
        <v>1140</v>
      </c>
      <c r="H294" s="5" t="str">
        <f>IF('Raw RetailSalesData'!H294="","Unknown",'Raw RetailSalesData'!H294)</f>
        <v>APAC</v>
      </c>
      <c r="I294" t="s">
        <v>71</v>
      </c>
      <c r="J294" t="s">
        <v>72</v>
      </c>
      <c r="K294" t="str">
        <f>TRIM('Raw RetailSalesData'!K294)</f>
        <v>Hiroshi Tanaka</v>
      </c>
      <c r="L294" t="s">
        <v>31</v>
      </c>
    </row>
    <row r="295" spans="1:12" x14ac:dyDescent="0.3">
      <c r="A295" t="str">
        <f>IF(COUNTIF('Raw RetailSalesData'!$A:$L,'Raw RetailSalesData'!A295)=1,'Raw RetailSalesData'!A295,"")</f>
        <v>ORD-10331</v>
      </c>
      <c r="B295" t="str">
        <f>IF('Raw RetailSalesData'!B295="","UNKNOWN",'Raw RetailSalesData'!B295)</f>
        <v>2023-10-23</v>
      </c>
      <c r="C295" t="str">
        <f>IF('Raw RetailSalesData'!C295="","UNKNOW",'Raw RetailSalesData'!C295)</f>
        <v>CUST-1134</v>
      </c>
      <c r="D295" t="str">
        <f>IF('Raw RetailSalesData'!D295="","UNKNOW",'Raw RetailSalesData'!D295)</f>
        <v>P101</v>
      </c>
      <c r="E295" s="5">
        <f>IF('Raw RetailSalesData'!E295="",'Raw RetailSalesData'!F295/'Raw RetailSalesData'!G295,'Raw RetailSalesData'!E295)</f>
        <v>19</v>
      </c>
      <c r="F295" s="7">
        <f>IF('Raw RetailSalesData'!F295="",'Raw RetailSalesData'!G295/'Raw RetailSalesData'!E295,'Raw RetailSalesData'!F295)</f>
        <v>90</v>
      </c>
      <c r="G295" s="7">
        <f t="shared" si="4"/>
        <v>1710</v>
      </c>
      <c r="H295" s="5" t="str">
        <f>IF('Raw RetailSalesData'!H295="","Unknown",'Raw RetailSalesData'!H295)</f>
        <v>NA</v>
      </c>
      <c r="I295" t="s">
        <v>100</v>
      </c>
      <c r="J295" t="s">
        <v>101</v>
      </c>
      <c r="K295" t="str">
        <f>TRIM('Raw RetailSalesData'!K295)</f>
        <v>Sales Rep 1</v>
      </c>
      <c r="L295" t="s">
        <v>31</v>
      </c>
    </row>
    <row r="296" spans="1:12" x14ac:dyDescent="0.3">
      <c r="A296" t="str">
        <f>IF(COUNTIF('Raw RetailSalesData'!$A:$L,'Raw RetailSalesData'!A296)=1,'Raw RetailSalesData'!A296,"")</f>
        <v>ORD-10332</v>
      </c>
      <c r="B296" t="str">
        <f>IF('Raw RetailSalesData'!B296="","UNKNOWN",'Raw RetailSalesData'!B296)</f>
        <v>2023-04-30</v>
      </c>
      <c r="C296" t="str">
        <f>IF('Raw RetailSalesData'!C296="","UNKNOW",'Raw RetailSalesData'!C296)</f>
        <v>CUST-1178</v>
      </c>
      <c r="D296" t="str">
        <f>IF('Raw RetailSalesData'!D296="","UNKNOW",'Raw RetailSalesData'!D296)</f>
        <v>P102</v>
      </c>
      <c r="E296" s="5">
        <f>IF('Raw RetailSalesData'!E296="",'Raw RetailSalesData'!F296/'Raw RetailSalesData'!G296,'Raw RetailSalesData'!E296)</f>
        <v>7</v>
      </c>
      <c r="F296" s="7">
        <f>IF('Raw RetailSalesData'!F296="",'Raw RetailSalesData'!G296/'Raw RetailSalesData'!E296,'Raw RetailSalesData'!F296)</f>
        <v>75</v>
      </c>
      <c r="G296" s="7">
        <f t="shared" si="4"/>
        <v>525</v>
      </c>
      <c r="H296" s="5" t="str">
        <f>IF('Raw RetailSalesData'!H296="","Unknown",'Raw RetailSalesData'!H296)</f>
        <v>LATAM</v>
      </c>
      <c r="I296" t="s">
        <v>90</v>
      </c>
      <c r="J296" t="s">
        <v>2198</v>
      </c>
      <c r="K296" t="str">
        <f>TRIM('Raw RetailSalesData'!K296)</f>
        <v>Sales Rep 5</v>
      </c>
      <c r="L296" t="s">
        <v>21</v>
      </c>
    </row>
    <row r="297" spans="1:12" x14ac:dyDescent="0.3">
      <c r="A297" t="str">
        <f>IF(COUNTIF('Raw RetailSalesData'!$A:$L,'Raw RetailSalesData'!A297)=1,'Raw RetailSalesData'!A297,"")</f>
        <v>ORD-10333</v>
      </c>
      <c r="B297" t="str">
        <f>IF('Raw RetailSalesData'!B297="","UNKNOWN",'Raw RetailSalesData'!B297)</f>
        <v>2023-04-30</v>
      </c>
      <c r="C297" t="str">
        <f>IF('Raw RetailSalesData'!C297="","UNKNOW",'Raw RetailSalesData'!C297)</f>
        <v>CUST-1178</v>
      </c>
      <c r="D297" t="str">
        <f>IF('Raw RetailSalesData'!D297="","UNKNOW",'Raw RetailSalesData'!D297)</f>
        <v>P102</v>
      </c>
      <c r="E297" s="5">
        <f>IF('Raw RetailSalesData'!E297="",'Raw RetailSalesData'!F297/'Raw RetailSalesData'!G297,'Raw RetailSalesData'!E297)</f>
        <v>7</v>
      </c>
      <c r="F297" s="7">
        <f>IF('Raw RetailSalesData'!F297="",'Raw RetailSalesData'!G297/'Raw RetailSalesData'!E297,'Raw RetailSalesData'!F297)</f>
        <v>75</v>
      </c>
      <c r="G297" s="7">
        <f t="shared" si="4"/>
        <v>525</v>
      </c>
      <c r="H297" s="5" t="str">
        <f>IF('Raw RetailSalesData'!H297="","Unknown",'Raw RetailSalesData'!H297)</f>
        <v>LATAM</v>
      </c>
      <c r="I297" t="s">
        <v>90</v>
      </c>
      <c r="J297" t="s">
        <v>2198</v>
      </c>
      <c r="K297" t="str">
        <f>TRIM('Raw RetailSalesData'!K297)</f>
        <v>Sales Rep 5</v>
      </c>
      <c r="L297" t="s">
        <v>21</v>
      </c>
    </row>
    <row r="298" spans="1:12" x14ac:dyDescent="0.3">
      <c r="A298" t="str">
        <f>IF(COUNTIF('Raw RetailSalesData'!$A:$L,'Raw RetailSalesData'!A298)=1,'Raw RetailSalesData'!A298,"")</f>
        <v>ORD-10334</v>
      </c>
      <c r="B298" t="str">
        <f>IF('Raw RetailSalesData'!B298="","UNKNOWN",'Raw RetailSalesData'!B298)</f>
        <v>2022-02-19</v>
      </c>
      <c r="C298" t="str">
        <f>IF('Raw RetailSalesData'!C298="","UNKNOW",'Raw RetailSalesData'!C298)</f>
        <v>CUST-1125</v>
      </c>
      <c r="D298" t="str">
        <f>IF('Raw RetailSalesData'!D298="","UNKNOW",'Raw RetailSalesData'!D298)</f>
        <v>P102</v>
      </c>
      <c r="E298" s="5">
        <f>IF('Raw RetailSalesData'!E298="",'Raw RetailSalesData'!F298/'Raw RetailSalesData'!G298,'Raw RetailSalesData'!E298)</f>
        <v>15</v>
      </c>
      <c r="F298" s="7">
        <f>IF('Raw RetailSalesData'!F298="",'Raw RetailSalesData'!G298/'Raw RetailSalesData'!E298,'Raw RetailSalesData'!F298)</f>
        <v>80</v>
      </c>
      <c r="G298" s="7">
        <f t="shared" si="4"/>
        <v>1200</v>
      </c>
      <c r="H298" s="5" t="str">
        <f>IF('Raw RetailSalesData'!H298="","Unknown",'Raw RetailSalesData'!H298)</f>
        <v>EMEA</v>
      </c>
      <c r="I298" t="s">
        <v>83</v>
      </c>
      <c r="J298" t="s">
        <v>2190</v>
      </c>
      <c r="K298" t="str">
        <f>TRIM('Raw RetailSalesData'!K298)</f>
        <v>John Smith</v>
      </c>
      <c r="L298" t="s">
        <v>46</v>
      </c>
    </row>
    <row r="299" spans="1:12" x14ac:dyDescent="0.3">
      <c r="A299" t="str">
        <f>IF(COUNTIF('Raw RetailSalesData'!$A:$L,'Raw RetailSalesData'!A299)=1,'Raw RetailSalesData'!A299,"")</f>
        <v>ORD-10335</v>
      </c>
      <c r="B299" t="str">
        <f>IF('Raw RetailSalesData'!B299="","UNKNOWN",'Raw RetailSalesData'!B299)</f>
        <v>2023-03-08</v>
      </c>
      <c r="C299" t="str">
        <f>IF('Raw RetailSalesData'!C299="","UNKNOW",'Raw RetailSalesData'!C299)</f>
        <v>CUST-1157</v>
      </c>
      <c r="D299" t="str">
        <f>IF('Raw RetailSalesData'!D299="","UNKNOW",'Raw RetailSalesData'!D299)</f>
        <v>C301</v>
      </c>
      <c r="E299" s="5">
        <f>IF('Raw RetailSalesData'!E299="",'Raw RetailSalesData'!F299/'Raw RetailSalesData'!G299,'Raw RetailSalesData'!E299)</f>
        <v>11</v>
      </c>
      <c r="F299" s="7">
        <f>IF('Raw RetailSalesData'!F299="",'Raw RetailSalesData'!G299/'Raw RetailSalesData'!E299,'Raw RetailSalesData'!F299)</f>
        <v>55</v>
      </c>
      <c r="G299" s="7">
        <f t="shared" si="4"/>
        <v>605</v>
      </c>
      <c r="H299" s="5" t="str">
        <f>IF('Raw RetailSalesData'!H299="","Unknown",'Raw RetailSalesData'!H299)</f>
        <v>EMEA</v>
      </c>
      <c r="I299" t="s">
        <v>225</v>
      </c>
      <c r="J299" t="s">
        <v>226</v>
      </c>
      <c r="K299" t="str">
        <f>TRIM('Raw RetailSalesData'!K299)</f>
        <v>Sales Rep 2</v>
      </c>
      <c r="L299" t="s">
        <v>46</v>
      </c>
    </row>
    <row r="300" spans="1:12" x14ac:dyDescent="0.3">
      <c r="A300" t="str">
        <f>IF(COUNTIF('Raw RetailSalesData'!$A:$L,'Raw RetailSalesData'!A300)=1,'Raw RetailSalesData'!A300,"")</f>
        <v>ORD-10336</v>
      </c>
      <c r="B300" t="str">
        <f>IF('Raw RetailSalesData'!B300="","UNKNOWN",'Raw RetailSalesData'!B300)</f>
        <v>2023-12-01</v>
      </c>
      <c r="C300" t="str">
        <f>IF('Raw RetailSalesData'!C300="","UNKNOW",'Raw RetailSalesData'!C300)</f>
        <v>CUST-1032</v>
      </c>
      <c r="D300" t="str">
        <f>IF('Raw RetailSalesData'!D300="","UNKNOW",'Raw RetailSalesData'!D300)</f>
        <v>P102</v>
      </c>
      <c r="E300" s="5">
        <f>IF('Raw RetailSalesData'!E300="",'Raw RetailSalesData'!F300/'Raw RetailSalesData'!G300,'Raw RetailSalesData'!E300)</f>
        <v>3</v>
      </c>
      <c r="F300" s="7">
        <f>IF('Raw RetailSalesData'!F300="",'Raw RetailSalesData'!G300/'Raw RetailSalesData'!E300,'Raw RetailSalesData'!F300)</f>
        <v>75</v>
      </c>
      <c r="G300" s="7">
        <f t="shared" si="4"/>
        <v>225</v>
      </c>
      <c r="H300" s="5" t="str">
        <f>IF('Raw RetailSalesData'!H300="","Unknown",'Raw RetailSalesData'!H300)</f>
        <v>LATAM</v>
      </c>
      <c r="I300" t="s">
        <v>18</v>
      </c>
      <c r="J300" t="s">
        <v>2197</v>
      </c>
      <c r="K300" t="str">
        <f>TRIM('Raw RetailSalesData'!K300)</f>
        <v>Sales Rep 5</v>
      </c>
      <c r="L300" t="s">
        <v>31</v>
      </c>
    </row>
    <row r="301" spans="1:12" x14ac:dyDescent="0.3">
      <c r="A301" t="str">
        <f>IF(COUNTIF('Raw RetailSalesData'!$A:$L,'Raw RetailSalesData'!A301)=1,'Raw RetailSalesData'!A301,"")</f>
        <v>ORD-10337</v>
      </c>
      <c r="B301" t="str">
        <f>IF('Raw RetailSalesData'!B301="","UNKNOWN",'Raw RetailSalesData'!B301)</f>
        <v>2022-05-20</v>
      </c>
      <c r="C301" t="str">
        <f>IF('Raw RetailSalesData'!C301="","UNKNOW",'Raw RetailSalesData'!C301)</f>
        <v>CUST-1029</v>
      </c>
      <c r="D301" t="str">
        <f>IF('Raw RetailSalesData'!D301="","UNKNOW",'Raw RetailSalesData'!D301)</f>
        <v xml:space="preserve"> P101 </v>
      </c>
      <c r="E301" s="5">
        <f>IF('Raw RetailSalesData'!E301="",'Raw RetailSalesData'!F301/'Raw RetailSalesData'!G301,'Raw RetailSalesData'!E301)</f>
        <v>13</v>
      </c>
      <c r="F301" s="7">
        <f>IF('Raw RetailSalesData'!F301="",'Raw RetailSalesData'!G301/'Raw RetailSalesData'!E301,'Raw RetailSalesData'!F301)</f>
        <v>80</v>
      </c>
      <c r="G301" s="7">
        <f t="shared" si="4"/>
        <v>1040</v>
      </c>
      <c r="H301" s="5" t="str">
        <f>IF('Raw RetailSalesData'!H301="","Unknown",'Raw RetailSalesData'!H301)</f>
        <v>LATAM</v>
      </c>
      <c r="I301" t="s">
        <v>90</v>
      </c>
      <c r="J301" t="s">
        <v>2198</v>
      </c>
      <c r="K301" t="str">
        <f>TRIM('Raw RetailSalesData'!K301)</f>
        <v>#N/A</v>
      </c>
      <c r="L301" t="s">
        <v>31</v>
      </c>
    </row>
    <row r="302" spans="1:12" x14ac:dyDescent="0.3">
      <c r="A302" t="str">
        <f>IF(COUNTIF('Raw RetailSalesData'!$A:$L,'Raw RetailSalesData'!A302)=1,'Raw RetailSalesData'!A302,"")</f>
        <v>ORD-10338</v>
      </c>
      <c r="B302" t="str">
        <f>IF('Raw RetailSalesData'!B302="","UNKNOWN",'Raw RetailSalesData'!B302)</f>
        <v>2025-02-25</v>
      </c>
      <c r="C302" t="str">
        <f>IF('Raw RetailSalesData'!C302="","UNKNOW",'Raw RetailSalesData'!C302)</f>
        <v>CUST-1123</v>
      </c>
      <c r="D302" t="str">
        <f>IF('Raw RetailSalesData'!D302="","UNKNOW",'Raw RetailSalesData'!D302)</f>
        <v>P201</v>
      </c>
      <c r="E302" s="5">
        <f>IF('Raw RetailSalesData'!E302="",'Raw RetailSalesData'!F302/'Raw RetailSalesData'!G302,'Raw RetailSalesData'!E302)</f>
        <v>20</v>
      </c>
      <c r="F302" s="7">
        <f>IF('Raw RetailSalesData'!F302="",'Raw RetailSalesData'!G302/'Raw RetailSalesData'!E302,'Raw RetailSalesData'!F302)</f>
        <v>65</v>
      </c>
      <c r="G302" s="7">
        <f t="shared" si="4"/>
        <v>1300</v>
      </c>
      <c r="H302" s="5" t="str">
        <f>IF('Raw RetailSalesData'!H302="","Unknown",'Raw RetailSalesData'!H302)</f>
        <v>LATAM</v>
      </c>
      <c r="I302" t="s">
        <v>18</v>
      </c>
      <c r="J302" t="s">
        <v>2197</v>
      </c>
      <c r="K302" t="str">
        <f>TRIM('Raw RetailSalesData'!K302)</f>
        <v>Sales Rep 4</v>
      </c>
      <c r="L302" t="s">
        <v>31</v>
      </c>
    </row>
    <row r="303" spans="1:12" x14ac:dyDescent="0.3">
      <c r="A303" t="str">
        <f>IF(COUNTIF('Raw RetailSalesData'!$A:$L,'Raw RetailSalesData'!A303)=1,'Raw RetailSalesData'!A303,"")</f>
        <v>ORD-10339</v>
      </c>
      <c r="B303" t="str">
        <f>IF('Raw RetailSalesData'!B303="","UNKNOWN",'Raw RetailSalesData'!B303)</f>
        <v>2025-02-25</v>
      </c>
      <c r="C303" t="str">
        <f>IF('Raw RetailSalesData'!C303="","UNKNOW",'Raw RetailSalesData'!C303)</f>
        <v>CUST-1123</v>
      </c>
      <c r="D303" t="str">
        <f>IF('Raw RetailSalesData'!D303="","UNKNOW",'Raw RetailSalesData'!D303)</f>
        <v>P201</v>
      </c>
      <c r="E303" s="5">
        <f>IF('Raw RetailSalesData'!E303="",'Raw RetailSalesData'!F303/'Raw RetailSalesData'!G303,'Raw RetailSalesData'!E303)</f>
        <v>20</v>
      </c>
      <c r="F303" s="7">
        <f>IF('Raw RetailSalesData'!F303="",'Raw RetailSalesData'!G303/'Raw RetailSalesData'!E303,'Raw RetailSalesData'!F303)</f>
        <v>65</v>
      </c>
      <c r="G303" s="7">
        <f t="shared" si="4"/>
        <v>1300</v>
      </c>
      <c r="H303" s="5" t="str">
        <f>IF('Raw RetailSalesData'!H303="","Unknown",'Raw RetailSalesData'!H303)</f>
        <v>LATAM</v>
      </c>
      <c r="I303" t="s">
        <v>18</v>
      </c>
      <c r="J303" t="s">
        <v>2197</v>
      </c>
      <c r="K303" t="str">
        <f>TRIM('Raw RetailSalesData'!K303)</f>
        <v>Sales Rep 4</v>
      </c>
      <c r="L303" t="s">
        <v>31</v>
      </c>
    </row>
    <row r="304" spans="1:12" x14ac:dyDescent="0.3">
      <c r="A304" t="str">
        <f>IF(COUNTIF('Raw RetailSalesData'!$A:$L,'Raw RetailSalesData'!A304)=1,'Raw RetailSalesData'!A304,"")</f>
        <v>ORD-10340</v>
      </c>
      <c r="B304" t="str">
        <f>IF('Raw RetailSalesData'!B304="","UNKNOWN",'Raw RetailSalesData'!B304)</f>
        <v>2024-01-16</v>
      </c>
      <c r="C304" t="str">
        <f>IF('Raw RetailSalesData'!C304="","UNKNOW",'Raw RetailSalesData'!C304)</f>
        <v>CUST-1192</v>
      </c>
      <c r="D304" t="str">
        <f>IF('Raw RetailSalesData'!D304="","UNKNOW",'Raw RetailSalesData'!D304)</f>
        <v>P101</v>
      </c>
      <c r="E304" s="5">
        <f>IF('Raw RetailSalesData'!E304="",'Raw RetailSalesData'!F304/'Raw RetailSalesData'!G304,'Raw RetailSalesData'!E304)</f>
        <v>8</v>
      </c>
      <c r="F304" s="7">
        <f>IF('Raw RetailSalesData'!F304="",'Raw RetailSalesData'!G304/'Raw RetailSalesData'!E304,'Raw RetailSalesData'!F304)</f>
        <v>85</v>
      </c>
      <c r="G304" s="7">
        <f t="shared" si="4"/>
        <v>680</v>
      </c>
      <c r="H304" s="5" t="str">
        <f>IF('Raw RetailSalesData'!H304="","Unknown",'Raw RetailSalesData'!H304)</f>
        <v>EMEA</v>
      </c>
      <c r="I304" t="s">
        <v>225</v>
      </c>
      <c r="J304" t="s">
        <v>226</v>
      </c>
      <c r="K304" t="str">
        <f>TRIM('Raw RetailSalesData'!K304)</f>
        <v>Sales Rep 5</v>
      </c>
      <c r="L304" t="s">
        <v>46</v>
      </c>
    </row>
    <row r="305" spans="1:12" x14ac:dyDescent="0.3">
      <c r="A305" t="str">
        <f>IF(COUNTIF('Raw RetailSalesData'!$A:$L,'Raw RetailSalesData'!A305)=1,'Raw RetailSalesData'!A305,"")</f>
        <v>ORD-10341</v>
      </c>
      <c r="B305" t="str">
        <f>IF('Raw RetailSalesData'!B305="","UNKNOWN",'Raw RetailSalesData'!B305)</f>
        <v>2026-05-19</v>
      </c>
      <c r="C305" t="str">
        <f>IF('Raw RetailSalesData'!C305="","UNKNOW",'Raw RetailSalesData'!C305)</f>
        <v>CUST-1112</v>
      </c>
      <c r="D305" t="str">
        <f>IF('Raw RetailSalesData'!D305="","UNKNOW",'Raw RetailSalesData'!D305)</f>
        <v xml:space="preserve"> P101 </v>
      </c>
      <c r="E305" s="5">
        <f>IF('Raw RetailSalesData'!E305="",'Raw RetailSalesData'!F305/'Raw RetailSalesData'!G305,'Raw RetailSalesData'!E305)</f>
        <v>16</v>
      </c>
      <c r="F305" s="7">
        <f>IF('Raw RetailSalesData'!F305="",'Raw RetailSalesData'!G305/'Raw RetailSalesData'!E305,'Raw RetailSalesData'!F305)</f>
        <v>85</v>
      </c>
      <c r="G305" s="7">
        <f t="shared" si="4"/>
        <v>1360</v>
      </c>
      <c r="H305" s="5" t="str">
        <f>IF('Raw RetailSalesData'!H305="","Unknown",'Raw RetailSalesData'!H305)</f>
        <v>Unknown</v>
      </c>
      <c r="I305" t="s">
        <v>183</v>
      </c>
      <c r="J305" t="s">
        <v>184</v>
      </c>
      <c r="K305" t="str">
        <f>TRIM('Raw RetailSalesData'!K305)</f>
        <v>Sales Rep 2</v>
      </c>
      <c r="L305" t="s">
        <v>31</v>
      </c>
    </row>
    <row r="306" spans="1:12" x14ac:dyDescent="0.3">
      <c r="A306" t="str">
        <f>IF(COUNTIF('Raw RetailSalesData'!$A:$L,'Raw RetailSalesData'!A306)=1,'Raw RetailSalesData'!A306,"")</f>
        <v>ORD-10342</v>
      </c>
      <c r="B306" t="str">
        <f>IF('Raw RetailSalesData'!B306="","UNKNOWN",'Raw RetailSalesData'!B306)</f>
        <v>2025-06-18</v>
      </c>
      <c r="C306" t="str">
        <f>IF('Raw RetailSalesData'!C306="","UNKNOW",'Raw RetailSalesData'!C306)</f>
        <v>CUST-1200</v>
      </c>
      <c r="D306" t="str">
        <f>IF('Raw RetailSalesData'!D306="","UNKNOW",'Raw RetailSalesData'!D306)</f>
        <v>C304</v>
      </c>
      <c r="E306" s="5">
        <f>IF('Raw RetailSalesData'!E306="",'Raw RetailSalesData'!F306/'Raw RetailSalesData'!G306,'Raw RetailSalesData'!E306)</f>
        <v>16</v>
      </c>
      <c r="F306" s="7">
        <f>IF('Raw RetailSalesData'!F306="",'Raw RetailSalesData'!G306/'Raw RetailSalesData'!E306,'Raw RetailSalesData'!F306)</f>
        <v>63</v>
      </c>
      <c r="G306" s="7">
        <f t="shared" si="4"/>
        <v>1008</v>
      </c>
      <c r="H306" s="5" t="str">
        <f>IF('Raw RetailSalesData'!H306="","Unknown",'Raw RetailSalesData'!H306)</f>
        <v>NA</v>
      </c>
      <c r="I306" t="s">
        <v>28</v>
      </c>
      <c r="J306" t="s">
        <v>2196</v>
      </c>
      <c r="K306" t="str">
        <f>TRIM('Raw RetailSalesData'!K306)</f>
        <v>Michael Johnson</v>
      </c>
      <c r="L306" t="s">
        <v>46</v>
      </c>
    </row>
    <row r="307" spans="1:12" x14ac:dyDescent="0.3">
      <c r="A307" t="str">
        <f>IF(COUNTIF('Raw RetailSalesData'!$A:$L,'Raw RetailSalesData'!A307)=1,'Raw RetailSalesData'!A307,"")</f>
        <v>ORD-10343</v>
      </c>
      <c r="B307" t="str">
        <f>IF('Raw RetailSalesData'!B307="","UNKNOWN",'Raw RetailSalesData'!B307)</f>
        <v>2023-05-08</v>
      </c>
      <c r="C307" t="str">
        <f>IF('Raw RetailSalesData'!C307="","UNKNOW",'Raw RetailSalesData'!C307)</f>
        <v>CUST-1079</v>
      </c>
      <c r="D307" t="str">
        <f>IF('Raw RetailSalesData'!D307="","UNKNOW",'Raw RetailSalesData'!D307)</f>
        <v>C301</v>
      </c>
      <c r="E307" s="5">
        <f>IF('Raw RetailSalesData'!E307="",'Raw RetailSalesData'!F307/'Raw RetailSalesData'!G307,'Raw RetailSalesData'!E307)</f>
        <v>1</v>
      </c>
      <c r="F307" s="7">
        <f>IF('Raw RetailSalesData'!F307="",'Raw RetailSalesData'!G307/'Raw RetailSalesData'!E307,'Raw RetailSalesData'!F307)</f>
        <v>60</v>
      </c>
      <c r="G307" s="7">
        <f t="shared" si="4"/>
        <v>60</v>
      </c>
      <c r="H307" s="5" t="str">
        <f>IF('Raw RetailSalesData'!H307="","Unknown",'Raw RetailSalesData'!H307)</f>
        <v>NA</v>
      </c>
      <c r="I307" t="s">
        <v>28</v>
      </c>
      <c r="J307" t="s">
        <v>2196</v>
      </c>
      <c r="K307" t="str">
        <f>TRIM('Raw RetailSalesData'!K307)</f>
        <v>Michael Johnson</v>
      </c>
      <c r="L307" t="s">
        <v>31</v>
      </c>
    </row>
    <row r="308" spans="1:12" x14ac:dyDescent="0.3">
      <c r="A308" t="str">
        <f>IF(COUNTIF('Raw RetailSalesData'!$A:$L,'Raw RetailSalesData'!A308)=1,'Raw RetailSalesData'!A308,"")</f>
        <v>ORD-10344</v>
      </c>
      <c r="B308" t="str">
        <f>IF('Raw RetailSalesData'!B308="","UNKNOWN",'Raw RetailSalesData'!B308)</f>
        <v>2023-05-11</v>
      </c>
      <c r="C308" t="str">
        <f>IF('Raw RetailSalesData'!C308="","UNKNOW",'Raw RetailSalesData'!C308)</f>
        <v>CUST-1093</v>
      </c>
      <c r="D308" t="str">
        <f>IF('Raw RetailSalesData'!D308="","UNKNOW",'Raw RetailSalesData'!D308)</f>
        <v>P202</v>
      </c>
      <c r="E308" s="5">
        <f>IF('Raw RetailSalesData'!E308="",'Raw RetailSalesData'!F308/'Raw RetailSalesData'!G308,'Raw RetailSalesData'!E308)</f>
        <v>4</v>
      </c>
      <c r="F308" s="7">
        <f>IF('Raw RetailSalesData'!F308="",'Raw RetailSalesData'!G308/'Raw RetailSalesData'!E308,'Raw RetailSalesData'!F308)</f>
        <v>65</v>
      </c>
      <c r="G308" s="7">
        <f t="shared" si="4"/>
        <v>260</v>
      </c>
      <c r="H308" s="5" t="str">
        <f>IF('Raw RetailSalesData'!H308="","Unknown",'Raw RetailSalesData'!H308)</f>
        <v>EMEA</v>
      </c>
      <c r="I308" t="s">
        <v>225</v>
      </c>
      <c r="J308" t="s">
        <v>226</v>
      </c>
      <c r="K308" t="str">
        <f>TRIM('Raw RetailSalesData'!K308)</f>
        <v>Sales Rep 2</v>
      </c>
      <c r="L308" t="s">
        <v>21</v>
      </c>
    </row>
    <row r="309" spans="1:12" x14ac:dyDescent="0.3">
      <c r="A309" t="str">
        <f>IF(COUNTIF('Raw RetailSalesData'!$A:$L,'Raw RetailSalesData'!A309)=1,'Raw RetailSalesData'!A309,"")</f>
        <v>ORD-10345</v>
      </c>
      <c r="B309" t="str">
        <f>IF('Raw RetailSalesData'!B309="","UNKNOWN",'Raw RetailSalesData'!B309)</f>
        <v>2026-02-10</v>
      </c>
      <c r="C309" t="str">
        <f>IF('Raw RetailSalesData'!C309="","UNKNOW",'Raw RetailSalesData'!C309)</f>
        <v xml:space="preserve"> CUST-1133 </v>
      </c>
      <c r="D309" t="str">
        <f>IF('Raw RetailSalesData'!D309="","UNKNOW",'Raw RetailSalesData'!D309)</f>
        <v>C303</v>
      </c>
      <c r="E309" s="5">
        <f>IF('Raw RetailSalesData'!E309="",'Raw RetailSalesData'!F309/'Raw RetailSalesData'!G309,'Raw RetailSalesData'!E309)</f>
        <v>17</v>
      </c>
      <c r="F309" s="7">
        <f>IF('Raw RetailSalesData'!F309="",'Raw RetailSalesData'!G309/'Raw RetailSalesData'!E309,'Raw RetailSalesData'!F309)</f>
        <v>65</v>
      </c>
      <c r="G309" s="7">
        <f t="shared" si="4"/>
        <v>1105</v>
      </c>
      <c r="H309" s="5" t="str">
        <f>IF('Raw RetailSalesData'!H309="","Unknown",'Raw RetailSalesData'!H309)</f>
        <v>NA</v>
      </c>
      <c r="I309" t="s">
        <v>100</v>
      </c>
      <c r="J309" t="s">
        <v>101</v>
      </c>
      <c r="K309" t="str">
        <f>TRIM('Raw RetailSalesData'!K309)</f>
        <v>Unknown</v>
      </c>
      <c r="L309" t="s">
        <v>46</v>
      </c>
    </row>
    <row r="310" spans="1:12" x14ac:dyDescent="0.3">
      <c r="A310" t="str">
        <f>IF(COUNTIF('Raw RetailSalesData'!$A:$L,'Raw RetailSalesData'!A310)=1,'Raw RetailSalesData'!A310,"")</f>
        <v>ORD-10346</v>
      </c>
      <c r="B310" t="str">
        <f>IF('Raw RetailSalesData'!B310="","UNKNOWN",'Raw RetailSalesData'!B310)</f>
        <v>2026-08-12</v>
      </c>
      <c r="C310" t="str">
        <f>IF('Raw RetailSalesData'!C310="","UNKNOW",'Raw RetailSalesData'!C310)</f>
        <v>CUST-1080</v>
      </c>
      <c r="D310" t="str">
        <f>IF('Raw RetailSalesData'!D310="","UNKNOW",'Raw RetailSalesData'!D310)</f>
        <v>P203</v>
      </c>
      <c r="E310" s="5">
        <f>IF('Raw RetailSalesData'!E310="",'Raw RetailSalesData'!F310/'Raw RetailSalesData'!G310,'Raw RetailSalesData'!E310)</f>
        <v>1</v>
      </c>
      <c r="F310" s="7">
        <f>IF('Raw RetailSalesData'!F310="",'Raw RetailSalesData'!G310/'Raw RetailSalesData'!E310,'Raw RetailSalesData'!F310)</f>
        <v>73</v>
      </c>
      <c r="G310" s="7">
        <f t="shared" si="4"/>
        <v>73</v>
      </c>
      <c r="H310" s="5" t="str">
        <f>IF('Raw RetailSalesData'!H310="","Unknown",'Raw RetailSalesData'!H310)</f>
        <v>NA</v>
      </c>
      <c r="I310" t="s">
        <v>100</v>
      </c>
      <c r="J310" t="s">
        <v>101</v>
      </c>
      <c r="K310" t="str">
        <f>TRIM('Raw RetailSalesData'!K310)</f>
        <v>Sales Rep 3</v>
      </c>
      <c r="L310" t="s">
        <v>31</v>
      </c>
    </row>
    <row r="311" spans="1:12" x14ac:dyDescent="0.3">
      <c r="A311" t="str">
        <f>IF(COUNTIF('Raw RetailSalesData'!$A:$L,'Raw RetailSalesData'!A311)=1,'Raw RetailSalesData'!A311,"")</f>
        <v>ORD-10347</v>
      </c>
      <c r="B311" t="str">
        <f>IF('Raw RetailSalesData'!B311="","UNKNOWN",'Raw RetailSalesData'!B311)</f>
        <v>2026-08-12</v>
      </c>
      <c r="C311" t="str">
        <f>IF('Raw RetailSalesData'!C311="","UNKNOW",'Raw RetailSalesData'!C311)</f>
        <v>CUST-1080</v>
      </c>
      <c r="D311" t="str">
        <f>IF('Raw RetailSalesData'!D311="","UNKNOW",'Raw RetailSalesData'!D311)</f>
        <v>P203</v>
      </c>
      <c r="E311" s="5">
        <f>IF('Raw RetailSalesData'!E311="",'Raw RetailSalesData'!F311/'Raw RetailSalesData'!G311,'Raw RetailSalesData'!E311)</f>
        <v>1</v>
      </c>
      <c r="F311" s="7">
        <f>IF('Raw RetailSalesData'!F311="",'Raw RetailSalesData'!G311/'Raw RetailSalesData'!E311,'Raw RetailSalesData'!F311)</f>
        <v>73</v>
      </c>
      <c r="G311" s="7">
        <f t="shared" si="4"/>
        <v>73</v>
      </c>
      <c r="H311" s="5" t="str">
        <f>IF('Raw RetailSalesData'!H311="","Unknown",'Raw RetailSalesData'!H311)</f>
        <v>NA</v>
      </c>
      <c r="I311" t="s">
        <v>100</v>
      </c>
      <c r="J311" t="s">
        <v>101</v>
      </c>
      <c r="K311" t="str">
        <f>TRIM('Raw RetailSalesData'!K311)</f>
        <v>Sales Rep 3</v>
      </c>
      <c r="L311" t="s">
        <v>31</v>
      </c>
    </row>
    <row r="312" spans="1:12" x14ac:dyDescent="0.3">
      <c r="A312" t="str">
        <f>IF(COUNTIF('Raw RetailSalesData'!$A:$L,'Raw RetailSalesData'!A312)=1,'Raw RetailSalesData'!A312,"")</f>
        <v>ORD-10348</v>
      </c>
      <c r="B312" t="str">
        <f>IF('Raw RetailSalesData'!B312="","UNKNOWN",'Raw RetailSalesData'!B312)</f>
        <v>2025-11-17</v>
      </c>
      <c r="C312" t="str">
        <f>IF('Raw RetailSalesData'!C312="","UNKNOW",'Raw RetailSalesData'!C312)</f>
        <v>CUST-1005</v>
      </c>
      <c r="D312" t="str">
        <f>IF('Raw RetailSalesData'!D312="","UNKNOW",'Raw RetailSalesData'!D312)</f>
        <v>C303</v>
      </c>
      <c r="E312" s="5">
        <f>IF('Raw RetailSalesData'!E312="",'Raw RetailSalesData'!F312/'Raw RetailSalesData'!G312,'Raw RetailSalesData'!E312)</f>
        <v>8</v>
      </c>
      <c r="F312" s="7">
        <f>IF('Raw RetailSalesData'!F312="",'Raw RetailSalesData'!G312/'Raw RetailSalesData'!E312,'Raw RetailSalesData'!F312)</f>
        <v>60</v>
      </c>
      <c r="G312" s="7">
        <f t="shared" si="4"/>
        <v>480</v>
      </c>
      <c r="H312" s="5" t="str">
        <f>IF('Raw RetailSalesData'!H312="","Unknown",'Raw RetailSalesData'!H312)</f>
        <v>APAC</v>
      </c>
      <c r="I312" t="s">
        <v>71</v>
      </c>
      <c r="J312" t="s">
        <v>72</v>
      </c>
      <c r="K312" t="str">
        <f>TRIM('Raw RetailSalesData'!K312)</f>
        <v>Hiroshi Tanaka</v>
      </c>
      <c r="L312" t="s">
        <v>31</v>
      </c>
    </row>
    <row r="313" spans="1:12" x14ac:dyDescent="0.3">
      <c r="A313" t="str">
        <f>IF(COUNTIF('Raw RetailSalesData'!$A:$L,'Raw RetailSalesData'!A313)=1,'Raw RetailSalesData'!A313,"")</f>
        <v>ORD-10349</v>
      </c>
      <c r="B313" t="str">
        <f>IF('Raw RetailSalesData'!B313="","UNKNOWN",'Raw RetailSalesData'!B313)</f>
        <v>2025-10-19</v>
      </c>
      <c r="C313" t="str">
        <f>IF('Raw RetailSalesData'!C313="","UNKNOW",'Raw RetailSalesData'!C313)</f>
        <v>CUST-1069</v>
      </c>
      <c r="D313" t="str">
        <f>IF('Raw RetailSalesData'!D313="","UNKNOW",'Raw RetailSalesData'!D313)</f>
        <v>C302</v>
      </c>
      <c r="E313" s="5">
        <f>IF('Raw RetailSalesData'!E313="",'Raw RetailSalesData'!F313/'Raw RetailSalesData'!G313,'Raw RetailSalesData'!E313)</f>
        <v>15</v>
      </c>
      <c r="F313" s="7">
        <f>IF('Raw RetailSalesData'!F313="",'Raw RetailSalesData'!G313/'Raw RetailSalesData'!E313,'Raw RetailSalesData'!F313)</f>
        <v>50</v>
      </c>
      <c r="G313" s="7">
        <f t="shared" si="4"/>
        <v>750</v>
      </c>
      <c r="H313" s="5" t="str">
        <f>IF('Raw RetailSalesData'!H313="","Unknown",'Raw RetailSalesData'!H313)</f>
        <v>APAC</v>
      </c>
      <c r="I313" t="s">
        <v>183</v>
      </c>
      <c r="J313" t="s">
        <v>184</v>
      </c>
      <c r="K313" t="str">
        <f>TRIM('Raw RetailSalesData'!K313)</f>
        <v>Sales Rep 3</v>
      </c>
      <c r="L313" t="s">
        <v>31</v>
      </c>
    </row>
    <row r="314" spans="1:12" x14ac:dyDescent="0.3">
      <c r="A314" t="str">
        <f>IF(COUNTIF('Raw RetailSalesData'!$A:$L,'Raw RetailSalesData'!A314)=1,'Raw RetailSalesData'!A314,"")</f>
        <v>ORD-10350</v>
      </c>
      <c r="B314" t="str">
        <f>IF('Raw RetailSalesData'!B314="","UNKNOWN",'Raw RetailSalesData'!B314)</f>
        <v>2025-10-19</v>
      </c>
      <c r="C314" t="str">
        <f>IF('Raw RetailSalesData'!C314="","UNKNOW",'Raw RetailSalesData'!C314)</f>
        <v>CUST-1069</v>
      </c>
      <c r="D314" t="str">
        <f>IF('Raw RetailSalesData'!D314="","UNKNOW",'Raw RetailSalesData'!D314)</f>
        <v>C302</v>
      </c>
      <c r="E314" s="5">
        <f>IF('Raw RetailSalesData'!E314="",'Raw RetailSalesData'!F314/'Raw RetailSalesData'!G314,'Raw RetailSalesData'!E314)</f>
        <v>15</v>
      </c>
      <c r="F314" s="7">
        <f>IF('Raw RetailSalesData'!F314="",'Raw RetailSalesData'!G314/'Raw RetailSalesData'!E314,'Raw RetailSalesData'!F314)</f>
        <v>50</v>
      </c>
      <c r="G314" s="7">
        <f t="shared" si="4"/>
        <v>750</v>
      </c>
      <c r="H314" s="5" t="str">
        <f>IF('Raw RetailSalesData'!H314="","Unknown",'Raw RetailSalesData'!H314)</f>
        <v>APAC</v>
      </c>
      <c r="I314" t="s">
        <v>183</v>
      </c>
      <c r="J314" t="s">
        <v>184</v>
      </c>
      <c r="K314" t="str">
        <f>TRIM('Raw RetailSalesData'!K314)</f>
        <v>Sales Rep 3</v>
      </c>
      <c r="L314" t="s">
        <v>31</v>
      </c>
    </row>
    <row r="315" spans="1:12" x14ac:dyDescent="0.3">
      <c r="A315" t="str">
        <f>IF(COUNTIF('Raw RetailSalesData'!$A:$L,'Raw RetailSalesData'!A315)=1,'Raw RetailSalesData'!A315,"")</f>
        <v>ORD-10351</v>
      </c>
      <c r="B315" t="str">
        <f>IF('Raw RetailSalesData'!B315="","UNKNOWN",'Raw RetailSalesData'!B315)</f>
        <v>2026-04-01</v>
      </c>
      <c r="C315" t="str">
        <f>IF('Raw RetailSalesData'!C315="","UNKNOW",'Raw RetailSalesData'!C315)</f>
        <v>CUST-1077</v>
      </c>
      <c r="D315" t="str">
        <f>IF('Raw RetailSalesData'!D315="","UNKNOW",'Raw RetailSalesData'!D315)</f>
        <v>P103</v>
      </c>
      <c r="E315" s="5">
        <f>IF('Raw RetailSalesData'!E315="",'Raw RetailSalesData'!F315/'Raw RetailSalesData'!G315,'Raw RetailSalesData'!E315)</f>
        <v>16</v>
      </c>
      <c r="F315" s="7">
        <f>IF('Raw RetailSalesData'!F315="",'Raw RetailSalesData'!G315/'Raw RetailSalesData'!E315,'Raw RetailSalesData'!F315)</f>
        <v>90</v>
      </c>
      <c r="G315" s="7">
        <f t="shared" si="4"/>
        <v>1440</v>
      </c>
      <c r="H315" s="5" t="str">
        <f>IF('Raw RetailSalesData'!H315="","Unknown",'Raw RetailSalesData'!H315)</f>
        <v>LATAM</v>
      </c>
      <c r="I315" t="s">
        <v>90</v>
      </c>
      <c r="J315" t="s">
        <v>2198</v>
      </c>
      <c r="K315" t="str">
        <f>TRIM('Raw RetailSalesData'!K315)</f>
        <v>Sales Rep 1</v>
      </c>
      <c r="L315" t="s">
        <v>31</v>
      </c>
    </row>
    <row r="316" spans="1:12" x14ac:dyDescent="0.3">
      <c r="A316" t="str">
        <f>IF(COUNTIF('Raw RetailSalesData'!$A:$L,'Raw RetailSalesData'!A316)=1,'Raw RetailSalesData'!A316,"")</f>
        <v>ORD-10352</v>
      </c>
      <c r="B316" t="str">
        <f>IF('Raw RetailSalesData'!B316="","UNKNOWN",'Raw RetailSalesData'!B316)</f>
        <v>UNKNOWN</v>
      </c>
      <c r="C316" t="str">
        <f>IF('Raw RetailSalesData'!C316="","UNKNOW",'Raw RetailSalesData'!C316)</f>
        <v>CUST-1032</v>
      </c>
      <c r="D316" t="str">
        <f>IF('Raw RetailSalesData'!D316="","UNKNOW",'Raw RetailSalesData'!D316)</f>
        <v>C302</v>
      </c>
      <c r="E316" s="5">
        <f>IF('Raw RetailSalesData'!E316="",'Raw RetailSalesData'!F316/'Raw RetailSalesData'!G316,'Raw RetailSalesData'!E316)</f>
        <v>20</v>
      </c>
      <c r="F316" s="7">
        <f>IF('Raw RetailSalesData'!F316="",'Raw RetailSalesData'!G316/'Raw RetailSalesData'!E316,'Raw RetailSalesData'!F316)</f>
        <v>50</v>
      </c>
      <c r="G316" s="7">
        <f t="shared" si="4"/>
        <v>1000</v>
      </c>
      <c r="H316" s="5" t="str">
        <f>IF('Raw RetailSalesData'!H316="","Unknown",'Raw RetailSalesData'!H316)</f>
        <v>EMEA</v>
      </c>
      <c r="I316" t="s">
        <v>225</v>
      </c>
      <c r="J316" t="s">
        <v>226</v>
      </c>
      <c r="K316" t="str">
        <f>TRIM('Raw RetailSalesData'!K316)</f>
        <v>Sales Rep 3</v>
      </c>
      <c r="L316" t="s">
        <v>31</v>
      </c>
    </row>
    <row r="317" spans="1:12" x14ac:dyDescent="0.3">
      <c r="A317" t="str">
        <f>IF(COUNTIF('Raw RetailSalesData'!$A:$L,'Raw RetailSalesData'!A317)=1,'Raw RetailSalesData'!A317,"")</f>
        <v>ORD-10353</v>
      </c>
      <c r="B317" t="str">
        <f>IF('Raw RetailSalesData'!B317="","UNKNOWN",'Raw RetailSalesData'!B317)</f>
        <v>2024-12-06</v>
      </c>
      <c r="C317" t="str">
        <f>IF('Raw RetailSalesData'!C317="","UNKNOW",'Raw RetailSalesData'!C317)</f>
        <v>CUST-1188</v>
      </c>
      <c r="D317" t="str">
        <f>IF('Raw RetailSalesData'!D317="","UNKNOW",'Raw RetailSalesData'!D317)</f>
        <v>C303</v>
      </c>
      <c r="E317" s="5">
        <f>IF('Raw RetailSalesData'!E317="",'Raw RetailSalesData'!F317/'Raw RetailSalesData'!G317,'Raw RetailSalesData'!E317)</f>
        <v>13</v>
      </c>
      <c r="F317" s="7">
        <f>IF('Raw RetailSalesData'!F317="",'Raw RetailSalesData'!G317/'Raw RetailSalesData'!E317,'Raw RetailSalesData'!F317)</f>
        <v>65</v>
      </c>
      <c r="G317" s="7">
        <f t="shared" si="4"/>
        <v>845</v>
      </c>
      <c r="H317" s="5" t="str">
        <f>IF('Raw RetailSalesData'!H317="","Unknown",'Raw RetailSalesData'!H317)</f>
        <v>Unknown</v>
      </c>
      <c r="I317" t="s">
        <v>28</v>
      </c>
      <c r="J317" t="s">
        <v>2196</v>
      </c>
      <c r="K317" t="str">
        <f>TRIM('Raw RetailSalesData'!K317)</f>
        <v>Michael Johnson</v>
      </c>
      <c r="L317" t="s">
        <v>21</v>
      </c>
    </row>
    <row r="318" spans="1:12" x14ac:dyDescent="0.3">
      <c r="A318" t="str">
        <f>IF(COUNTIF('Raw RetailSalesData'!$A:$L,'Raw RetailSalesData'!A318)=1,'Raw RetailSalesData'!A318,"")</f>
        <v>ORD-10354</v>
      </c>
      <c r="B318" t="str">
        <f>IF('Raw RetailSalesData'!B318="","UNKNOWN",'Raw RetailSalesData'!B318)</f>
        <v>2022-09-21</v>
      </c>
      <c r="C318" t="str">
        <f>IF('Raw RetailSalesData'!C318="","UNKNOW",'Raw RetailSalesData'!C318)</f>
        <v>CUST-1190</v>
      </c>
      <c r="D318" t="str">
        <f>IF('Raw RetailSalesData'!D318="","UNKNOW",'Raw RetailSalesData'!D318)</f>
        <v>UNKNOW</v>
      </c>
      <c r="E318" s="5">
        <f>IF('Raw RetailSalesData'!E318="",'Raw RetailSalesData'!F318/'Raw RetailSalesData'!G318,'Raw RetailSalesData'!E318)</f>
        <v>17</v>
      </c>
      <c r="F318" s="7">
        <f>IF('Raw RetailSalesData'!F318="",'Raw RetailSalesData'!G318/'Raw RetailSalesData'!E318,'Raw RetailSalesData'!F318)</f>
        <v>55</v>
      </c>
      <c r="G318" s="7">
        <f t="shared" si="4"/>
        <v>935</v>
      </c>
      <c r="H318" s="5" t="str">
        <f>IF('Raw RetailSalesData'!H318="","Unknown",'Raw RetailSalesData'!H318)</f>
        <v>LATAM</v>
      </c>
      <c r="I318" t="s">
        <v>90</v>
      </c>
      <c r="J318" t="s">
        <v>2198</v>
      </c>
      <c r="K318" t="str">
        <f>TRIM('Raw RetailSalesData'!K318)</f>
        <v>Sales Rep 5</v>
      </c>
      <c r="L318" t="s">
        <v>21</v>
      </c>
    </row>
    <row r="319" spans="1:12" x14ac:dyDescent="0.3">
      <c r="A319" t="str">
        <f>IF(COUNTIF('Raw RetailSalesData'!$A:$L,'Raw RetailSalesData'!A319)=1,'Raw RetailSalesData'!A319,"")</f>
        <v>ORD-10355</v>
      </c>
      <c r="B319" t="str">
        <f>IF('Raw RetailSalesData'!B319="","UNKNOWN",'Raw RetailSalesData'!B319)</f>
        <v>2022-04-22</v>
      </c>
      <c r="C319" t="str">
        <f>IF('Raw RetailSalesData'!C319="","UNKNOW",'Raw RetailSalesData'!C319)</f>
        <v>CUST-1117</v>
      </c>
      <c r="D319" t="str">
        <f>IF('Raw RetailSalesData'!D319="","UNKNOW",'Raw RetailSalesData'!D319)</f>
        <v>C304</v>
      </c>
      <c r="E319" s="5">
        <f>IF('Raw RetailSalesData'!E319="",'Raw RetailSalesData'!F319/'Raw RetailSalesData'!G319,'Raw RetailSalesData'!E319)</f>
        <v>18</v>
      </c>
      <c r="F319" s="7">
        <f>IF('Raw RetailSalesData'!F319="",'Raw RetailSalesData'!G319/'Raw RetailSalesData'!E319,'Raw RetailSalesData'!F319)</f>
        <v>58</v>
      </c>
      <c r="G319" s="7">
        <f t="shared" si="4"/>
        <v>1044</v>
      </c>
      <c r="H319" s="5" t="str">
        <f>IF('Raw RetailSalesData'!H319="","Unknown",'Raw RetailSalesData'!H319)</f>
        <v>APAC</v>
      </c>
      <c r="I319" t="s">
        <v>183</v>
      </c>
      <c r="J319" t="s">
        <v>184</v>
      </c>
      <c r="K319" t="str">
        <f>TRIM('Raw RetailSalesData'!K319)</f>
        <v>Sales Rep 1</v>
      </c>
      <c r="L319" t="s">
        <v>31</v>
      </c>
    </row>
    <row r="320" spans="1:12" x14ac:dyDescent="0.3">
      <c r="A320" t="str">
        <f>IF(COUNTIF('Raw RetailSalesData'!$A:$L,'Raw RetailSalesData'!A320)=1,'Raw RetailSalesData'!A320,"")</f>
        <v>ORD-10356</v>
      </c>
      <c r="B320" t="str">
        <f>IF('Raw RetailSalesData'!B320="","UNKNOWN",'Raw RetailSalesData'!B320)</f>
        <v>2022-04-22</v>
      </c>
      <c r="C320" t="str">
        <f>IF('Raw RetailSalesData'!C320="","UNKNOW",'Raw RetailSalesData'!C320)</f>
        <v>CUST-1117</v>
      </c>
      <c r="D320" t="str">
        <f>IF('Raw RetailSalesData'!D320="","UNKNOW",'Raw RetailSalesData'!D320)</f>
        <v>C304</v>
      </c>
      <c r="E320" s="5">
        <f>IF('Raw RetailSalesData'!E320="",'Raw RetailSalesData'!F320/'Raw RetailSalesData'!G320,'Raw RetailSalesData'!E320)</f>
        <v>18</v>
      </c>
      <c r="F320" s="7">
        <f>IF('Raw RetailSalesData'!F320="",'Raw RetailSalesData'!G320/'Raw RetailSalesData'!E320,'Raw RetailSalesData'!F320)</f>
        <v>58</v>
      </c>
      <c r="G320" s="7">
        <f t="shared" si="4"/>
        <v>1044</v>
      </c>
      <c r="H320" s="5" t="str">
        <f>IF('Raw RetailSalesData'!H320="","Unknown",'Raw RetailSalesData'!H320)</f>
        <v>APAC</v>
      </c>
      <c r="I320" t="s">
        <v>183</v>
      </c>
      <c r="J320" t="s">
        <v>184</v>
      </c>
      <c r="K320" t="str">
        <f>TRIM('Raw RetailSalesData'!K320)</f>
        <v>Sales Rep 1</v>
      </c>
      <c r="L320" t="s">
        <v>31</v>
      </c>
    </row>
    <row r="321" spans="1:12" x14ac:dyDescent="0.3">
      <c r="A321" t="str">
        <f>IF(COUNTIF('Raw RetailSalesData'!$A:$L,'Raw RetailSalesData'!A321)=1,'Raw RetailSalesData'!A321,"")</f>
        <v>ORD-10357</v>
      </c>
      <c r="B321" t="str">
        <f>IF('Raw RetailSalesData'!B321="","UNKNOWN",'Raw RetailSalesData'!B321)</f>
        <v>2026-05-04</v>
      </c>
      <c r="C321" t="str">
        <f>IF('Raw RetailSalesData'!C321="","UNKNOW",'Raw RetailSalesData'!C321)</f>
        <v>CUST-1129</v>
      </c>
      <c r="D321" t="str">
        <f>IF('Raw RetailSalesData'!D321="","UNKNOW",'Raw RetailSalesData'!D321)</f>
        <v>UNKNOW</v>
      </c>
      <c r="E321" s="5">
        <f>IF('Raw RetailSalesData'!E321="",'Raw RetailSalesData'!F321/'Raw RetailSalesData'!G321,'Raw RetailSalesData'!E321)</f>
        <v>13</v>
      </c>
      <c r="F321" s="7">
        <f>IF('Raw RetailSalesData'!F321="",'Raw RetailSalesData'!G321/'Raw RetailSalesData'!E321,'Raw RetailSalesData'!F321)</f>
        <v>80</v>
      </c>
      <c r="G321" s="7">
        <f t="shared" si="4"/>
        <v>1040</v>
      </c>
      <c r="H321" s="5" t="str">
        <f>IF('Raw RetailSalesData'!H321="","Unknown",'Raw RetailSalesData'!H321)</f>
        <v>EMEA</v>
      </c>
      <c r="I321" t="s">
        <v>38</v>
      </c>
      <c r="J321" t="s">
        <v>39</v>
      </c>
      <c r="K321" t="str">
        <f>TRIM('Raw RetailSalesData'!K321)</f>
        <v>Sales Rep 5</v>
      </c>
      <c r="L321" t="s">
        <v>21</v>
      </c>
    </row>
    <row r="322" spans="1:12" x14ac:dyDescent="0.3">
      <c r="A322" t="str">
        <f>IF(COUNTIF('Raw RetailSalesData'!$A:$L,'Raw RetailSalesData'!A322)=1,'Raw RetailSalesData'!A322,"")</f>
        <v>ORD-10358</v>
      </c>
      <c r="B322" t="str">
        <f>IF('Raw RetailSalesData'!B322="","UNKNOWN",'Raw RetailSalesData'!B322)</f>
        <v>2026-09-13</v>
      </c>
      <c r="C322" t="str">
        <f>IF('Raw RetailSalesData'!C322="","UNKNOW",'Raw RetailSalesData'!C322)</f>
        <v>CUST-1038</v>
      </c>
      <c r="D322" t="str">
        <f>IF('Raw RetailSalesData'!D322="","UNKNOW",'Raw RetailSalesData'!D322)</f>
        <v>P102</v>
      </c>
      <c r="E322" s="5">
        <f>IF('Raw RetailSalesData'!E322="",'Raw RetailSalesData'!F322/'Raw RetailSalesData'!G322,'Raw RetailSalesData'!E322)</f>
        <v>19</v>
      </c>
      <c r="F322" s="7">
        <f>IF('Raw RetailSalesData'!F322="",'Raw RetailSalesData'!G322/'Raw RetailSalesData'!E322,'Raw RetailSalesData'!F322)</f>
        <v>80</v>
      </c>
      <c r="G322" s="7">
        <f t="shared" si="4"/>
        <v>1520</v>
      </c>
      <c r="H322" s="5" t="str">
        <f>IF('Raw RetailSalesData'!H322="","Unknown",'Raw RetailSalesData'!H322)</f>
        <v>EMEA</v>
      </c>
      <c r="I322" t="s">
        <v>83</v>
      </c>
      <c r="J322" t="s">
        <v>84</v>
      </c>
      <c r="K322" t="str">
        <f>TRIM('Raw RetailSalesData'!K322)</f>
        <v>John Smith</v>
      </c>
      <c r="L322" t="s">
        <v>46</v>
      </c>
    </row>
    <row r="323" spans="1:12" x14ac:dyDescent="0.3">
      <c r="A323" t="str">
        <f>IF(COUNTIF('Raw RetailSalesData'!$A:$L,'Raw RetailSalesData'!A323)=1,'Raw RetailSalesData'!A323,"")</f>
        <v>ORD-10359</v>
      </c>
      <c r="B323" t="str">
        <f>IF('Raw RetailSalesData'!B323="","UNKNOWN",'Raw RetailSalesData'!B323)</f>
        <v>2022-11-27</v>
      </c>
      <c r="C323" t="str">
        <f>IF('Raw RetailSalesData'!C323="","UNKNOW",'Raw RetailSalesData'!C323)</f>
        <v>CUST-1137</v>
      </c>
      <c r="D323" t="str">
        <f>IF('Raw RetailSalesData'!D323="","UNKNOW",'Raw RetailSalesData'!D323)</f>
        <v>C304</v>
      </c>
      <c r="E323" s="5">
        <f>IF('Raw RetailSalesData'!E323="",'Raw RetailSalesData'!F323/'Raw RetailSalesData'!G323,'Raw RetailSalesData'!E323)</f>
        <v>9</v>
      </c>
      <c r="F323" s="7">
        <f>IF('Raw RetailSalesData'!F323="",'Raw RetailSalesData'!G323/'Raw RetailSalesData'!E323,'Raw RetailSalesData'!F323)</f>
        <v>53</v>
      </c>
      <c r="G323" s="7">
        <f t="shared" ref="G323:G386" si="5">F323*E323</f>
        <v>477</v>
      </c>
      <c r="H323" s="5" t="str">
        <f>IF('Raw RetailSalesData'!H323="","Unknown",'Raw RetailSalesData'!H323)</f>
        <v>LATAM</v>
      </c>
      <c r="I323" t="s">
        <v>90</v>
      </c>
      <c r="J323" t="s">
        <v>2198</v>
      </c>
      <c r="K323" t="str">
        <f>TRIM('Raw RetailSalesData'!K323)</f>
        <v>Sales Rep 5</v>
      </c>
      <c r="L323" t="s">
        <v>21</v>
      </c>
    </row>
    <row r="324" spans="1:12" x14ac:dyDescent="0.3">
      <c r="A324" t="str">
        <f>IF(COUNTIF('Raw RetailSalesData'!$A:$L,'Raw RetailSalesData'!A324)=1,'Raw RetailSalesData'!A324,"")</f>
        <v>ORD-10360</v>
      </c>
      <c r="B324" t="str">
        <f>IF('Raw RetailSalesData'!B324="","UNKNOWN",'Raw RetailSalesData'!B324)</f>
        <v>2025-04-22</v>
      </c>
      <c r="C324" t="str">
        <f>IF('Raw RetailSalesData'!C324="","UNKNOW",'Raw RetailSalesData'!C324)</f>
        <v>CUST-1184</v>
      </c>
      <c r="D324" t="str">
        <f>IF('Raw RetailSalesData'!D324="","UNKNOW",'Raw RetailSalesData'!D324)</f>
        <v>C301</v>
      </c>
      <c r="E324" s="5">
        <f>IF('Raw RetailSalesData'!E324="",'Raw RetailSalesData'!F324/'Raw RetailSalesData'!G324,'Raw RetailSalesData'!E324)</f>
        <v>10</v>
      </c>
      <c r="F324" s="7">
        <f>IF('Raw RetailSalesData'!F324="",'Raw RetailSalesData'!G324/'Raw RetailSalesData'!E324,'Raw RetailSalesData'!F324)</f>
        <v>50</v>
      </c>
      <c r="G324" s="7">
        <f t="shared" si="5"/>
        <v>500</v>
      </c>
      <c r="H324" s="5" t="str">
        <f>IF('Raw RetailSalesData'!H324="","Unknown",'Raw RetailSalesData'!H324)</f>
        <v>LATAM</v>
      </c>
      <c r="I324" t="s">
        <v>90</v>
      </c>
      <c r="J324" t="s">
        <v>2198</v>
      </c>
      <c r="K324" t="str">
        <f>TRIM('Raw RetailSalesData'!K324)</f>
        <v>Sales Rep 1</v>
      </c>
      <c r="L324" t="s">
        <v>21</v>
      </c>
    </row>
    <row r="325" spans="1:12" x14ac:dyDescent="0.3">
      <c r="A325" t="str">
        <f>IF(COUNTIF('Raw RetailSalesData'!$A:$L,'Raw RetailSalesData'!A325)=1,'Raw RetailSalesData'!A325,"")</f>
        <v>ORD-10361</v>
      </c>
      <c r="B325" t="str">
        <f>IF('Raw RetailSalesData'!B325="","UNKNOWN",'Raw RetailSalesData'!B325)</f>
        <v>2023-09-01</v>
      </c>
      <c r="C325" t="str">
        <f>IF('Raw RetailSalesData'!C325="","UNKNOW",'Raw RetailSalesData'!C325)</f>
        <v>CUST-1006</v>
      </c>
      <c r="D325" t="str">
        <f>IF('Raw RetailSalesData'!D325="","UNKNOW",'Raw RetailSalesData'!D325)</f>
        <v>P101</v>
      </c>
      <c r="E325" s="5">
        <f>IF('Raw RetailSalesData'!E325="",'Raw RetailSalesData'!F325/'Raw RetailSalesData'!G325,'Raw RetailSalesData'!E325)</f>
        <v>16</v>
      </c>
      <c r="F325" s="7">
        <f>IF('Raw RetailSalesData'!F325="",'Raw RetailSalesData'!G325/'Raw RetailSalesData'!E325,'Raw RetailSalesData'!F325)</f>
        <v>85</v>
      </c>
      <c r="G325" s="7">
        <f t="shared" si="5"/>
        <v>1360</v>
      </c>
      <c r="H325" s="5" t="str">
        <f>IF('Raw RetailSalesData'!H325="","Unknown",'Raw RetailSalesData'!H325)</f>
        <v>Unknown</v>
      </c>
      <c r="I325" t="s">
        <v>83</v>
      </c>
      <c r="J325" t="s">
        <v>84</v>
      </c>
      <c r="K325" t="str">
        <f>TRIM('Raw RetailSalesData'!K325)</f>
        <v>John Smith</v>
      </c>
      <c r="L325" t="s">
        <v>31</v>
      </c>
    </row>
    <row r="326" spans="1:12" x14ac:dyDescent="0.3">
      <c r="A326" t="str">
        <f>IF(COUNTIF('Raw RetailSalesData'!$A:$L,'Raw RetailSalesData'!A326)=1,'Raw RetailSalesData'!A326,"")</f>
        <v>ORD-10362</v>
      </c>
      <c r="B326" t="str">
        <f>IF('Raw RetailSalesData'!B326="","UNKNOWN",'Raw RetailSalesData'!B326)</f>
        <v>2023-09-08</v>
      </c>
      <c r="C326" t="str">
        <f>IF('Raw RetailSalesData'!C326="","UNKNOW",'Raw RetailSalesData'!C326)</f>
        <v>CUST-1123</v>
      </c>
      <c r="D326" t="str">
        <f>IF('Raw RetailSalesData'!D326="","UNKNOW",'Raw RetailSalesData'!D326)</f>
        <v>C302</v>
      </c>
      <c r="E326" s="5">
        <f>IF('Raw RetailSalesData'!E326="",'Raw RetailSalesData'!F326/'Raw RetailSalesData'!G326,'Raw RetailSalesData'!E326)</f>
        <v>8</v>
      </c>
      <c r="F326" s="7">
        <f>IF('Raw RetailSalesData'!F326="",'Raw RetailSalesData'!G326/'Raw RetailSalesData'!E326,'Raw RetailSalesData'!F326)</f>
        <v>45</v>
      </c>
      <c r="G326" s="7">
        <f t="shared" si="5"/>
        <v>360</v>
      </c>
      <c r="H326" s="5" t="str">
        <f>IF('Raw RetailSalesData'!H326="","Unknown",'Raw RetailSalesData'!H326)</f>
        <v>LATAM</v>
      </c>
      <c r="I326" t="s">
        <v>18</v>
      </c>
      <c r="J326" t="s">
        <v>2197</v>
      </c>
      <c r="K326" t="str">
        <f>TRIM('Raw RetailSalesData'!K326)</f>
        <v>Sales Rep 3</v>
      </c>
      <c r="L326" t="s">
        <v>31</v>
      </c>
    </row>
    <row r="327" spans="1:12" x14ac:dyDescent="0.3">
      <c r="A327" t="str">
        <f>IF(COUNTIF('Raw RetailSalesData'!$A:$L,'Raw RetailSalesData'!A327)=1,'Raw RetailSalesData'!A327,"")</f>
        <v>ORD-10363</v>
      </c>
      <c r="B327" t="str">
        <f>IF('Raw RetailSalesData'!B327="","UNKNOWN",'Raw RetailSalesData'!B327)</f>
        <v>2025-03-23</v>
      </c>
      <c r="C327" t="str">
        <f>IF('Raw RetailSalesData'!C327="","UNKNOW",'Raw RetailSalesData'!C327)</f>
        <v>CUST-1058</v>
      </c>
      <c r="D327" t="str">
        <f>IF('Raw RetailSalesData'!D327="","UNKNOW",'Raw RetailSalesData'!D327)</f>
        <v>C303</v>
      </c>
      <c r="E327" s="5">
        <f>IF('Raw RetailSalesData'!E327="",'Raw RetailSalesData'!F327/'Raw RetailSalesData'!G327,'Raw RetailSalesData'!E327)</f>
        <v>8</v>
      </c>
      <c r="F327" s="7">
        <f>IF('Raw RetailSalesData'!F327="",'Raw RetailSalesData'!G327/'Raw RetailSalesData'!E327,'Raw RetailSalesData'!F327)</f>
        <v>55</v>
      </c>
      <c r="G327" s="7">
        <f t="shared" si="5"/>
        <v>440</v>
      </c>
      <c r="H327" s="5" t="str">
        <f>IF('Raw RetailSalesData'!H327="","Unknown",'Raw RetailSalesData'!H327)</f>
        <v>LATAM</v>
      </c>
      <c r="I327" t="s">
        <v>18</v>
      </c>
      <c r="J327" t="s">
        <v>2197</v>
      </c>
      <c r="K327" t="str">
        <f>TRIM('Raw RetailSalesData'!K327)</f>
        <v>Sales Rep 5</v>
      </c>
      <c r="L327" t="s">
        <v>2190</v>
      </c>
    </row>
    <row r="328" spans="1:12" x14ac:dyDescent="0.3">
      <c r="A328" t="str">
        <f>IF(COUNTIF('Raw RetailSalesData'!$A:$L,'Raw RetailSalesData'!A328)=1,'Raw RetailSalesData'!A328,"")</f>
        <v>ORD-10364</v>
      </c>
      <c r="B328" t="str">
        <f>IF('Raw RetailSalesData'!B328="","UNKNOWN",'Raw RetailSalesData'!B328)</f>
        <v>2025-03-23</v>
      </c>
      <c r="C328" t="str">
        <f>IF('Raw RetailSalesData'!C328="","UNKNOW",'Raw RetailSalesData'!C328)</f>
        <v>CUST-1058</v>
      </c>
      <c r="D328" t="str">
        <f>IF('Raw RetailSalesData'!D328="","UNKNOW",'Raw RetailSalesData'!D328)</f>
        <v>C303</v>
      </c>
      <c r="E328" s="5">
        <f>IF('Raw RetailSalesData'!E328="",'Raw RetailSalesData'!F328/'Raw RetailSalesData'!G328,'Raw RetailSalesData'!E328)</f>
        <v>8</v>
      </c>
      <c r="F328" s="7">
        <f>IF('Raw RetailSalesData'!F328="",'Raw RetailSalesData'!G328/'Raw RetailSalesData'!E328,'Raw RetailSalesData'!F328)</f>
        <v>55</v>
      </c>
      <c r="G328" s="7">
        <f t="shared" si="5"/>
        <v>440</v>
      </c>
      <c r="H328" s="5" t="str">
        <f>IF('Raw RetailSalesData'!H328="","Unknown",'Raw RetailSalesData'!H328)</f>
        <v>LATAM</v>
      </c>
      <c r="I328" t="s">
        <v>18</v>
      </c>
      <c r="J328" t="s">
        <v>2197</v>
      </c>
      <c r="K328" t="str">
        <f>TRIM('Raw RetailSalesData'!K328)</f>
        <v>Sales Rep 5</v>
      </c>
      <c r="L328" t="s">
        <v>21</v>
      </c>
    </row>
    <row r="329" spans="1:12" x14ac:dyDescent="0.3">
      <c r="A329" t="str">
        <f>IF(COUNTIF('Raw RetailSalesData'!$A:$L,'Raw RetailSalesData'!A329)=1,'Raw RetailSalesData'!A329,"")</f>
        <v>ORD-10365</v>
      </c>
      <c r="B329" t="str">
        <f>IF('Raw RetailSalesData'!B329="","UNKNOWN",'Raw RetailSalesData'!B329)</f>
        <v>#N/A</v>
      </c>
      <c r="C329" t="str">
        <f>IF('Raw RetailSalesData'!C329="","UNKNOW",'Raw RetailSalesData'!C329)</f>
        <v xml:space="preserve"> CUST-1183 </v>
      </c>
      <c r="D329" t="str">
        <f>IF('Raw RetailSalesData'!D329="","UNKNOW",'Raw RetailSalesData'!D329)</f>
        <v>P203</v>
      </c>
      <c r="E329" s="5">
        <f>IF('Raw RetailSalesData'!E329="",'Raw RetailSalesData'!F329/'Raw RetailSalesData'!G329,'Raw RetailSalesData'!E329)</f>
        <v>14</v>
      </c>
      <c r="F329" s="7">
        <f>IF('Raw RetailSalesData'!F329="",'Raw RetailSalesData'!G329/'Raw RetailSalesData'!E329,'Raw RetailSalesData'!F329)</f>
        <v>73</v>
      </c>
      <c r="G329" s="7">
        <f t="shared" si="5"/>
        <v>1022</v>
      </c>
      <c r="H329" s="5" t="str">
        <f>IF('Raw RetailSalesData'!H329="","Unknown",'Raw RetailSalesData'!H329)</f>
        <v>NA</v>
      </c>
      <c r="I329" t="s">
        <v>100</v>
      </c>
      <c r="J329" t="s">
        <v>101</v>
      </c>
      <c r="K329" t="str">
        <f>TRIM('Raw RetailSalesData'!K329)</f>
        <v>Sales Rep 5</v>
      </c>
      <c r="L329" t="s">
        <v>21</v>
      </c>
    </row>
    <row r="330" spans="1:12" x14ac:dyDescent="0.3">
      <c r="A330" t="str">
        <f>IF(COUNTIF('Raw RetailSalesData'!$A:$L,'Raw RetailSalesData'!A330)=1,'Raw RetailSalesData'!A330,"")</f>
        <v>ORD-10366</v>
      </c>
      <c r="B330" t="str">
        <f>IF('Raw RetailSalesData'!B330="","UNKNOWN",'Raw RetailSalesData'!B330)</f>
        <v>UNKNOWN</v>
      </c>
      <c r="C330" t="str">
        <f>IF('Raw RetailSalesData'!C330="","UNKNOW",'Raw RetailSalesData'!C330)</f>
        <v>CUST-1054</v>
      </c>
      <c r="D330" t="str">
        <f>IF('Raw RetailSalesData'!D330="","UNKNOW",'Raw RetailSalesData'!D330)</f>
        <v>P102</v>
      </c>
      <c r="E330" s="5">
        <f>IF('Raw RetailSalesData'!E330="",'Raw RetailSalesData'!F330/'Raw RetailSalesData'!G330,'Raw RetailSalesData'!E330)</f>
        <v>13</v>
      </c>
      <c r="F330" s="7">
        <f>IF('Raw RetailSalesData'!F330="",'Raw RetailSalesData'!G330/'Raw RetailSalesData'!E330,'Raw RetailSalesData'!F330)</f>
        <v>80</v>
      </c>
      <c r="G330" s="7">
        <f t="shared" si="5"/>
        <v>1040</v>
      </c>
      <c r="H330" s="5" t="str">
        <f>IF('Raw RetailSalesData'!H330="","Unknown",'Raw RetailSalesData'!H330)</f>
        <v>EMEA</v>
      </c>
      <c r="I330" t="s">
        <v>83</v>
      </c>
      <c r="J330" t="s">
        <v>84</v>
      </c>
      <c r="K330" t="str">
        <f>TRIM('Raw RetailSalesData'!K330)</f>
        <v>John Smith</v>
      </c>
      <c r="L330" t="s">
        <v>2190</v>
      </c>
    </row>
    <row r="331" spans="1:12" x14ac:dyDescent="0.3">
      <c r="A331" t="str">
        <f>IF(COUNTIF('Raw RetailSalesData'!$A:$L,'Raw RetailSalesData'!A331)=1,'Raw RetailSalesData'!A331,"")</f>
        <v>ORD-10367</v>
      </c>
      <c r="B331" t="str">
        <f>IF('Raw RetailSalesData'!B331="","UNKNOWN",'Raw RetailSalesData'!B331)</f>
        <v>2022-02-19</v>
      </c>
      <c r="C331" t="str">
        <f>IF('Raw RetailSalesData'!C331="","UNKNOW",'Raw RetailSalesData'!C331)</f>
        <v>CUST-1197</v>
      </c>
      <c r="D331" t="str">
        <f>IF('Raw RetailSalesData'!D331="","UNKNOW",'Raw RetailSalesData'!D331)</f>
        <v>C304</v>
      </c>
      <c r="E331" s="5">
        <f>IF('Raw RetailSalesData'!E331="",'Raw RetailSalesData'!F331/'Raw RetailSalesData'!G331,'Raw RetailSalesData'!E331)</f>
        <v>12</v>
      </c>
      <c r="F331" s="7">
        <f>IF('Raw RetailSalesData'!F331="",'Raw RetailSalesData'!G331/'Raw RetailSalesData'!E331,'Raw RetailSalesData'!F331)</f>
        <v>58</v>
      </c>
      <c r="G331" s="7">
        <f t="shared" si="5"/>
        <v>696</v>
      </c>
      <c r="H331" s="5" t="str">
        <f>IF('Raw RetailSalesData'!H331="","Unknown",'Raw RetailSalesData'!H331)</f>
        <v>EMEA</v>
      </c>
      <c r="I331" t="s">
        <v>225</v>
      </c>
      <c r="J331" t="s">
        <v>226</v>
      </c>
      <c r="K331" t="str">
        <f>TRIM('Raw RetailSalesData'!K331)</f>
        <v>Sales Rep 5</v>
      </c>
      <c r="L331" t="s">
        <v>21</v>
      </c>
    </row>
    <row r="332" spans="1:12" x14ac:dyDescent="0.3">
      <c r="A332" t="str">
        <f>IF(COUNTIF('Raw RetailSalesData'!$A:$L,'Raw RetailSalesData'!A332)=1,'Raw RetailSalesData'!A332,"")</f>
        <v>ORD-10368</v>
      </c>
      <c r="B332" t="str">
        <f>IF('Raw RetailSalesData'!B332="","UNKNOWN",'Raw RetailSalesData'!B332)</f>
        <v xml:space="preserve"> 2025-07-19 </v>
      </c>
      <c r="C332" t="str">
        <f>IF('Raw RetailSalesData'!C332="","UNKNOW",'Raw RetailSalesData'!C332)</f>
        <v>CUST-1148</v>
      </c>
      <c r="D332" t="str">
        <f>IF('Raw RetailSalesData'!D332="","UNKNOW",'Raw RetailSalesData'!D332)</f>
        <v>C303</v>
      </c>
      <c r="E332" s="5">
        <f>IF('Raw RetailSalesData'!E332="",'Raw RetailSalesData'!F332/'Raw RetailSalesData'!G332,'Raw RetailSalesData'!E332)</f>
        <v>20</v>
      </c>
      <c r="F332" s="7">
        <f>IF('Raw RetailSalesData'!F332="",'Raw RetailSalesData'!G332/'Raw RetailSalesData'!E332,'Raw RetailSalesData'!F332)</f>
        <v>65</v>
      </c>
      <c r="G332" s="7">
        <f t="shared" si="5"/>
        <v>1300</v>
      </c>
      <c r="H332" s="5" t="str">
        <f>IF('Raw RetailSalesData'!H332="","Unknown",'Raw RetailSalesData'!H332)</f>
        <v>NA</v>
      </c>
      <c r="I332" t="s">
        <v>28</v>
      </c>
      <c r="J332" t="s">
        <v>2196</v>
      </c>
      <c r="K332" t="str">
        <f>TRIM('Raw RetailSalesData'!K332)</f>
        <v>Michael Johnson</v>
      </c>
      <c r="L332" t="s">
        <v>21</v>
      </c>
    </row>
    <row r="333" spans="1:12" x14ac:dyDescent="0.3">
      <c r="A333" t="str">
        <f>IF(COUNTIF('Raw RetailSalesData'!$A:$L,'Raw RetailSalesData'!A333)=1,'Raw RetailSalesData'!A333,"")</f>
        <v>ORD-10369</v>
      </c>
      <c r="B333" t="str">
        <f>IF('Raw RetailSalesData'!B333="","UNKNOWN",'Raw RetailSalesData'!B333)</f>
        <v>2025-02-08</v>
      </c>
      <c r="C333" t="str">
        <f>IF('Raw RetailSalesData'!C333="","UNKNOW",'Raw RetailSalesData'!C333)</f>
        <v>CUST-1020</v>
      </c>
      <c r="D333" t="str">
        <f>IF('Raw RetailSalesData'!D333="","UNKNOW",'Raw RetailSalesData'!D333)</f>
        <v>P102</v>
      </c>
      <c r="E333" s="5">
        <f>IF('Raw RetailSalesData'!E333="",'Raw RetailSalesData'!F333/'Raw RetailSalesData'!G333,'Raw RetailSalesData'!E333)</f>
        <v>4</v>
      </c>
      <c r="F333" s="7">
        <f>IF('Raw RetailSalesData'!F333="",'Raw RetailSalesData'!G333/'Raw RetailSalesData'!E333,'Raw RetailSalesData'!F333)</f>
        <v>80</v>
      </c>
      <c r="G333" s="7">
        <f t="shared" si="5"/>
        <v>320</v>
      </c>
      <c r="H333" s="5" t="str">
        <f>IF('Raw RetailSalesData'!H333="","Unknown",'Raw RetailSalesData'!H333)</f>
        <v>APAC</v>
      </c>
      <c r="I333" t="s">
        <v>151</v>
      </c>
      <c r="J333" t="s">
        <v>152</v>
      </c>
      <c r="K333" t="str">
        <f>TRIM('Raw RetailSalesData'!K333)</f>
        <v>Aarav Patel</v>
      </c>
      <c r="L333" t="s">
        <v>21</v>
      </c>
    </row>
    <row r="334" spans="1:12" x14ac:dyDescent="0.3">
      <c r="A334" t="str">
        <f>IF(COUNTIF('Raw RetailSalesData'!$A:$L,'Raw RetailSalesData'!A334)=1,'Raw RetailSalesData'!A334,"")</f>
        <v>ORD-10370</v>
      </c>
      <c r="B334" t="str">
        <f>IF('Raw RetailSalesData'!B334="","UNKNOWN",'Raw RetailSalesData'!B334)</f>
        <v xml:space="preserve"> 2026-06-12 </v>
      </c>
      <c r="C334" t="str">
        <f>IF('Raw RetailSalesData'!C334="","UNKNOW",'Raw RetailSalesData'!C334)</f>
        <v>CUST-1095</v>
      </c>
      <c r="D334" t="str">
        <f>IF('Raw RetailSalesData'!D334="","UNKNOW",'Raw RetailSalesData'!D334)</f>
        <v>P202</v>
      </c>
      <c r="E334" s="5">
        <f>IF('Raw RetailSalesData'!E334="",'Raw RetailSalesData'!F334/'Raw RetailSalesData'!G334,'Raw RetailSalesData'!E334)</f>
        <v>20</v>
      </c>
      <c r="F334" s="7">
        <f>IF('Raw RetailSalesData'!F334="",'Raw RetailSalesData'!G334/'Raw RetailSalesData'!E334,'Raw RetailSalesData'!F334)</f>
        <v>70</v>
      </c>
      <c r="G334" s="7">
        <f t="shared" si="5"/>
        <v>1400</v>
      </c>
      <c r="H334" s="5" t="str">
        <f>IF('Raw RetailSalesData'!H334="","Unknown",'Raw RetailSalesData'!H334)</f>
        <v>NA</v>
      </c>
      <c r="I334" t="s">
        <v>28</v>
      </c>
      <c r="J334" t="s">
        <v>2196</v>
      </c>
      <c r="K334" t="str">
        <f>TRIM('Raw RetailSalesData'!K334)</f>
        <v>Michael Johnson</v>
      </c>
      <c r="L334" t="s">
        <v>46</v>
      </c>
    </row>
    <row r="335" spans="1:12" x14ac:dyDescent="0.3">
      <c r="A335" t="str">
        <f>IF(COUNTIF('Raw RetailSalesData'!$A:$L,'Raw RetailSalesData'!A335)=1,'Raw RetailSalesData'!A335,"")</f>
        <v>ORD-10372</v>
      </c>
      <c r="B335" t="str">
        <f>IF('Raw RetailSalesData'!B335="","UNKNOWN",'Raw RetailSalesData'!B335)</f>
        <v>2024-08-13</v>
      </c>
      <c r="C335" t="str">
        <f>IF('Raw RetailSalesData'!C335="","UNKNOW",'Raw RetailSalesData'!C335)</f>
        <v>CUST-1159</v>
      </c>
      <c r="D335" t="str">
        <f>IF('Raw RetailSalesData'!D335="","UNKNOW",'Raw RetailSalesData'!D335)</f>
        <v>P102</v>
      </c>
      <c r="E335" s="5">
        <f>IF('Raw RetailSalesData'!E335="",'Raw RetailSalesData'!F335/'Raw RetailSalesData'!G335,'Raw RetailSalesData'!E335)</f>
        <v>6</v>
      </c>
      <c r="F335" s="7">
        <f>IF('Raw RetailSalesData'!F335="",'Raw RetailSalesData'!G335/'Raw RetailSalesData'!E335,'Raw RetailSalesData'!F335)</f>
        <v>80</v>
      </c>
      <c r="G335" s="7">
        <f t="shared" si="5"/>
        <v>480</v>
      </c>
      <c r="H335" s="5" t="str">
        <f>IF('Raw RetailSalesData'!H335="","Unknown",'Raw RetailSalesData'!H335)</f>
        <v>EMEA</v>
      </c>
      <c r="I335" t="s">
        <v>83</v>
      </c>
      <c r="J335" t="s">
        <v>84</v>
      </c>
      <c r="K335" t="str">
        <f>TRIM('Raw RetailSalesData'!K335)</f>
        <v>John Smith</v>
      </c>
      <c r="L335" t="s">
        <v>21</v>
      </c>
    </row>
    <row r="336" spans="1:12" x14ac:dyDescent="0.3">
      <c r="A336" t="str">
        <f>IF(COUNTIF('Raw RetailSalesData'!$A:$L,'Raw RetailSalesData'!A336)=1,'Raw RetailSalesData'!A336,"")</f>
        <v>ORD-10373</v>
      </c>
      <c r="B336" t="str">
        <f>IF('Raw RetailSalesData'!B336="","UNKNOWN",'Raw RetailSalesData'!B336)</f>
        <v>2022-06-15</v>
      </c>
      <c r="C336" t="str">
        <f>IF('Raw RetailSalesData'!C336="","UNKNOW",'Raw RetailSalesData'!C336)</f>
        <v>CUST-1169</v>
      </c>
      <c r="D336" t="str">
        <f>IF('Raw RetailSalesData'!D336="","UNKNOW",'Raw RetailSalesData'!D336)</f>
        <v>C301</v>
      </c>
      <c r="E336" s="5">
        <f>IF('Raw RetailSalesData'!E336="",'Raw RetailSalesData'!F336/'Raw RetailSalesData'!G336,'Raw RetailSalesData'!E336)</f>
        <v>6</v>
      </c>
      <c r="F336" s="7">
        <f>IF('Raw RetailSalesData'!F336="",'Raw RetailSalesData'!G336/'Raw RetailSalesData'!E336,'Raw RetailSalesData'!F336)</f>
        <v>50</v>
      </c>
      <c r="G336" s="7">
        <f t="shared" si="5"/>
        <v>300</v>
      </c>
      <c r="H336" s="5" t="str">
        <f>IF('Raw RetailSalesData'!H336="","Unknown",'Raw RetailSalesData'!H336)</f>
        <v>LATAM</v>
      </c>
      <c r="I336" t="s">
        <v>18</v>
      </c>
      <c r="J336" t="s">
        <v>2197</v>
      </c>
      <c r="K336" t="str">
        <f>TRIM('Raw RetailSalesData'!K336)</f>
        <v>Sales Rep 1</v>
      </c>
      <c r="L336" t="s">
        <v>46</v>
      </c>
    </row>
    <row r="337" spans="1:12" x14ac:dyDescent="0.3">
      <c r="A337" t="str">
        <f>IF(COUNTIF('Raw RetailSalesData'!$A:$L,'Raw RetailSalesData'!A337)=1,'Raw RetailSalesData'!A337,"")</f>
        <v>ORD-10374</v>
      </c>
      <c r="B337" t="str">
        <f>IF('Raw RetailSalesData'!B337="","UNKNOWN",'Raw RetailSalesData'!B337)</f>
        <v>2026-06-26</v>
      </c>
      <c r="C337" t="str">
        <f>IF('Raw RetailSalesData'!C337="","UNKNOW",'Raw RetailSalesData'!C337)</f>
        <v>CUST-1117</v>
      </c>
      <c r="D337" t="str">
        <f>IF('Raw RetailSalesData'!D337="","UNKNOW",'Raw RetailSalesData'!D337)</f>
        <v xml:space="preserve"> C303 </v>
      </c>
      <c r="E337" s="5">
        <f>IF('Raw RetailSalesData'!E337="",'Raw RetailSalesData'!F337/'Raw RetailSalesData'!G337,'Raw RetailSalesData'!E337)</f>
        <v>6</v>
      </c>
      <c r="F337" s="7">
        <f>IF('Raw RetailSalesData'!F337="",'Raw RetailSalesData'!G337/'Raw RetailSalesData'!E337,'Raw RetailSalesData'!F337)</f>
        <v>65</v>
      </c>
      <c r="G337" s="7">
        <f t="shared" si="5"/>
        <v>390</v>
      </c>
      <c r="H337" s="5" t="str">
        <f>IF('Raw RetailSalesData'!H337="","Unknown",'Raw RetailSalesData'!H337)</f>
        <v>NA</v>
      </c>
      <c r="I337" t="s">
        <v>100</v>
      </c>
      <c r="J337" t="s">
        <v>101</v>
      </c>
      <c r="K337" t="str">
        <f>TRIM('Raw RetailSalesData'!K337)</f>
        <v>Sales Rep 3</v>
      </c>
      <c r="L337" t="s">
        <v>31</v>
      </c>
    </row>
    <row r="338" spans="1:12" x14ac:dyDescent="0.3">
      <c r="A338" t="str">
        <f>IF(COUNTIF('Raw RetailSalesData'!$A:$L,'Raw RetailSalesData'!A338)=1,'Raw RetailSalesData'!A338,"")</f>
        <v>ORD-10375</v>
      </c>
      <c r="B338" t="str">
        <f>IF('Raw RetailSalesData'!B338="","UNKNOWN",'Raw RetailSalesData'!B338)</f>
        <v>UNKNOWN</v>
      </c>
      <c r="C338" t="str">
        <f>IF('Raw RetailSalesData'!C338="","UNKNOW",'Raw RetailSalesData'!C338)</f>
        <v>CUST-1160</v>
      </c>
      <c r="D338" t="str">
        <f>IF('Raw RetailSalesData'!D338="","UNKNOW",'Raw RetailSalesData'!D338)</f>
        <v>P202</v>
      </c>
      <c r="E338" s="5">
        <f>IF('Raw RetailSalesData'!E338="",'Raw RetailSalesData'!F338/'Raw RetailSalesData'!G338,'Raw RetailSalesData'!E338)</f>
        <v>5</v>
      </c>
      <c r="F338" s="7">
        <f>IF('Raw RetailSalesData'!F338="",'Raw RetailSalesData'!G338/'Raw RetailSalesData'!E338,'Raw RetailSalesData'!F338)</f>
        <v>65</v>
      </c>
      <c r="G338" s="7">
        <f t="shared" si="5"/>
        <v>325</v>
      </c>
      <c r="H338" s="5" t="str">
        <f>IF('Raw RetailSalesData'!H338="","Unknown",'Raw RetailSalesData'!H338)</f>
        <v>EMEA</v>
      </c>
      <c r="I338" t="s">
        <v>38</v>
      </c>
      <c r="J338" t="s">
        <v>39</v>
      </c>
      <c r="K338" t="str">
        <f>TRIM('Raw RetailSalesData'!K338)</f>
        <v>Sales Rep 4</v>
      </c>
      <c r="L338" t="s">
        <v>31</v>
      </c>
    </row>
    <row r="339" spans="1:12" x14ac:dyDescent="0.3">
      <c r="A339" t="str">
        <f>IF(COUNTIF('Raw RetailSalesData'!$A:$L,'Raw RetailSalesData'!A339)=1,'Raw RetailSalesData'!A339,"")</f>
        <v>ORD-10376</v>
      </c>
      <c r="B339" t="str">
        <f>IF('Raw RetailSalesData'!B339="","UNKNOWN",'Raw RetailSalesData'!B339)</f>
        <v>2023-06-16</v>
      </c>
      <c r="C339" t="str">
        <f>IF('Raw RetailSalesData'!C339="","UNKNOW",'Raw RetailSalesData'!C339)</f>
        <v>CUST-1195</v>
      </c>
      <c r="D339" t="str">
        <f>IF('Raw RetailSalesData'!D339="","UNKNOW",'Raw RetailSalesData'!D339)</f>
        <v>P202</v>
      </c>
      <c r="E339" s="5">
        <f>IF('Raw RetailSalesData'!E339="",'Raw RetailSalesData'!F339/'Raw RetailSalesData'!G339,'Raw RetailSalesData'!E339)</f>
        <v>5</v>
      </c>
      <c r="F339" s="7">
        <f>IF('Raw RetailSalesData'!F339="",'Raw RetailSalesData'!G339/'Raw RetailSalesData'!E339,'Raw RetailSalesData'!F339)</f>
        <v>65</v>
      </c>
      <c r="G339" s="7">
        <f t="shared" si="5"/>
        <v>325</v>
      </c>
      <c r="H339" s="5" t="str">
        <f>IF('Raw RetailSalesData'!H339="","Unknown",'Raw RetailSalesData'!H339)</f>
        <v>EMEA</v>
      </c>
      <c r="I339" t="s">
        <v>83</v>
      </c>
      <c r="J339" t="s">
        <v>84</v>
      </c>
      <c r="K339" t="str">
        <f>TRIM('Raw RetailSalesData'!K339)</f>
        <v>John Smith</v>
      </c>
      <c r="L339" t="s">
        <v>46</v>
      </c>
    </row>
    <row r="340" spans="1:12" x14ac:dyDescent="0.3">
      <c r="A340" t="str">
        <f>IF(COUNTIF('Raw RetailSalesData'!$A:$L,'Raw RetailSalesData'!A340)=1,'Raw RetailSalesData'!A340,"")</f>
        <v>ORD-10378</v>
      </c>
      <c r="B340" t="str">
        <f>IF('Raw RetailSalesData'!B340="","UNKNOWN",'Raw RetailSalesData'!B340)</f>
        <v>2023-12-30</v>
      </c>
      <c r="C340" t="str">
        <f>IF('Raw RetailSalesData'!C340="","UNKNOW",'Raw RetailSalesData'!C340)</f>
        <v>CUST-1078</v>
      </c>
      <c r="D340" t="str">
        <f>IF('Raw RetailSalesData'!D340="","UNKNOW",'Raw RetailSalesData'!D340)</f>
        <v>P203</v>
      </c>
      <c r="E340" s="5">
        <f>IF('Raw RetailSalesData'!E340="",'Raw RetailSalesData'!F340/'Raw RetailSalesData'!G340,'Raw RetailSalesData'!E340)</f>
        <v>20</v>
      </c>
      <c r="F340" s="7">
        <f>IF('Raw RetailSalesData'!F340="",'Raw RetailSalesData'!G340/'Raw RetailSalesData'!E340,'Raw RetailSalesData'!F340)</f>
        <v>68</v>
      </c>
      <c r="G340" s="7">
        <f t="shared" si="5"/>
        <v>1360</v>
      </c>
      <c r="H340" s="5" t="str">
        <f>IF('Raw RetailSalesData'!H340="","Unknown",'Raw RetailSalesData'!H340)</f>
        <v>EMEA</v>
      </c>
      <c r="I340" t="s">
        <v>83</v>
      </c>
      <c r="J340" t="s">
        <v>84</v>
      </c>
      <c r="K340" t="str">
        <f>TRIM('Raw RetailSalesData'!K340)</f>
        <v>John Smith</v>
      </c>
      <c r="L340" t="s">
        <v>31</v>
      </c>
    </row>
    <row r="341" spans="1:12" x14ac:dyDescent="0.3">
      <c r="A341" t="str">
        <f>IF(COUNTIF('Raw RetailSalesData'!$A:$L,'Raw RetailSalesData'!A341)=1,'Raw RetailSalesData'!A341,"")</f>
        <v>ORD-10379</v>
      </c>
      <c r="B341" t="str">
        <f>IF('Raw RetailSalesData'!B341="","UNKNOWN",'Raw RetailSalesData'!B341)</f>
        <v>2026-04-30</v>
      </c>
      <c r="C341" t="str">
        <f>IF('Raw RetailSalesData'!C341="","UNKNOW",'Raw RetailSalesData'!C341)</f>
        <v>CUST-1135</v>
      </c>
      <c r="D341" t="str">
        <f>IF('Raw RetailSalesData'!D341="","UNKNOW",'Raw RetailSalesData'!D341)</f>
        <v>P202</v>
      </c>
      <c r="E341" s="5">
        <f>IF('Raw RetailSalesData'!E341="",'Raw RetailSalesData'!F341/'Raw RetailSalesData'!G341,'Raw RetailSalesData'!E341)</f>
        <v>7</v>
      </c>
      <c r="F341" s="7">
        <f>IF('Raw RetailSalesData'!F341="",'Raw RetailSalesData'!G341/'Raw RetailSalesData'!E341,'Raw RetailSalesData'!F341)</f>
        <v>70</v>
      </c>
      <c r="G341" s="7">
        <f t="shared" si="5"/>
        <v>490</v>
      </c>
      <c r="H341" s="5" t="str">
        <f>IF('Raw RetailSalesData'!H341="","Unknown",'Raw RetailSalesData'!H341)</f>
        <v>NA</v>
      </c>
      <c r="I341" t="s">
        <v>28</v>
      </c>
      <c r="J341" t="s">
        <v>2196</v>
      </c>
      <c r="K341" t="str">
        <f>TRIM('Raw RetailSalesData'!K341)</f>
        <v>Michael Johnson</v>
      </c>
      <c r="L341" t="s">
        <v>46</v>
      </c>
    </row>
    <row r="342" spans="1:12" x14ac:dyDescent="0.3">
      <c r="A342" t="str">
        <f>IF(COUNTIF('Raw RetailSalesData'!$A:$L,'Raw RetailSalesData'!A342)=1,'Raw RetailSalesData'!A342,"")</f>
        <v>ORD-10380</v>
      </c>
      <c r="B342" t="str">
        <f>IF('Raw RetailSalesData'!B342="","UNKNOWN",'Raw RetailSalesData'!B342)</f>
        <v>2026-08-20</v>
      </c>
      <c r="C342" t="str">
        <f>IF('Raw RetailSalesData'!C342="","UNKNOW",'Raw RetailSalesData'!C342)</f>
        <v>CUST-1027</v>
      </c>
      <c r="D342" t="str">
        <f>IF('Raw RetailSalesData'!D342="","UNKNOW",'Raw RetailSalesData'!D342)</f>
        <v>C302</v>
      </c>
      <c r="E342" s="5">
        <f>IF('Raw RetailSalesData'!E342="",'Raw RetailSalesData'!F342/'Raw RetailSalesData'!G342,'Raw RetailSalesData'!E342)</f>
        <v>16</v>
      </c>
      <c r="F342" s="7">
        <f>IF('Raw RetailSalesData'!F342="",'Raw RetailSalesData'!G342/'Raw RetailSalesData'!E342,'Raw RetailSalesData'!F342)</f>
        <v>50</v>
      </c>
      <c r="G342" s="7">
        <f t="shared" si="5"/>
        <v>800</v>
      </c>
      <c r="H342" s="5" t="str">
        <f>IF('Raw RetailSalesData'!H342="","Unknown",'Raw RetailSalesData'!H342)</f>
        <v>EMEA</v>
      </c>
      <c r="I342" t="s">
        <v>83</v>
      </c>
      <c r="J342" t="s">
        <v>84</v>
      </c>
      <c r="K342" t="str">
        <f>TRIM('Raw RetailSalesData'!K342)</f>
        <v>John Smith</v>
      </c>
      <c r="L342" t="s">
        <v>31</v>
      </c>
    </row>
    <row r="343" spans="1:12" x14ac:dyDescent="0.3">
      <c r="A343" t="str">
        <f>IF(COUNTIF('Raw RetailSalesData'!$A:$L,'Raw RetailSalesData'!A343)=1,'Raw RetailSalesData'!A343,"")</f>
        <v>ORD-10381</v>
      </c>
      <c r="B343" t="str">
        <f>IF('Raw RetailSalesData'!B343="","UNKNOWN",'Raw RetailSalesData'!B343)</f>
        <v>2024-12-27</v>
      </c>
      <c r="C343" t="str">
        <f>IF('Raw RetailSalesData'!C343="","UNKNOW",'Raw RetailSalesData'!C343)</f>
        <v>CUST-1136</v>
      </c>
      <c r="D343" t="str">
        <f>IF('Raw RetailSalesData'!D343="","UNKNOW",'Raw RetailSalesData'!D343)</f>
        <v>C301</v>
      </c>
      <c r="E343" s="5">
        <f>IF('Raw RetailSalesData'!E343="",'Raw RetailSalesData'!F343/'Raw RetailSalesData'!G343,'Raw RetailSalesData'!E343)</f>
        <v>19</v>
      </c>
      <c r="F343" s="7">
        <f>IF('Raw RetailSalesData'!F343="",'Raw RetailSalesData'!G343/'Raw RetailSalesData'!E343,'Raw RetailSalesData'!F343)</f>
        <v>55</v>
      </c>
      <c r="G343" s="7">
        <f t="shared" si="5"/>
        <v>1045</v>
      </c>
      <c r="H343" s="5" t="str">
        <f>IF('Raw RetailSalesData'!H343="","Unknown",'Raw RetailSalesData'!H343)</f>
        <v>APAC</v>
      </c>
      <c r="I343" t="s">
        <v>183</v>
      </c>
      <c r="J343" t="s">
        <v>184</v>
      </c>
      <c r="K343" t="str">
        <f>TRIM('Raw RetailSalesData'!K343)</f>
        <v>Sales Rep 2</v>
      </c>
      <c r="L343" t="s">
        <v>31</v>
      </c>
    </row>
    <row r="344" spans="1:12" x14ac:dyDescent="0.3">
      <c r="A344" t="str">
        <f>IF(COUNTIF('Raw RetailSalesData'!$A:$L,'Raw RetailSalesData'!A344)=1,'Raw RetailSalesData'!A344,"")</f>
        <v>ORD-10382</v>
      </c>
      <c r="B344" t="str">
        <f>IF('Raw RetailSalesData'!B344="","UNKNOWN",'Raw RetailSalesData'!B344)</f>
        <v>2022-02-02</v>
      </c>
      <c r="C344" t="str">
        <f>IF('Raw RetailSalesData'!C344="","UNKNOW",'Raw RetailSalesData'!C344)</f>
        <v>CUST-1197</v>
      </c>
      <c r="D344" t="str">
        <f>IF('Raw RetailSalesData'!D344="","UNKNOW",'Raw RetailSalesData'!D344)</f>
        <v>C303</v>
      </c>
      <c r="E344" s="5">
        <f>IF('Raw RetailSalesData'!E344="",'Raw RetailSalesData'!F344/'Raw RetailSalesData'!G344,'Raw RetailSalesData'!E344)</f>
        <v>2</v>
      </c>
      <c r="F344" s="7">
        <f>IF('Raw RetailSalesData'!F344="",'Raw RetailSalesData'!G344/'Raw RetailSalesData'!E344,'Raw RetailSalesData'!F344)</f>
        <v>60</v>
      </c>
      <c r="G344" s="7">
        <f t="shared" si="5"/>
        <v>120</v>
      </c>
      <c r="H344" s="5" t="str">
        <f>IF('Raw RetailSalesData'!H344="","Unknown",'Raw RetailSalesData'!H344)</f>
        <v>EMEA</v>
      </c>
      <c r="I344" t="s">
        <v>38</v>
      </c>
      <c r="J344" t="s">
        <v>39</v>
      </c>
      <c r="K344" t="str">
        <f>TRIM('Raw RetailSalesData'!K344)</f>
        <v>Sales Rep 3</v>
      </c>
      <c r="L344" t="s">
        <v>46</v>
      </c>
    </row>
    <row r="345" spans="1:12" x14ac:dyDescent="0.3">
      <c r="A345" t="str">
        <f>IF(COUNTIF('Raw RetailSalesData'!$A:$L,'Raw RetailSalesData'!A345)=1,'Raw RetailSalesData'!A345,"")</f>
        <v>ORD-10383</v>
      </c>
      <c r="B345" t="str">
        <f>IF('Raw RetailSalesData'!B345="","UNKNOWN",'Raw RetailSalesData'!B345)</f>
        <v>2022-12-14</v>
      </c>
      <c r="C345" t="str">
        <f>IF('Raw RetailSalesData'!C345="","UNKNOW",'Raw RetailSalesData'!C345)</f>
        <v>CUST-1150</v>
      </c>
      <c r="D345" t="str">
        <f>IF('Raw RetailSalesData'!D345="","UNKNOW",'Raw RetailSalesData'!D345)</f>
        <v>C302</v>
      </c>
      <c r="E345" s="5">
        <f>IF('Raw RetailSalesData'!E345="",'Raw RetailSalesData'!F345/'Raw RetailSalesData'!G345,'Raw RetailSalesData'!E345)</f>
        <v>7</v>
      </c>
      <c r="F345" s="7">
        <f>IF('Raw RetailSalesData'!F345="",'Raw RetailSalesData'!G345/'Raw RetailSalesData'!E345,'Raw RetailSalesData'!F345)</f>
        <v>50</v>
      </c>
      <c r="G345" s="7">
        <f t="shared" si="5"/>
        <v>350</v>
      </c>
      <c r="H345" s="5" t="str">
        <f>IF('Raw RetailSalesData'!H345="","Unknown",'Raw RetailSalesData'!H345)</f>
        <v>APAC</v>
      </c>
      <c r="I345" t="s">
        <v>71</v>
      </c>
      <c r="J345" t="s">
        <v>2190</v>
      </c>
      <c r="K345" t="str">
        <f>TRIM('Raw RetailSalesData'!K345)</f>
        <v>Hiroshi Tanaka</v>
      </c>
      <c r="L345" t="s">
        <v>31</v>
      </c>
    </row>
    <row r="346" spans="1:12" x14ac:dyDescent="0.3">
      <c r="A346" t="str">
        <f>IF(COUNTIF('Raw RetailSalesData'!$A:$L,'Raw RetailSalesData'!A346)=1,'Raw RetailSalesData'!A346,"")</f>
        <v>ORD-10384</v>
      </c>
      <c r="B346" t="str">
        <f>IF('Raw RetailSalesData'!B346="","UNKNOWN",'Raw RetailSalesData'!B346)</f>
        <v xml:space="preserve"> 2024-08-11 </v>
      </c>
      <c r="C346" t="str">
        <f>IF('Raw RetailSalesData'!C346="","UNKNOW",'Raw RetailSalesData'!C346)</f>
        <v>CUST-1163</v>
      </c>
      <c r="D346" t="str">
        <f>IF('Raw RetailSalesData'!D346="","UNKNOW",'Raw RetailSalesData'!D346)</f>
        <v>P202</v>
      </c>
      <c r="E346" s="5">
        <f>IF('Raw RetailSalesData'!E346="",'Raw RetailSalesData'!F346/'Raw RetailSalesData'!G346,'Raw RetailSalesData'!E346)</f>
        <v>17</v>
      </c>
      <c r="F346" s="7">
        <f>IF('Raw RetailSalesData'!F346="",'Raw RetailSalesData'!G346/'Raw RetailSalesData'!E346,'Raw RetailSalesData'!F346)</f>
        <v>70</v>
      </c>
      <c r="G346" s="7">
        <f t="shared" si="5"/>
        <v>1190</v>
      </c>
      <c r="H346" s="5" t="str">
        <f>IF('Raw RetailSalesData'!H346="","Unknown",'Raw RetailSalesData'!H346)</f>
        <v>NA</v>
      </c>
      <c r="I346" t="s">
        <v>28</v>
      </c>
      <c r="J346" t="s">
        <v>29</v>
      </c>
      <c r="K346" t="str">
        <f>TRIM('Raw RetailSalesData'!K346)</f>
        <v>Unknown</v>
      </c>
      <c r="L346" t="s">
        <v>21</v>
      </c>
    </row>
    <row r="347" spans="1:12" x14ac:dyDescent="0.3">
      <c r="A347" t="str">
        <f>IF(COUNTIF('Raw RetailSalesData'!$A:$L,'Raw RetailSalesData'!A347)=1,'Raw RetailSalesData'!A347,"")</f>
        <v>ORD-10385</v>
      </c>
      <c r="B347" t="str">
        <f>IF('Raw RetailSalesData'!B347="","UNKNOWN",'Raw RetailSalesData'!B347)</f>
        <v xml:space="preserve"> 2023-01-23 </v>
      </c>
      <c r="C347" t="str">
        <f>IF('Raw RetailSalesData'!C347="","UNKNOW",'Raw RetailSalesData'!C347)</f>
        <v>CUST-1135</v>
      </c>
      <c r="D347" t="str">
        <f>IF('Raw RetailSalesData'!D347="","UNKNOW",'Raw RetailSalesData'!D347)</f>
        <v>P203</v>
      </c>
      <c r="E347" s="5">
        <f>IF('Raw RetailSalesData'!E347="",'Raw RetailSalesData'!F347/'Raw RetailSalesData'!G347,'Raw RetailSalesData'!E347)</f>
        <v>19</v>
      </c>
      <c r="F347" s="7">
        <f>IF('Raw RetailSalesData'!F347="",'Raw RetailSalesData'!G347/'Raw RetailSalesData'!E347,'Raw RetailSalesData'!F347)</f>
        <v>73</v>
      </c>
      <c r="G347" s="7">
        <f t="shared" si="5"/>
        <v>1387</v>
      </c>
      <c r="H347" s="5" t="str">
        <f>IF('Raw RetailSalesData'!H347="","Unknown",'Raw RetailSalesData'!H347)</f>
        <v>NA</v>
      </c>
      <c r="I347" t="s">
        <v>100</v>
      </c>
      <c r="J347" t="s">
        <v>101</v>
      </c>
      <c r="K347" t="str">
        <f>TRIM('Raw RetailSalesData'!K347)</f>
        <v>Sales Rep 4</v>
      </c>
      <c r="L347" t="s">
        <v>46</v>
      </c>
    </row>
    <row r="348" spans="1:12" x14ac:dyDescent="0.3">
      <c r="A348" t="str">
        <f>IF(COUNTIF('Raw RetailSalesData'!$A:$L,'Raw RetailSalesData'!A348)=1,'Raw RetailSalesData'!A348,"")</f>
        <v>ORD-10386</v>
      </c>
      <c r="B348" t="str">
        <f>IF('Raw RetailSalesData'!B348="","UNKNOWN",'Raw RetailSalesData'!B348)</f>
        <v>2025-01-04</v>
      </c>
      <c r="C348" t="str">
        <f>IF('Raw RetailSalesData'!C348="","UNKNOW",'Raw RetailSalesData'!C348)</f>
        <v>CUST-1085</v>
      </c>
      <c r="D348" t="str">
        <f>IF('Raw RetailSalesData'!D348="","UNKNOW",'Raw RetailSalesData'!D348)</f>
        <v>C303</v>
      </c>
      <c r="E348" s="5">
        <f>IF('Raw RetailSalesData'!E348="",'Raw RetailSalesData'!F348/'Raw RetailSalesData'!G348,'Raw RetailSalesData'!E348)</f>
        <v>4</v>
      </c>
      <c r="F348" s="7">
        <f>IF('Raw RetailSalesData'!F348="",'Raw RetailSalesData'!G348/'Raw RetailSalesData'!E348,'Raw RetailSalesData'!F348)</f>
        <v>60</v>
      </c>
      <c r="G348" s="7">
        <f t="shared" si="5"/>
        <v>240</v>
      </c>
      <c r="H348" s="5" t="str">
        <f>IF('Raw RetailSalesData'!H348="","Unknown",'Raw RetailSalesData'!H348)</f>
        <v xml:space="preserve"> APAC </v>
      </c>
      <c r="I348" t="s">
        <v>183</v>
      </c>
      <c r="J348" t="s">
        <v>184</v>
      </c>
      <c r="K348" t="str">
        <f>TRIM('Raw RetailSalesData'!K348)</f>
        <v>Sales Rep 3</v>
      </c>
      <c r="L348" t="s">
        <v>21</v>
      </c>
    </row>
    <row r="349" spans="1:12" x14ac:dyDescent="0.3">
      <c r="A349" t="str">
        <f>IF(COUNTIF('Raw RetailSalesData'!$A:$L,'Raw RetailSalesData'!A349)=1,'Raw RetailSalesData'!A349,"")</f>
        <v>ORD-10388</v>
      </c>
      <c r="B349" t="str">
        <f>IF('Raw RetailSalesData'!B349="","UNKNOWN",'Raw RetailSalesData'!B349)</f>
        <v>2024-12-08</v>
      </c>
      <c r="C349" t="str">
        <f>IF('Raw RetailSalesData'!C349="","UNKNOW",'Raw RetailSalesData'!C349)</f>
        <v>CUST-1173</v>
      </c>
      <c r="D349" t="str">
        <f>IF('Raw RetailSalesData'!D349="","UNKNOW",'Raw RetailSalesData'!D349)</f>
        <v>C303</v>
      </c>
      <c r="E349" s="5">
        <f>IF('Raw RetailSalesData'!E349="",'Raw RetailSalesData'!F349/'Raw RetailSalesData'!G349,'Raw RetailSalesData'!E349)</f>
        <v>10</v>
      </c>
      <c r="F349" s="7">
        <f>IF('Raw RetailSalesData'!F349="",'Raw RetailSalesData'!G349/'Raw RetailSalesData'!E349,'Raw RetailSalesData'!F349)</f>
        <v>65</v>
      </c>
      <c r="G349" s="7">
        <f t="shared" si="5"/>
        <v>650</v>
      </c>
      <c r="H349" s="5" t="str">
        <f>IF('Raw RetailSalesData'!H349="","Unknown",'Raw RetailSalesData'!H349)</f>
        <v>NA</v>
      </c>
      <c r="I349" t="s">
        <v>28</v>
      </c>
      <c r="J349" t="s">
        <v>29</v>
      </c>
      <c r="K349" t="str">
        <f>TRIM('Raw RetailSalesData'!K349)</f>
        <v>Sales Rep 1</v>
      </c>
      <c r="L349" t="s">
        <v>46</v>
      </c>
    </row>
    <row r="350" spans="1:12" x14ac:dyDescent="0.3">
      <c r="A350" t="str">
        <f>IF(COUNTIF('Raw RetailSalesData'!$A:$L,'Raw RetailSalesData'!A350)=1,'Raw RetailSalesData'!A350,"")</f>
        <v>ORD-10390</v>
      </c>
      <c r="B350" t="str">
        <f>IF('Raw RetailSalesData'!B350="","UNKNOWN",'Raw RetailSalesData'!B350)</f>
        <v>2026-02-01</v>
      </c>
      <c r="C350" t="str">
        <f>IF('Raw RetailSalesData'!C350="","UNKNOW",'Raw RetailSalesData'!C350)</f>
        <v>UNKNOW</v>
      </c>
      <c r="D350" t="str">
        <f>IF('Raw RetailSalesData'!D350="","UNKNOW",'Raw RetailSalesData'!D350)</f>
        <v>C301</v>
      </c>
      <c r="E350" s="5">
        <f>IF('Raw RetailSalesData'!E350="",'Raw RetailSalesData'!F350/'Raw RetailSalesData'!G350,'Raw RetailSalesData'!E350)</f>
        <v>19</v>
      </c>
      <c r="F350" s="7">
        <f>IF('Raw RetailSalesData'!F350="",'Raw RetailSalesData'!G350/'Raw RetailSalesData'!E350,'Raw RetailSalesData'!F350)</f>
        <v>60</v>
      </c>
      <c r="G350" s="7">
        <f t="shared" si="5"/>
        <v>1140</v>
      </c>
      <c r="H350" s="5" t="str">
        <f>IF('Raw RetailSalesData'!H350="","Unknown",'Raw RetailSalesData'!H350)</f>
        <v>NA</v>
      </c>
      <c r="I350" t="s">
        <v>100</v>
      </c>
      <c r="J350" t="s">
        <v>101</v>
      </c>
      <c r="K350" t="str">
        <f>TRIM('Raw RetailSalesData'!K350)</f>
        <v>Sales Rep 2</v>
      </c>
      <c r="L350" t="s">
        <v>46</v>
      </c>
    </row>
    <row r="351" spans="1:12" x14ac:dyDescent="0.3">
      <c r="A351" t="str">
        <f>IF(COUNTIF('Raw RetailSalesData'!$A:$L,'Raw RetailSalesData'!A351)=1,'Raw RetailSalesData'!A351,"")</f>
        <v>ORD-10391</v>
      </c>
      <c r="B351" t="str">
        <f>IF('Raw RetailSalesData'!B351="","UNKNOWN",'Raw RetailSalesData'!B351)</f>
        <v>2024-02-23</v>
      </c>
      <c r="C351" t="str">
        <f>IF('Raw RetailSalesData'!C351="","UNKNOW",'Raw RetailSalesData'!C351)</f>
        <v>CUST-1121</v>
      </c>
      <c r="D351" t="str">
        <f>IF('Raw RetailSalesData'!D351="","UNKNOW",'Raw RetailSalesData'!D351)</f>
        <v>C302</v>
      </c>
      <c r="E351" s="5">
        <f>IF('Raw RetailSalesData'!E351="",'Raw RetailSalesData'!F351/'Raw RetailSalesData'!G351,'Raw RetailSalesData'!E351)</f>
        <v>13</v>
      </c>
      <c r="F351" s="7">
        <f>IF('Raw RetailSalesData'!F351="",'Raw RetailSalesData'!G351/'Raw RetailSalesData'!E351,'Raw RetailSalesData'!F351)</f>
        <v>50</v>
      </c>
      <c r="G351" s="7">
        <f t="shared" si="5"/>
        <v>650</v>
      </c>
      <c r="H351" s="5" t="str">
        <f>IF('Raw RetailSalesData'!H351="","Unknown",'Raw RetailSalesData'!H351)</f>
        <v>APAC</v>
      </c>
      <c r="I351" t="s">
        <v>71</v>
      </c>
      <c r="J351" t="s">
        <v>72</v>
      </c>
      <c r="K351" t="str">
        <f>TRIM('Raw RetailSalesData'!K351)</f>
        <v>Hiroshi Tanaka</v>
      </c>
      <c r="L351" t="s">
        <v>46</v>
      </c>
    </row>
    <row r="352" spans="1:12" x14ac:dyDescent="0.3">
      <c r="A352" t="str">
        <f>IF(COUNTIF('Raw RetailSalesData'!$A:$L,'Raw RetailSalesData'!A352)=1,'Raw RetailSalesData'!A352,"")</f>
        <v>ORD-10392</v>
      </c>
      <c r="B352" t="str">
        <f>IF('Raw RetailSalesData'!B352="","UNKNOWN",'Raw RetailSalesData'!B352)</f>
        <v>2025-03-19</v>
      </c>
      <c r="C352" t="str">
        <f>IF('Raw RetailSalesData'!C352="","UNKNOW",'Raw RetailSalesData'!C352)</f>
        <v>CUST-1017</v>
      </c>
      <c r="D352" t="str">
        <f>IF('Raw RetailSalesData'!D352="","UNKNOW",'Raw RetailSalesData'!D352)</f>
        <v>P202</v>
      </c>
      <c r="E352" s="5">
        <f>IF('Raw RetailSalesData'!E352="",'Raw RetailSalesData'!F352/'Raw RetailSalesData'!G352,'Raw RetailSalesData'!E352)</f>
        <v>6</v>
      </c>
      <c r="F352" s="7">
        <f>IF('Raw RetailSalesData'!F352="",'Raw RetailSalesData'!G352/'Raw RetailSalesData'!E352,'Raw RetailSalesData'!F352)</f>
        <v>65</v>
      </c>
      <c r="G352" s="7">
        <f t="shared" si="5"/>
        <v>390</v>
      </c>
      <c r="H352" s="5" t="str">
        <f>IF('Raw RetailSalesData'!H352="","Unknown",'Raw RetailSalesData'!H352)</f>
        <v>EMEA</v>
      </c>
      <c r="I352" t="s">
        <v>2190</v>
      </c>
      <c r="J352" t="s">
        <v>39</v>
      </c>
      <c r="K352" t="str">
        <f>TRIM('Raw RetailSalesData'!K352)</f>
        <v>Sales Rep 5</v>
      </c>
      <c r="L352" t="s">
        <v>21</v>
      </c>
    </row>
    <row r="353" spans="1:12" x14ac:dyDescent="0.3">
      <c r="A353" t="str">
        <f>IF(COUNTIF('Raw RetailSalesData'!$A:$L,'Raw RetailSalesData'!A353)=1,'Raw RetailSalesData'!A353,"")</f>
        <v>ORD-10393</v>
      </c>
      <c r="B353" t="str">
        <f>IF('Raw RetailSalesData'!B353="","UNKNOWN",'Raw RetailSalesData'!B353)</f>
        <v>2025-04-08</v>
      </c>
      <c r="C353" t="str">
        <f>IF('Raw RetailSalesData'!C353="","UNKNOW",'Raw RetailSalesData'!C353)</f>
        <v>CUST-1096</v>
      </c>
      <c r="D353" t="str">
        <f>IF('Raw RetailSalesData'!D353="","UNKNOW",'Raw RetailSalesData'!D353)</f>
        <v>P203</v>
      </c>
      <c r="E353" s="5">
        <f>IF('Raw RetailSalesData'!E353="",'Raw RetailSalesData'!F353/'Raw RetailSalesData'!G353,'Raw RetailSalesData'!E353)</f>
        <v>14</v>
      </c>
      <c r="F353" s="7">
        <f>IF('Raw RetailSalesData'!F353="",'Raw RetailSalesData'!G353/'Raw RetailSalesData'!E353,'Raw RetailSalesData'!F353)</f>
        <v>63</v>
      </c>
      <c r="G353" s="7">
        <f t="shared" si="5"/>
        <v>882</v>
      </c>
      <c r="H353" s="5" t="str">
        <f>IF('Raw RetailSalesData'!H353="","Unknown",'Raw RetailSalesData'!H353)</f>
        <v>LATAM</v>
      </c>
      <c r="I353" t="s">
        <v>90</v>
      </c>
      <c r="J353" t="s">
        <v>2198</v>
      </c>
      <c r="K353" t="str">
        <f>TRIM('Raw RetailSalesData'!K353)</f>
        <v>Sales Rep 2</v>
      </c>
      <c r="L353" t="s">
        <v>31</v>
      </c>
    </row>
    <row r="354" spans="1:12" x14ac:dyDescent="0.3">
      <c r="A354" t="str">
        <f>IF(COUNTIF('Raw RetailSalesData'!$A:$L,'Raw RetailSalesData'!A354)=1,'Raw RetailSalesData'!A354,"")</f>
        <v>ORD-10394</v>
      </c>
      <c r="B354" t="str">
        <f>IF('Raw RetailSalesData'!B354="","UNKNOWN",'Raw RetailSalesData'!B354)</f>
        <v>2022-02-16</v>
      </c>
      <c r="C354" t="str">
        <f>IF('Raw RetailSalesData'!C354="","UNKNOW",'Raw RetailSalesData'!C354)</f>
        <v>CUST-1132</v>
      </c>
      <c r="D354" t="str">
        <f>IF('Raw RetailSalesData'!D354="","UNKNOW",'Raw RetailSalesData'!D354)</f>
        <v>C303</v>
      </c>
      <c r="E354" s="5">
        <f>IF('Raw RetailSalesData'!E354="",'Raw RetailSalesData'!F354/'Raw RetailSalesData'!G354,'Raw RetailSalesData'!E354)</f>
        <v>8</v>
      </c>
      <c r="F354" s="7">
        <f>IF('Raw RetailSalesData'!F354="",'Raw RetailSalesData'!G354/'Raw RetailSalesData'!E354,'Raw RetailSalesData'!F354)</f>
        <v>65</v>
      </c>
      <c r="G354" s="7">
        <f t="shared" si="5"/>
        <v>520</v>
      </c>
      <c r="H354" s="5" t="str">
        <f>IF('Raw RetailSalesData'!H354="","Unknown",'Raw RetailSalesData'!H354)</f>
        <v>NA</v>
      </c>
      <c r="I354" t="s">
        <v>100</v>
      </c>
      <c r="J354" t="s">
        <v>101</v>
      </c>
      <c r="K354" t="str">
        <f>TRIM('Raw RetailSalesData'!K354)</f>
        <v>Sales Rep 3</v>
      </c>
      <c r="L354" t="s">
        <v>46</v>
      </c>
    </row>
    <row r="355" spans="1:12" x14ac:dyDescent="0.3">
      <c r="A355" t="str">
        <f>IF(COUNTIF('Raw RetailSalesData'!$A:$L,'Raw RetailSalesData'!A355)=1,'Raw RetailSalesData'!A355,"")</f>
        <v>ORD-10395</v>
      </c>
      <c r="B355" t="str">
        <f>IF('Raw RetailSalesData'!B355="","UNKNOWN",'Raw RetailSalesData'!B355)</f>
        <v>2025-12-23</v>
      </c>
      <c r="C355" t="str">
        <f>IF('Raw RetailSalesData'!C355="","UNKNOW",'Raw RetailSalesData'!C355)</f>
        <v xml:space="preserve"> CUST-1064 </v>
      </c>
      <c r="D355" t="str">
        <f>IF('Raw RetailSalesData'!D355="","UNKNOW",'Raw RetailSalesData'!D355)</f>
        <v>C304</v>
      </c>
      <c r="E355" s="5">
        <f>IF('Raw RetailSalesData'!E355="",'Raw RetailSalesData'!F355/'Raw RetailSalesData'!G355,'Raw RetailSalesData'!E355)</f>
        <v>12</v>
      </c>
      <c r="F355" s="7">
        <f>IF('Raw RetailSalesData'!F355="",'Raw RetailSalesData'!G355/'Raw RetailSalesData'!E355,'Raw RetailSalesData'!F355)</f>
        <v>53</v>
      </c>
      <c r="G355" s="7">
        <f t="shared" si="5"/>
        <v>636</v>
      </c>
      <c r="H355" s="5" t="str">
        <f>IF('Raw RetailSalesData'!H355="","Unknown",'Raw RetailSalesData'!H355)</f>
        <v>LATAM</v>
      </c>
      <c r="I355" t="s">
        <v>90</v>
      </c>
      <c r="J355" t="s">
        <v>2198</v>
      </c>
      <c r="K355" t="str">
        <f>TRIM('Raw RetailSalesData'!K355)</f>
        <v>Sales Rep 3</v>
      </c>
      <c r="L355" t="s">
        <v>46</v>
      </c>
    </row>
    <row r="356" spans="1:12" x14ac:dyDescent="0.3">
      <c r="A356" t="str">
        <f>IF(COUNTIF('Raw RetailSalesData'!$A:$L,'Raw RetailSalesData'!A356)=1,'Raw RetailSalesData'!A356,"")</f>
        <v>ORD-10396</v>
      </c>
      <c r="B356" t="str">
        <f>IF('Raw RetailSalesData'!B356="","UNKNOWN",'Raw RetailSalesData'!B356)</f>
        <v>2023-08-05</v>
      </c>
      <c r="C356" t="str">
        <f>IF('Raw RetailSalesData'!C356="","UNKNOW",'Raw RetailSalesData'!C356)</f>
        <v>CUST-1156</v>
      </c>
      <c r="D356" t="str">
        <f>IF('Raw RetailSalesData'!D356="","UNKNOW",'Raw RetailSalesData'!D356)</f>
        <v>P202</v>
      </c>
      <c r="E356" s="5">
        <f>IF('Raw RetailSalesData'!E356="",'Raw RetailSalesData'!F356/'Raw RetailSalesData'!G356,'Raw RetailSalesData'!E356)</f>
        <v>16</v>
      </c>
      <c r="F356" s="7">
        <f>IF('Raw RetailSalesData'!F356="",'Raw RetailSalesData'!G356/'Raw RetailSalesData'!E356,'Raw RetailSalesData'!F356)</f>
        <v>65</v>
      </c>
      <c r="G356" s="7">
        <f t="shared" si="5"/>
        <v>1040</v>
      </c>
      <c r="H356" s="5" t="str">
        <f>IF('Raw RetailSalesData'!H356="","Unknown",'Raw RetailSalesData'!H356)</f>
        <v>APAC</v>
      </c>
      <c r="I356" t="s">
        <v>183</v>
      </c>
      <c r="J356" t="s">
        <v>184</v>
      </c>
      <c r="K356" t="str">
        <f>TRIM('Raw RetailSalesData'!K356)</f>
        <v>Sales Rep 4</v>
      </c>
      <c r="L356" t="s">
        <v>46</v>
      </c>
    </row>
    <row r="357" spans="1:12" x14ac:dyDescent="0.3">
      <c r="A357" t="str">
        <f>IF(COUNTIF('Raw RetailSalesData'!$A:$L,'Raw RetailSalesData'!A357)=1,'Raw RetailSalesData'!A357,"")</f>
        <v>ORD-10397</v>
      </c>
      <c r="B357" t="str">
        <f>IF('Raw RetailSalesData'!B357="","UNKNOWN",'Raw RetailSalesData'!B357)</f>
        <v>2024-08-03</v>
      </c>
      <c r="C357" t="str">
        <f>IF('Raw RetailSalesData'!C357="","UNKNOW",'Raw RetailSalesData'!C357)</f>
        <v>CUST-1142</v>
      </c>
      <c r="D357" t="str">
        <f>IF('Raw RetailSalesData'!D357="","UNKNOW",'Raw RetailSalesData'!D357)</f>
        <v>UNKNOW</v>
      </c>
      <c r="E357" s="5">
        <f>IF('Raw RetailSalesData'!E357="",'Raw RetailSalesData'!F357/'Raw RetailSalesData'!G357,'Raw RetailSalesData'!E357)</f>
        <v>1</v>
      </c>
      <c r="F357" s="7">
        <f>IF('Raw RetailSalesData'!F357="",'Raw RetailSalesData'!G357/'Raw RetailSalesData'!E357,'Raw RetailSalesData'!F357)</f>
        <v>85</v>
      </c>
      <c r="G357" s="7">
        <f t="shared" si="5"/>
        <v>85</v>
      </c>
      <c r="H357" s="5" t="str">
        <f>IF('Raw RetailSalesData'!H357="","Unknown",'Raw RetailSalesData'!H357)</f>
        <v>APAC</v>
      </c>
      <c r="I357" t="s">
        <v>71</v>
      </c>
      <c r="J357" t="s">
        <v>72</v>
      </c>
      <c r="K357" t="str">
        <f>TRIM('Raw RetailSalesData'!K357)</f>
        <v>#N/A</v>
      </c>
      <c r="L357" t="s">
        <v>21</v>
      </c>
    </row>
    <row r="358" spans="1:12" x14ac:dyDescent="0.3">
      <c r="A358" t="str">
        <f>IF(COUNTIF('Raw RetailSalesData'!$A:$L,'Raw RetailSalesData'!A358)=1,'Raw RetailSalesData'!A358,"")</f>
        <v>ORD-10398</v>
      </c>
      <c r="B358" t="str">
        <f>IF('Raw RetailSalesData'!B358="","UNKNOWN",'Raw RetailSalesData'!B358)</f>
        <v>2025-11-23</v>
      </c>
      <c r="C358" t="str">
        <f>IF('Raw RetailSalesData'!C358="","UNKNOW",'Raw RetailSalesData'!C358)</f>
        <v>CUST-1030</v>
      </c>
      <c r="D358" t="str">
        <f>IF('Raw RetailSalesData'!D358="","UNKNOW",'Raw RetailSalesData'!D358)</f>
        <v>P101</v>
      </c>
      <c r="E358" s="5">
        <f>IF('Raw RetailSalesData'!E358="",'Raw RetailSalesData'!F358/'Raw RetailSalesData'!G358,'Raw RetailSalesData'!E358)</f>
        <v>20</v>
      </c>
      <c r="F358" s="7">
        <f>IF('Raw RetailSalesData'!F358="",'Raw RetailSalesData'!G358/'Raw RetailSalesData'!E358,'Raw RetailSalesData'!F358)</f>
        <v>85</v>
      </c>
      <c r="G358" s="7">
        <f t="shared" si="5"/>
        <v>1700</v>
      </c>
      <c r="H358" s="5" t="str">
        <f>IF('Raw RetailSalesData'!H358="","Unknown",'Raw RetailSalesData'!H358)</f>
        <v xml:space="preserve"> APAC </v>
      </c>
      <c r="I358" t="s">
        <v>151</v>
      </c>
      <c r="J358" t="s">
        <v>152</v>
      </c>
      <c r="K358" t="str">
        <f>TRIM('Raw RetailSalesData'!K358)</f>
        <v>Aarav Patel</v>
      </c>
      <c r="L358" t="s">
        <v>46</v>
      </c>
    </row>
    <row r="359" spans="1:12" x14ac:dyDescent="0.3">
      <c r="A359" t="str">
        <f>IF(COUNTIF('Raw RetailSalesData'!$A:$L,'Raw RetailSalesData'!A359)=1,'Raw RetailSalesData'!A359,"")</f>
        <v>ORD-10399</v>
      </c>
      <c r="B359" t="str">
        <f>IF('Raw RetailSalesData'!B359="","UNKNOWN",'Raw RetailSalesData'!B359)</f>
        <v>2023-11-28</v>
      </c>
      <c r="C359" t="str">
        <f>IF('Raw RetailSalesData'!C359="","UNKNOW",'Raw RetailSalesData'!C359)</f>
        <v>UNKNOW</v>
      </c>
      <c r="D359" t="str">
        <f>IF('Raw RetailSalesData'!D359="","UNKNOW",'Raw RetailSalesData'!D359)</f>
        <v>UNKNOW</v>
      </c>
      <c r="E359" s="5">
        <f>IF('Raw RetailSalesData'!E359="",'Raw RetailSalesData'!F359/'Raw RetailSalesData'!G359,'Raw RetailSalesData'!E359)</f>
        <v>1</v>
      </c>
      <c r="F359" s="7">
        <f>IF('Raw RetailSalesData'!F359="",'Raw RetailSalesData'!G359/'Raw RetailSalesData'!E359,'Raw RetailSalesData'!F359)</f>
        <v>60</v>
      </c>
      <c r="G359" s="7">
        <f t="shared" si="5"/>
        <v>60</v>
      </c>
      <c r="H359" s="5" t="str">
        <f>IF('Raw RetailSalesData'!H359="","Unknown",'Raw RetailSalesData'!H359)</f>
        <v>NA</v>
      </c>
      <c r="I359" t="s">
        <v>28</v>
      </c>
      <c r="J359" t="s">
        <v>29</v>
      </c>
      <c r="K359" t="str">
        <f>TRIM('Raw RetailSalesData'!K359)</f>
        <v>Sales Rep 4</v>
      </c>
      <c r="L359" t="s">
        <v>46</v>
      </c>
    </row>
    <row r="360" spans="1:12" x14ac:dyDescent="0.3">
      <c r="A360" t="str">
        <f>IF(COUNTIF('Raw RetailSalesData'!$A:$L,'Raw RetailSalesData'!A360)=1,'Raw RetailSalesData'!A360,"")</f>
        <v>ORD-10400</v>
      </c>
      <c r="B360" t="str">
        <f>IF('Raw RetailSalesData'!B360="","UNKNOWN",'Raw RetailSalesData'!B360)</f>
        <v>2024-01-14</v>
      </c>
      <c r="C360" t="str">
        <f>IF('Raw RetailSalesData'!C360="","UNKNOW",'Raw RetailSalesData'!C360)</f>
        <v>CUST-1077</v>
      </c>
      <c r="D360" t="str">
        <f>IF('Raw RetailSalesData'!D360="","UNKNOW",'Raw RetailSalesData'!D360)</f>
        <v>P103</v>
      </c>
      <c r="E360" s="5">
        <f>IF('Raw RetailSalesData'!E360="",'Raw RetailSalesData'!F360/'Raw RetailSalesData'!G360,'Raw RetailSalesData'!E360)</f>
        <v>12</v>
      </c>
      <c r="F360" s="7">
        <f>IF('Raw RetailSalesData'!F360="",'Raw RetailSalesData'!G360/'Raw RetailSalesData'!E360,'Raw RetailSalesData'!F360)</f>
        <v>95</v>
      </c>
      <c r="G360" s="7">
        <f t="shared" si="5"/>
        <v>1140</v>
      </c>
      <c r="H360" s="5" t="str">
        <f>IF('Raw RetailSalesData'!H360="","Unknown",'Raw RetailSalesData'!H360)</f>
        <v>EMEA</v>
      </c>
      <c r="I360" t="s">
        <v>83</v>
      </c>
      <c r="J360" t="s">
        <v>84</v>
      </c>
      <c r="K360" t="str">
        <f>TRIM('Raw RetailSalesData'!K360)</f>
        <v>John Smith</v>
      </c>
      <c r="L360" t="s">
        <v>21</v>
      </c>
    </row>
    <row r="361" spans="1:12" x14ac:dyDescent="0.3">
      <c r="A361" t="str">
        <f>IF(COUNTIF('Raw RetailSalesData'!$A:$L,'Raw RetailSalesData'!A361)=1,'Raw RetailSalesData'!A361,"")</f>
        <v>ORD-10401</v>
      </c>
      <c r="B361" t="str">
        <f>IF('Raw RetailSalesData'!B361="","UNKNOWN",'Raw RetailSalesData'!B361)</f>
        <v>2024-02-05</v>
      </c>
      <c r="C361" t="str">
        <f>IF('Raw RetailSalesData'!C361="","UNKNOW",'Raw RetailSalesData'!C361)</f>
        <v>CUST-1094</v>
      </c>
      <c r="D361" t="str">
        <f>IF('Raw RetailSalesData'!D361="","UNKNOW",'Raw RetailSalesData'!D361)</f>
        <v>P201</v>
      </c>
      <c r="E361" s="5">
        <f>IF('Raw RetailSalesData'!E361="",'Raw RetailSalesData'!F361/'Raw RetailSalesData'!G361,'Raw RetailSalesData'!E361)</f>
        <v>16</v>
      </c>
      <c r="F361" s="7">
        <f>IF('Raw RetailSalesData'!F361="",'Raw RetailSalesData'!G361/'Raw RetailSalesData'!E361,'Raw RetailSalesData'!F361)</f>
        <v>70</v>
      </c>
      <c r="G361" s="7">
        <f t="shared" si="5"/>
        <v>1120</v>
      </c>
      <c r="H361" s="5" t="str">
        <f>IF('Raw RetailSalesData'!H361="","Unknown",'Raw RetailSalesData'!H361)</f>
        <v>EMEA</v>
      </c>
      <c r="I361" t="s">
        <v>225</v>
      </c>
      <c r="J361" t="s">
        <v>226</v>
      </c>
      <c r="K361" t="str">
        <f>TRIM('Raw RetailSalesData'!K361)</f>
        <v>Unknown</v>
      </c>
      <c r="L361" t="s">
        <v>21</v>
      </c>
    </row>
    <row r="362" spans="1:12" x14ac:dyDescent="0.3">
      <c r="A362" t="str">
        <f>IF(COUNTIF('Raw RetailSalesData'!$A:$L,'Raw RetailSalesData'!A362)=1,'Raw RetailSalesData'!A362,"")</f>
        <v>ORD-10402</v>
      </c>
      <c r="B362" t="str">
        <f>IF('Raw RetailSalesData'!B362="","UNKNOWN",'Raw RetailSalesData'!B362)</f>
        <v>2026-05-04</v>
      </c>
      <c r="C362" t="str">
        <f>IF('Raw RetailSalesData'!C362="","UNKNOW",'Raw RetailSalesData'!C362)</f>
        <v>CUST-1113</v>
      </c>
      <c r="D362" t="str">
        <f>IF('Raw RetailSalesData'!D362="","UNKNOW",'Raw RetailSalesData'!D362)</f>
        <v>P102</v>
      </c>
      <c r="E362" s="5">
        <f>IF('Raw RetailSalesData'!E362="",'Raw RetailSalesData'!F362/'Raw RetailSalesData'!G362,'Raw RetailSalesData'!E362)</f>
        <v>4</v>
      </c>
      <c r="F362" s="7">
        <f>IF('Raw RetailSalesData'!F362="",'Raw RetailSalesData'!G362/'Raw RetailSalesData'!E362,'Raw RetailSalesData'!F362)</f>
        <v>75</v>
      </c>
      <c r="G362" s="7">
        <f t="shared" si="5"/>
        <v>300</v>
      </c>
      <c r="H362" s="5" t="str">
        <f>IF('Raw RetailSalesData'!H362="","Unknown",'Raw RetailSalesData'!H362)</f>
        <v>LATAM</v>
      </c>
      <c r="I362" t="s">
        <v>90</v>
      </c>
      <c r="J362" t="s">
        <v>2198</v>
      </c>
      <c r="K362" t="str">
        <f>TRIM('Raw RetailSalesData'!K362)</f>
        <v>Sales Rep 2</v>
      </c>
      <c r="L362" t="s">
        <v>46</v>
      </c>
    </row>
    <row r="363" spans="1:12" x14ac:dyDescent="0.3">
      <c r="A363" t="str">
        <f>IF(COUNTIF('Raw RetailSalesData'!$A:$L,'Raw RetailSalesData'!A363)=1,'Raw RetailSalesData'!A363,"")</f>
        <v>ORD-10403</v>
      </c>
      <c r="B363" t="str">
        <f>IF('Raw RetailSalesData'!B363="","UNKNOWN",'Raw RetailSalesData'!B363)</f>
        <v>2022-06-12</v>
      </c>
      <c r="C363" t="str">
        <f>IF('Raw RetailSalesData'!C363="","UNKNOW",'Raw RetailSalesData'!C363)</f>
        <v>CUST-1076</v>
      </c>
      <c r="D363" t="str">
        <f>IF('Raw RetailSalesData'!D363="","UNKNOW",'Raw RetailSalesData'!D363)</f>
        <v>C301</v>
      </c>
      <c r="E363" s="5">
        <f>IF('Raw RetailSalesData'!E363="",'Raw RetailSalesData'!F363/'Raw RetailSalesData'!G363,'Raw RetailSalesData'!E363)</f>
        <v>2</v>
      </c>
      <c r="F363" s="7">
        <f>IF('Raw RetailSalesData'!F363="",'Raw RetailSalesData'!G363/'Raw RetailSalesData'!E363,'Raw RetailSalesData'!F363)</f>
        <v>60</v>
      </c>
      <c r="G363" s="7">
        <f t="shared" si="5"/>
        <v>120</v>
      </c>
      <c r="H363" s="5" t="str">
        <f>IF('Raw RetailSalesData'!H363="","Unknown",'Raw RetailSalesData'!H363)</f>
        <v>NA</v>
      </c>
      <c r="I363" t="s">
        <v>28</v>
      </c>
      <c r="J363" t="s">
        <v>29</v>
      </c>
      <c r="K363" t="str">
        <f>TRIM('Raw RetailSalesData'!K363)</f>
        <v>Sales Rep 5</v>
      </c>
      <c r="L363" t="s">
        <v>21</v>
      </c>
    </row>
    <row r="364" spans="1:12" x14ac:dyDescent="0.3">
      <c r="A364" t="str">
        <f>IF(COUNTIF('Raw RetailSalesData'!$A:$L,'Raw RetailSalesData'!A364)=1,'Raw RetailSalesData'!A364,"")</f>
        <v>ORD-10404</v>
      </c>
      <c r="B364" t="str">
        <f>IF('Raw RetailSalesData'!B364="","UNKNOWN",'Raw RetailSalesData'!B364)</f>
        <v>2025-07-08</v>
      </c>
      <c r="C364" t="str">
        <f>IF('Raw RetailSalesData'!C364="","UNKNOW",'Raw RetailSalesData'!C364)</f>
        <v>CUST-1081</v>
      </c>
      <c r="D364" t="str">
        <f>IF('Raw RetailSalesData'!D364="","UNKNOW",'Raw RetailSalesData'!D364)</f>
        <v>P203</v>
      </c>
      <c r="E364" s="5">
        <f>IF('Raw RetailSalesData'!E364="",'Raw RetailSalesData'!F364/'Raw RetailSalesData'!G364,'Raw RetailSalesData'!E364)</f>
        <v>14</v>
      </c>
      <c r="F364" s="7">
        <f>IF('Raw RetailSalesData'!F364="",'Raw RetailSalesData'!G364/'Raw RetailSalesData'!E364,'Raw RetailSalesData'!F364)</f>
        <v>68</v>
      </c>
      <c r="G364" s="7">
        <f t="shared" si="5"/>
        <v>952</v>
      </c>
      <c r="H364" s="5" t="str">
        <f>IF('Raw RetailSalesData'!H364="","Unknown",'Raw RetailSalesData'!H364)</f>
        <v>APAC</v>
      </c>
      <c r="I364" t="s">
        <v>183</v>
      </c>
      <c r="J364" t="s">
        <v>184</v>
      </c>
      <c r="K364" t="str">
        <f>TRIM('Raw RetailSalesData'!K364)</f>
        <v>Sales Rep 1</v>
      </c>
      <c r="L364" t="s">
        <v>46</v>
      </c>
    </row>
    <row r="365" spans="1:12" x14ac:dyDescent="0.3">
      <c r="A365" t="str">
        <f>IF(COUNTIF('Raw RetailSalesData'!$A:$L,'Raw RetailSalesData'!A365)=1,'Raw RetailSalesData'!A365,"")</f>
        <v>ORD-10405</v>
      </c>
      <c r="B365" t="str">
        <f>IF('Raw RetailSalesData'!B365="","UNKNOWN",'Raw RetailSalesData'!B365)</f>
        <v>2025-04-14</v>
      </c>
      <c r="C365" t="str">
        <f>IF('Raw RetailSalesData'!C365="","UNKNOW",'Raw RetailSalesData'!C365)</f>
        <v>CUST-1081</v>
      </c>
      <c r="D365" t="str">
        <f>IF('Raw RetailSalesData'!D365="","UNKNOW",'Raw RetailSalesData'!D365)</f>
        <v xml:space="preserve"> P101 </v>
      </c>
      <c r="E365" s="5">
        <f>IF('Raw RetailSalesData'!E365="",'Raw RetailSalesData'!F365/'Raw RetailSalesData'!G365,'Raw RetailSalesData'!E365)</f>
        <v>18</v>
      </c>
      <c r="F365" s="7">
        <f>IF('Raw RetailSalesData'!F365="",'Raw RetailSalesData'!G365/'Raw RetailSalesData'!E365,'Raw RetailSalesData'!F365)</f>
        <v>80</v>
      </c>
      <c r="G365" s="7">
        <f t="shared" si="5"/>
        <v>1440</v>
      </c>
      <c r="H365" s="5" t="str">
        <f>IF('Raw RetailSalesData'!H365="","Unknown",'Raw RetailSalesData'!H365)</f>
        <v>LATAM</v>
      </c>
      <c r="I365" t="s">
        <v>90</v>
      </c>
      <c r="J365" t="s">
        <v>2198</v>
      </c>
      <c r="K365" t="str">
        <f>TRIM('Raw RetailSalesData'!K365)</f>
        <v>Sales Rep 5</v>
      </c>
      <c r="L365" t="s">
        <v>31</v>
      </c>
    </row>
    <row r="366" spans="1:12" x14ac:dyDescent="0.3">
      <c r="A366" t="str">
        <f>IF(COUNTIF('Raw RetailSalesData'!$A:$L,'Raw RetailSalesData'!A366)=1,'Raw RetailSalesData'!A366,"")</f>
        <v>ORD-10406</v>
      </c>
      <c r="B366" t="str">
        <f>IF('Raw RetailSalesData'!B366="","UNKNOWN",'Raw RetailSalesData'!B366)</f>
        <v>2025-11-22</v>
      </c>
      <c r="C366" t="str">
        <f>IF('Raw RetailSalesData'!C366="","UNKNOW",'Raw RetailSalesData'!C366)</f>
        <v>CUST-1174</v>
      </c>
      <c r="D366" t="str">
        <f>IF('Raw RetailSalesData'!D366="","UNKNOW",'Raw RetailSalesData'!D366)</f>
        <v>C302</v>
      </c>
      <c r="E366" s="5">
        <f>IF('Raw RetailSalesData'!E366="",'Raw RetailSalesData'!F366/'Raw RetailSalesData'!G366,'Raw RetailSalesData'!E366)</f>
        <v>7</v>
      </c>
      <c r="F366" s="7">
        <f>IF('Raw RetailSalesData'!F366="",'Raw RetailSalesData'!G366/'Raw RetailSalesData'!E366,'Raw RetailSalesData'!F366)</f>
        <v>50</v>
      </c>
      <c r="G366" s="7">
        <f t="shared" si="5"/>
        <v>350</v>
      </c>
      <c r="H366" s="5" t="str">
        <f>IF('Raw RetailSalesData'!H366="","Unknown",'Raw RetailSalesData'!H366)</f>
        <v>EMEA</v>
      </c>
      <c r="I366" t="s">
        <v>38</v>
      </c>
      <c r="J366" t="s">
        <v>39</v>
      </c>
      <c r="K366" t="str">
        <f>TRIM('Raw RetailSalesData'!K366)</f>
        <v>Sales Rep 2</v>
      </c>
      <c r="L366" t="s">
        <v>31</v>
      </c>
    </row>
    <row r="367" spans="1:12" x14ac:dyDescent="0.3">
      <c r="A367" t="str">
        <f>IF(COUNTIF('Raw RetailSalesData'!$A:$L,'Raw RetailSalesData'!A367)=1,'Raw RetailSalesData'!A367,"")</f>
        <v>ORD-10407</v>
      </c>
      <c r="B367" t="str">
        <f>IF('Raw RetailSalesData'!B367="","UNKNOWN",'Raw RetailSalesData'!B367)</f>
        <v>2025-02-16</v>
      </c>
      <c r="C367" t="str">
        <f>IF('Raw RetailSalesData'!C367="","UNKNOW",'Raw RetailSalesData'!C367)</f>
        <v>CUST-1087</v>
      </c>
      <c r="D367" t="str">
        <f>IF('Raw RetailSalesData'!D367="","UNKNOW",'Raw RetailSalesData'!D367)</f>
        <v>P103</v>
      </c>
      <c r="E367" s="5">
        <f>IF('Raw RetailSalesData'!E367="",'Raw RetailSalesData'!F367/'Raw RetailSalesData'!G367,'Raw RetailSalesData'!E367)</f>
        <v>5</v>
      </c>
      <c r="F367" s="7">
        <f>IF('Raw RetailSalesData'!F367="",'Raw RetailSalesData'!G367/'Raw RetailSalesData'!E367,'Raw RetailSalesData'!F367)</f>
        <v>90</v>
      </c>
      <c r="G367" s="7">
        <f t="shared" si="5"/>
        <v>450</v>
      </c>
      <c r="H367" s="5" t="str">
        <f>IF('Raw RetailSalesData'!H367="","Unknown",'Raw RetailSalesData'!H367)</f>
        <v>LATAM</v>
      </c>
      <c r="I367" t="s">
        <v>18</v>
      </c>
      <c r="J367" t="s">
        <v>2197</v>
      </c>
      <c r="K367" t="str">
        <f>TRIM('Raw RetailSalesData'!K367)</f>
        <v>Sales Rep 4</v>
      </c>
      <c r="L367" t="s">
        <v>31</v>
      </c>
    </row>
    <row r="368" spans="1:12" x14ac:dyDescent="0.3">
      <c r="A368" t="str">
        <f>IF(COUNTIF('Raw RetailSalesData'!$A:$L,'Raw RetailSalesData'!A368)=1,'Raw RetailSalesData'!A368,"")</f>
        <v>ORD-10408</v>
      </c>
      <c r="B368" t="str">
        <f>IF('Raw RetailSalesData'!B368="","UNKNOWN",'Raw RetailSalesData'!B368)</f>
        <v>2024-12-18</v>
      </c>
      <c r="C368" t="str">
        <f>IF('Raw RetailSalesData'!C368="","UNKNOW",'Raw RetailSalesData'!C368)</f>
        <v>CUST-1155</v>
      </c>
      <c r="D368" t="str">
        <f>IF('Raw RetailSalesData'!D368="","UNKNOW",'Raw RetailSalesData'!D368)</f>
        <v>P102</v>
      </c>
      <c r="E368" s="5">
        <f>IF('Raw RetailSalesData'!E368="",'Raw RetailSalesData'!F368/'Raw RetailSalesData'!G368,'Raw RetailSalesData'!E368)</f>
        <v>4</v>
      </c>
      <c r="F368" s="7">
        <f>IF('Raw RetailSalesData'!F368="",'Raw RetailSalesData'!G368/'Raw RetailSalesData'!E368,'Raw RetailSalesData'!F368)</f>
        <v>75</v>
      </c>
      <c r="G368" s="7">
        <f t="shared" si="5"/>
        <v>300</v>
      </c>
      <c r="H368" s="5" t="str">
        <f>IF('Raw RetailSalesData'!H368="","Unknown",'Raw RetailSalesData'!H368)</f>
        <v>LATAM</v>
      </c>
      <c r="I368" t="s">
        <v>90</v>
      </c>
      <c r="J368" t="s">
        <v>2198</v>
      </c>
      <c r="K368" t="str">
        <f>TRIM('Raw RetailSalesData'!K368)</f>
        <v>Sales Rep 4</v>
      </c>
      <c r="L368" t="s">
        <v>21</v>
      </c>
    </row>
    <row r="369" spans="1:12" x14ac:dyDescent="0.3">
      <c r="A369" t="str">
        <f>IF(COUNTIF('Raw RetailSalesData'!$A:$L,'Raw RetailSalesData'!A369)=1,'Raw RetailSalesData'!A369,"")</f>
        <v>ORD-10409</v>
      </c>
      <c r="B369" t="str">
        <f>IF('Raw RetailSalesData'!B369="","UNKNOWN",'Raw RetailSalesData'!B369)</f>
        <v>2023-11-13</v>
      </c>
      <c r="C369" t="str">
        <f>IF('Raw RetailSalesData'!C369="","UNKNOW",'Raw RetailSalesData'!C369)</f>
        <v>CUST-1022</v>
      </c>
      <c r="D369" t="str">
        <f>IF('Raw RetailSalesData'!D369="","UNKNOW",'Raw RetailSalesData'!D369)</f>
        <v>C301</v>
      </c>
      <c r="E369" s="5">
        <f>IF('Raw RetailSalesData'!E369="",'Raw RetailSalesData'!F369/'Raw RetailSalesData'!G369,'Raw RetailSalesData'!E369)</f>
        <v>4</v>
      </c>
      <c r="F369" s="7">
        <f>IF('Raw RetailSalesData'!F369="",'Raw RetailSalesData'!G369/'Raw RetailSalesData'!E369,'Raw RetailSalesData'!F369)</f>
        <v>50</v>
      </c>
      <c r="G369" s="7">
        <f t="shared" si="5"/>
        <v>200</v>
      </c>
      <c r="H369" s="5" t="str">
        <f>IF('Raw RetailSalesData'!H369="","Unknown",'Raw RetailSalesData'!H369)</f>
        <v>LATAM</v>
      </c>
      <c r="I369" t="s">
        <v>18</v>
      </c>
      <c r="J369" t="s">
        <v>2197</v>
      </c>
      <c r="K369" t="str">
        <f>TRIM('Raw RetailSalesData'!K369)</f>
        <v>Sales Rep 4</v>
      </c>
      <c r="L369" t="s">
        <v>2190</v>
      </c>
    </row>
    <row r="370" spans="1:12" x14ac:dyDescent="0.3">
      <c r="A370" t="str">
        <f>IF(COUNTIF('Raw RetailSalesData'!$A:$L,'Raw RetailSalesData'!A370)=1,'Raw RetailSalesData'!A370,"")</f>
        <v>ORD-10410</v>
      </c>
      <c r="B370" t="str">
        <f>IF('Raw RetailSalesData'!B370="","UNKNOWN",'Raw RetailSalesData'!B370)</f>
        <v>2024-02-06</v>
      </c>
      <c r="C370" t="str">
        <f>IF('Raw RetailSalesData'!C370="","UNKNOW",'Raw RetailSalesData'!C370)</f>
        <v>CUST-1193</v>
      </c>
      <c r="D370" t="str">
        <f>IF('Raw RetailSalesData'!D370="","UNKNOW",'Raw RetailSalesData'!D370)</f>
        <v>P103</v>
      </c>
      <c r="E370" s="5">
        <f>IF('Raw RetailSalesData'!E370="",'Raw RetailSalesData'!F370/'Raw RetailSalesData'!G370,'Raw RetailSalesData'!E370)</f>
        <v>2</v>
      </c>
      <c r="F370" s="7">
        <f>IF('Raw RetailSalesData'!F370="",'Raw RetailSalesData'!G370/'Raw RetailSalesData'!E370,'Raw RetailSalesData'!F370)</f>
        <v>90</v>
      </c>
      <c r="G370" s="7">
        <f t="shared" si="5"/>
        <v>180</v>
      </c>
      <c r="H370" s="5" t="str">
        <f>IF('Raw RetailSalesData'!H370="","Unknown",'Raw RetailSalesData'!H370)</f>
        <v>LATAM</v>
      </c>
      <c r="I370" t="s">
        <v>18</v>
      </c>
      <c r="J370" t="s">
        <v>2197</v>
      </c>
      <c r="K370" t="str">
        <f>TRIM('Raw RetailSalesData'!K370)</f>
        <v>Sales Rep 4</v>
      </c>
      <c r="L370" t="s">
        <v>46</v>
      </c>
    </row>
    <row r="371" spans="1:12" x14ac:dyDescent="0.3">
      <c r="A371" t="str">
        <f>IF(COUNTIF('Raw RetailSalesData'!$A:$L,'Raw RetailSalesData'!A371)=1,'Raw RetailSalesData'!A371,"")</f>
        <v>ORD-10412</v>
      </c>
      <c r="B371" t="str">
        <f>IF('Raw RetailSalesData'!B371="","UNKNOWN",'Raw RetailSalesData'!B371)</f>
        <v>2022-01-25</v>
      </c>
      <c r="C371" t="str">
        <f>IF('Raw RetailSalesData'!C371="","UNKNOW",'Raw RetailSalesData'!C371)</f>
        <v>CUST-1094</v>
      </c>
      <c r="D371" t="str">
        <f>IF('Raw RetailSalesData'!D371="","UNKNOW",'Raw RetailSalesData'!D371)</f>
        <v>P102</v>
      </c>
      <c r="E371" s="5">
        <f>IF('Raw RetailSalesData'!E371="",'Raw RetailSalesData'!F371/'Raw RetailSalesData'!G371,'Raw RetailSalesData'!E371)</f>
        <v>9</v>
      </c>
      <c r="F371" s="7">
        <f>IF('Raw RetailSalesData'!F371="",'Raw RetailSalesData'!G371/'Raw RetailSalesData'!E371,'Raw RetailSalesData'!F371)</f>
        <v>80</v>
      </c>
      <c r="G371" s="7">
        <f t="shared" si="5"/>
        <v>720</v>
      </c>
      <c r="H371" s="5" t="str">
        <f>IF('Raw RetailSalesData'!H371="","Unknown",'Raw RetailSalesData'!H371)</f>
        <v>EMEA</v>
      </c>
      <c r="I371" t="s">
        <v>83</v>
      </c>
      <c r="J371" t="s">
        <v>84</v>
      </c>
      <c r="K371" t="str">
        <f>TRIM('Raw RetailSalesData'!K371)</f>
        <v>John Smith</v>
      </c>
      <c r="L371" t="s">
        <v>46</v>
      </c>
    </row>
    <row r="372" spans="1:12" x14ac:dyDescent="0.3">
      <c r="A372" t="str">
        <f>IF(COUNTIF('Raw RetailSalesData'!$A:$L,'Raw RetailSalesData'!A372)=1,'Raw RetailSalesData'!A372,"")</f>
        <v>ORD-10413</v>
      </c>
      <c r="B372" t="str">
        <f>IF('Raw RetailSalesData'!B372="","UNKNOWN",'Raw RetailSalesData'!B372)</f>
        <v>2022-01-25</v>
      </c>
      <c r="C372" t="str">
        <f>IF('Raw RetailSalesData'!C372="","UNKNOW",'Raw RetailSalesData'!C372)</f>
        <v>CUST-1094</v>
      </c>
      <c r="D372" t="str">
        <f>IF('Raw RetailSalesData'!D372="","UNKNOW",'Raw RetailSalesData'!D372)</f>
        <v>P102</v>
      </c>
      <c r="E372" s="5">
        <f>IF('Raw RetailSalesData'!E372="",'Raw RetailSalesData'!F372/'Raw RetailSalesData'!G372,'Raw RetailSalesData'!E372)</f>
        <v>9</v>
      </c>
      <c r="F372" s="7">
        <f>IF('Raw RetailSalesData'!F372="",'Raw RetailSalesData'!G372/'Raw RetailSalesData'!E372,'Raw RetailSalesData'!F372)</f>
        <v>80</v>
      </c>
      <c r="G372" s="7">
        <f t="shared" si="5"/>
        <v>720</v>
      </c>
      <c r="H372" s="5" t="str">
        <f>IF('Raw RetailSalesData'!H372="","Unknown",'Raw RetailSalesData'!H372)</f>
        <v>EMEA</v>
      </c>
      <c r="I372" t="s">
        <v>83</v>
      </c>
      <c r="J372" t="s">
        <v>84</v>
      </c>
      <c r="K372" t="str">
        <f>TRIM('Raw RetailSalesData'!K372)</f>
        <v>John Smith</v>
      </c>
      <c r="L372" t="s">
        <v>46</v>
      </c>
    </row>
    <row r="373" spans="1:12" x14ac:dyDescent="0.3">
      <c r="A373" t="str">
        <f>IF(COUNTIF('Raw RetailSalesData'!$A:$L,'Raw RetailSalesData'!A373)=1,'Raw RetailSalesData'!A373,"")</f>
        <v>ORD-10414</v>
      </c>
      <c r="B373" t="str">
        <f>IF('Raw RetailSalesData'!B373="","UNKNOWN",'Raw RetailSalesData'!B373)</f>
        <v xml:space="preserve"> 2022-08-06 </v>
      </c>
      <c r="C373" t="str">
        <f>IF('Raw RetailSalesData'!C373="","UNKNOW",'Raw RetailSalesData'!C373)</f>
        <v>CUST-1111</v>
      </c>
      <c r="D373" t="str">
        <f>IF('Raw RetailSalesData'!D373="","UNKNOW",'Raw RetailSalesData'!D373)</f>
        <v>P102</v>
      </c>
      <c r="E373" s="5">
        <f>IF('Raw RetailSalesData'!E373="",'Raw RetailSalesData'!F373/'Raw RetailSalesData'!G373,'Raw RetailSalesData'!E373)</f>
        <v>5</v>
      </c>
      <c r="F373" s="7">
        <f>IF('Raw RetailSalesData'!F373="",'Raw RetailSalesData'!G373/'Raw RetailSalesData'!E373,'Raw RetailSalesData'!F373)</f>
        <v>80</v>
      </c>
      <c r="G373" s="7">
        <f t="shared" si="5"/>
        <v>400</v>
      </c>
      <c r="H373" s="5" t="str">
        <f>IF('Raw RetailSalesData'!H373="","Unknown",'Raw RetailSalesData'!H373)</f>
        <v>EMEA</v>
      </c>
      <c r="I373" t="s">
        <v>225</v>
      </c>
      <c r="J373" t="s">
        <v>226</v>
      </c>
      <c r="K373" t="str">
        <f>TRIM('Raw RetailSalesData'!K373)</f>
        <v>Sales Rep 4</v>
      </c>
      <c r="L373" t="s">
        <v>46</v>
      </c>
    </row>
    <row r="374" spans="1:12" x14ac:dyDescent="0.3">
      <c r="A374" t="str">
        <f>IF(COUNTIF('Raw RetailSalesData'!$A:$L,'Raw RetailSalesData'!A374)=1,'Raw RetailSalesData'!A374,"")</f>
        <v>ORD-10415</v>
      </c>
      <c r="B374" t="str">
        <f>IF('Raw RetailSalesData'!B374="","UNKNOWN",'Raw RetailSalesData'!B374)</f>
        <v>2025-02-28</v>
      </c>
      <c r="C374" t="str">
        <f>IF('Raw RetailSalesData'!C374="","UNKNOW",'Raw RetailSalesData'!C374)</f>
        <v>CUST-1150</v>
      </c>
      <c r="D374" t="str">
        <f>IF('Raw RetailSalesData'!D374="","UNKNOW",'Raw RetailSalesData'!D374)</f>
        <v>P201</v>
      </c>
      <c r="E374" s="5">
        <f>IF('Raw RetailSalesData'!E374="",'Raw RetailSalesData'!F374/'Raw RetailSalesData'!G374,'Raw RetailSalesData'!E374)</f>
        <v>12</v>
      </c>
      <c r="F374" s="7">
        <f>IF('Raw RetailSalesData'!F374="",'Raw RetailSalesData'!G374/'Raw RetailSalesData'!E374,'Raw RetailSalesData'!F374)</f>
        <v>65</v>
      </c>
      <c r="G374" s="7">
        <f t="shared" si="5"/>
        <v>780</v>
      </c>
      <c r="H374" s="5" t="str">
        <f>IF('Raw RetailSalesData'!H374="","Unknown",'Raw RetailSalesData'!H374)</f>
        <v>LATAM</v>
      </c>
      <c r="I374" t="s">
        <v>90</v>
      </c>
      <c r="J374" t="s">
        <v>2198</v>
      </c>
      <c r="K374" t="str">
        <f>TRIM('Raw RetailSalesData'!K374)</f>
        <v>Sales Rep 5</v>
      </c>
      <c r="L374" t="s">
        <v>21</v>
      </c>
    </row>
    <row r="375" spans="1:12" x14ac:dyDescent="0.3">
      <c r="A375" t="str">
        <f>IF(COUNTIF('Raw RetailSalesData'!$A:$L,'Raw RetailSalesData'!A375)=1,'Raw RetailSalesData'!A375,"")</f>
        <v>ORD-10416</v>
      </c>
      <c r="B375" t="str">
        <f>IF('Raw RetailSalesData'!B375="","UNKNOWN",'Raw RetailSalesData'!B375)</f>
        <v>2026-04-29</v>
      </c>
      <c r="C375" t="str">
        <f>IF('Raw RetailSalesData'!C375="","UNKNOW",'Raw RetailSalesData'!C375)</f>
        <v>CUST-1007</v>
      </c>
      <c r="D375" t="str">
        <f>IF('Raw RetailSalesData'!D375="","UNKNOW",'Raw RetailSalesData'!D375)</f>
        <v>UNKNOW</v>
      </c>
      <c r="E375" s="5">
        <f>IF('Raw RetailSalesData'!E375="",'Raw RetailSalesData'!F375/'Raw RetailSalesData'!G375,'Raw RetailSalesData'!E375)</f>
        <v>18</v>
      </c>
      <c r="F375" s="7">
        <f>IF('Raw RetailSalesData'!F375="",'Raw RetailSalesData'!G375/'Raw RetailSalesData'!E375,'Raw RetailSalesData'!F375)</f>
        <v>95</v>
      </c>
      <c r="G375" s="7">
        <f t="shared" si="5"/>
        <v>1710</v>
      </c>
      <c r="H375" s="5" t="str">
        <f>IF('Raw RetailSalesData'!H375="","Unknown",'Raw RetailSalesData'!H375)</f>
        <v>APAC</v>
      </c>
      <c r="I375" t="s">
        <v>71</v>
      </c>
      <c r="J375" t="s">
        <v>72</v>
      </c>
      <c r="K375" t="str">
        <f>TRIM('Raw RetailSalesData'!K375)</f>
        <v>Hiroshi Tanaka</v>
      </c>
      <c r="L375" t="s">
        <v>31</v>
      </c>
    </row>
    <row r="376" spans="1:12" x14ac:dyDescent="0.3">
      <c r="A376" t="str">
        <f>IF(COUNTIF('Raw RetailSalesData'!$A:$L,'Raw RetailSalesData'!A376)=1,'Raw RetailSalesData'!A376,"")</f>
        <v>ORD-10417</v>
      </c>
      <c r="B376" t="str">
        <f>IF('Raw RetailSalesData'!B376="","UNKNOWN",'Raw RetailSalesData'!B376)</f>
        <v>2022-07-31</v>
      </c>
      <c r="C376" t="str">
        <f>IF('Raw RetailSalesData'!C376="","UNKNOW",'Raw RetailSalesData'!C376)</f>
        <v>CUST-1028</v>
      </c>
      <c r="D376" t="str">
        <f>IF('Raw RetailSalesData'!D376="","UNKNOW",'Raw RetailSalesData'!D376)</f>
        <v>C303</v>
      </c>
      <c r="E376" s="5">
        <f>IF('Raw RetailSalesData'!E376="",'Raw RetailSalesData'!F376/'Raw RetailSalesData'!G376,'Raw RetailSalesData'!E376)</f>
        <v>14</v>
      </c>
      <c r="F376" s="7">
        <f>IF('Raw RetailSalesData'!F376="",'Raw RetailSalesData'!G376/'Raw RetailSalesData'!E376,'Raw RetailSalesData'!F376)</f>
        <v>60</v>
      </c>
      <c r="G376" s="7">
        <f t="shared" si="5"/>
        <v>840</v>
      </c>
      <c r="H376" s="5" t="str">
        <f>IF('Raw RetailSalesData'!H376="","Unknown",'Raw RetailSalesData'!H376)</f>
        <v>EMEA</v>
      </c>
      <c r="I376" t="s">
        <v>83</v>
      </c>
      <c r="J376" t="s">
        <v>2190</v>
      </c>
      <c r="K376" t="str">
        <f>TRIM('Raw RetailSalesData'!K376)</f>
        <v>John Smith</v>
      </c>
      <c r="L376" t="s">
        <v>46</v>
      </c>
    </row>
    <row r="377" spans="1:12" x14ac:dyDescent="0.3">
      <c r="A377" t="str">
        <f>IF(COUNTIF('Raw RetailSalesData'!$A:$L,'Raw RetailSalesData'!A377)=1,'Raw RetailSalesData'!A377,"")</f>
        <v>ORD-10418</v>
      </c>
      <c r="B377" t="str">
        <f>IF('Raw RetailSalesData'!B377="","UNKNOWN",'Raw RetailSalesData'!B377)</f>
        <v>2024-12-03</v>
      </c>
      <c r="C377" t="str">
        <f>IF('Raw RetailSalesData'!C377="","UNKNOW",'Raw RetailSalesData'!C377)</f>
        <v>CUST-1086</v>
      </c>
      <c r="D377" t="str">
        <f>IF('Raw RetailSalesData'!D377="","UNKNOW",'Raw RetailSalesData'!D377)</f>
        <v>P103</v>
      </c>
      <c r="E377" s="5">
        <f>IF('Raw RetailSalesData'!E377="",'Raw RetailSalesData'!F377/'Raw RetailSalesData'!G377,'Raw RetailSalesData'!E377)</f>
        <v>19</v>
      </c>
      <c r="F377" s="7">
        <f>IF('Raw RetailSalesData'!F377="",'Raw RetailSalesData'!G377/'Raw RetailSalesData'!E377,'Raw RetailSalesData'!F377)</f>
        <v>100</v>
      </c>
      <c r="G377" s="7">
        <f t="shared" si="5"/>
        <v>1900</v>
      </c>
      <c r="H377" s="5" t="str">
        <f>IF('Raw RetailSalesData'!H377="","Unknown",'Raw RetailSalesData'!H377)</f>
        <v>NA</v>
      </c>
      <c r="I377" t="s">
        <v>28</v>
      </c>
      <c r="J377" t="s">
        <v>29</v>
      </c>
      <c r="K377" t="str">
        <f>TRIM('Raw RetailSalesData'!K377)</f>
        <v>Sales Rep 4</v>
      </c>
      <c r="L377" t="s">
        <v>46</v>
      </c>
    </row>
    <row r="378" spans="1:12" x14ac:dyDescent="0.3">
      <c r="A378" t="str">
        <f>IF(COUNTIF('Raw RetailSalesData'!$A:$L,'Raw RetailSalesData'!A378)=1,'Raw RetailSalesData'!A378,"")</f>
        <v>ORD-10419</v>
      </c>
      <c r="B378" t="str">
        <f>IF('Raw RetailSalesData'!B378="","UNKNOWN",'Raw RetailSalesData'!B378)</f>
        <v>2024-12-03</v>
      </c>
      <c r="C378" t="str">
        <f>IF('Raw RetailSalesData'!C378="","UNKNOW",'Raw RetailSalesData'!C378)</f>
        <v>CUST-1086</v>
      </c>
      <c r="D378" t="str">
        <f>IF('Raw RetailSalesData'!D378="","UNKNOW",'Raw RetailSalesData'!D378)</f>
        <v>P103</v>
      </c>
      <c r="E378" s="5">
        <f>IF('Raw RetailSalesData'!E378="",'Raw RetailSalesData'!F378/'Raw RetailSalesData'!G378,'Raw RetailSalesData'!E378)</f>
        <v>19</v>
      </c>
      <c r="F378" s="7">
        <f>IF('Raw RetailSalesData'!F378="",'Raw RetailSalesData'!G378/'Raw RetailSalesData'!E378,'Raw RetailSalesData'!F378)</f>
        <v>100</v>
      </c>
      <c r="G378" s="7">
        <f t="shared" si="5"/>
        <v>1900</v>
      </c>
      <c r="H378" s="5" t="str">
        <f>IF('Raw RetailSalesData'!H378="","Unknown",'Raw RetailSalesData'!H378)</f>
        <v>NA</v>
      </c>
      <c r="I378" t="s">
        <v>28</v>
      </c>
      <c r="J378" t="s">
        <v>29</v>
      </c>
      <c r="K378" t="str">
        <f>TRIM('Raw RetailSalesData'!K378)</f>
        <v>Sales Rep 4</v>
      </c>
      <c r="L378" t="s">
        <v>46</v>
      </c>
    </row>
    <row r="379" spans="1:12" x14ac:dyDescent="0.3">
      <c r="A379" t="str">
        <f>IF(COUNTIF('Raw RetailSalesData'!$A:$L,'Raw RetailSalesData'!A379)=1,'Raw RetailSalesData'!A379,"")</f>
        <v>ORD-10420</v>
      </c>
      <c r="B379" t="str">
        <f>IF('Raw RetailSalesData'!B379="","UNKNOWN",'Raw RetailSalesData'!B379)</f>
        <v>2026-05-05</v>
      </c>
      <c r="C379" t="str">
        <f>IF('Raw RetailSalesData'!C379="","UNKNOW",'Raw RetailSalesData'!C379)</f>
        <v>CUST-1050</v>
      </c>
      <c r="D379" t="str">
        <f>IF('Raw RetailSalesData'!D379="","UNKNOW",'Raw RetailSalesData'!D379)</f>
        <v>C304</v>
      </c>
      <c r="E379" s="5">
        <f>IF('Raw RetailSalesData'!E379="",'Raw RetailSalesData'!F379/'Raw RetailSalesData'!G379,'Raw RetailSalesData'!E379)</f>
        <v>20</v>
      </c>
      <c r="F379" s="7">
        <f>IF('Raw RetailSalesData'!F379="",'Raw RetailSalesData'!G379/'Raw RetailSalesData'!E379,'Raw RetailSalesData'!F379)</f>
        <v>53</v>
      </c>
      <c r="G379" s="7">
        <f t="shared" si="5"/>
        <v>1060</v>
      </c>
      <c r="H379" s="5" t="str">
        <f>IF('Raw RetailSalesData'!H379="","Unknown",'Raw RetailSalesData'!H379)</f>
        <v>LATAM</v>
      </c>
      <c r="I379" t="s">
        <v>90</v>
      </c>
      <c r="J379" t="s">
        <v>2190</v>
      </c>
      <c r="K379" t="str">
        <f>TRIM('Raw RetailSalesData'!K379)</f>
        <v>Sales Rep 1</v>
      </c>
      <c r="L379" t="s">
        <v>31</v>
      </c>
    </row>
    <row r="380" spans="1:12" x14ac:dyDescent="0.3">
      <c r="A380" t="str">
        <f>IF(COUNTIF('Raw RetailSalesData'!$A:$L,'Raw RetailSalesData'!A380)=1,'Raw RetailSalesData'!A380,"")</f>
        <v>ORD-10421</v>
      </c>
      <c r="B380" t="str">
        <f>IF('Raw RetailSalesData'!B380="","UNKNOWN",'Raw RetailSalesData'!B380)</f>
        <v>2025-04-29</v>
      </c>
      <c r="C380" t="str">
        <f>IF('Raw RetailSalesData'!C380="","UNKNOW",'Raw RetailSalesData'!C380)</f>
        <v>CUST-1030</v>
      </c>
      <c r="D380" t="str">
        <f>IF('Raw RetailSalesData'!D380="","UNKNOW",'Raw RetailSalesData'!D380)</f>
        <v>P201</v>
      </c>
      <c r="E380" s="5">
        <f>IF('Raw RetailSalesData'!E380="",'Raw RetailSalesData'!F380/'Raw RetailSalesData'!G380,'Raw RetailSalesData'!E380)</f>
        <v>18</v>
      </c>
      <c r="F380" s="7">
        <f>IF('Raw RetailSalesData'!F380="",'Raw RetailSalesData'!G380/'Raw RetailSalesData'!E380,'Raw RetailSalesData'!F380)</f>
        <v>70</v>
      </c>
      <c r="G380" s="7">
        <f t="shared" si="5"/>
        <v>1260</v>
      </c>
      <c r="H380" s="5" t="str">
        <f>IF('Raw RetailSalesData'!H380="","Unknown",'Raw RetailSalesData'!H380)</f>
        <v>APAC</v>
      </c>
      <c r="I380" t="s">
        <v>71</v>
      </c>
      <c r="J380" t="s">
        <v>72</v>
      </c>
      <c r="K380" t="str">
        <f>TRIM('Raw RetailSalesData'!K380)</f>
        <v>Hiroshi Tanaka</v>
      </c>
      <c r="L380" t="s">
        <v>46</v>
      </c>
    </row>
    <row r="381" spans="1:12" x14ac:dyDescent="0.3">
      <c r="A381" t="str">
        <f>IF(COUNTIF('Raw RetailSalesData'!$A:$L,'Raw RetailSalesData'!A381)=1,'Raw RetailSalesData'!A381,"")</f>
        <v>ORD-10422</v>
      </c>
      <c r="B381" t="str">
        <f>IF('Raw RetailSalesData'!B381="","UNKNOWN",'Raw RetailSalesData'!B381)</f>
        <v xml:space="preserve"> 2023-11-22 </v>
      </c>
      <c r="C381" t="str">
        <f>IF('Raw RetailSalesData'!C381="","UNKNOW",'Raw RetailSalesData'!C381)</f>
        <v>CUST-1003</v>
      </c>
      <c r="D381" t="str">
        <f>IF('Raw RetailSalesData'!D381="","UNKNOW",'Raw RetailSalesData'!D381)</f>
        <v>C301</v>
      </c>
      <c r="E381" s="5">
        <f>IF('Raw RetailSalesData'!E381="",'Raw RetailSalesData'!F381/'Raw RetailSalesData'!G381,'Raw RetailSalesData'!E381)</f>
        <v>8</v>
      </c>
      <c r="F381" s="7">
        <f>IF('Raw RetailSalesData'!F381="",'Raw RetailSalesData'!G381/'Raw RetailSalesData'!E381,'Raw RetailSalesData'!F381)</f>
        <v>50</v>
      </c>
      <c r="G381" s="7">
        <f t="shared" si="5"/>
        <v>400</v>
      </c>
      <c r="H381" s="5" t="str">
        <f>IF('Raw RetailSalesData'!H381="","Unknown",'Raw RetailSalesData'!H381)</f>
        <v>LATAM</v>
      </c>
      <c r="I381" t="s">
        <v>18</v>
      </c>
      <c r="J381" t="s">
        <v>2197</v>
      </c>
      <c r="K381" t="str">
        <f>TRIM('Raw RetailSalesData'!K381)</f>
        <v>Sales Rep 2</v>
      </c>
      <c r="L381" t="s">
        <v>46</v>
      </c>
    </row>
    <row r="382" spans="1:12" x14ac:dyDescent="0.3">
      <c r="A382" t="str">
        <f>IF(COUNTIF('Raw RetailSalesData'!$A:$L,'Raw RetailSalesData'!A382)=1,'Raw RetailSalesData'!A382,"")</f>
        <v>ORD-10423</v>
      </c>
      <c r="B382" t="str">
        <f>IF('Raw RetailSalesData'!B382="","UNKNOWN",'Raw RetailSalesData'!B382)</f>
        <v>2026-04-12</v>
      </c>
      <c r="C382" t="str">
        <f>IF('Raw RetailSalesData'!C382="","UNKNOW",'Raw RetailSalesData'!C382)</f>
        <v>CUST-1050</v>
      </c>
      <c r="D382" t="str">
        <f>IF('Raw RetailSalesData'!D382="","UNKNOW",'Raw RetailSalesData'!D382)</f>
        <v>P201</v>
      </c>
      <c r="E382" s="5">
        <f>IF('Raw RetailSalesData'!E382="",'Raw RetailSalesData'!F382/'Raw RetailSalesData'!G382,'Raw RetailSalesData'!E382)</f>
        <v>17</v>
      </c>
      <c r="F382" s="7">
        <f>IF('Raw RetailSalesData'!F382="",'Raw RetailSalesData'!G382/'Raw RetailSalesData'!E382,'Raw RetailSalesData'!F382)</f>
        <v>70</v>
      </c>
      <c r="G382" s="7">
        <f t="shared" si="5"/>
        <v>1190</v>
      </c>
      <c r="H382" s="5" t="str">
        <f>IF('Raw RetailSalesData'!H382="","Unknown",'Raw RetailSalesData'!H382)</f>
        <v>APAC</v>
      </c>
      <c r="I382" t="s">
        <v>151</v>
      </c>
      <c r="J382" t="s">
        <v>152</v>
      </c>
      <c r="K382" t="str">
        <f>TRIM('Raw RetailSalesData'!K382)</f>
        <v>Aarav Patel</v>
      </c>
      <c r="L382" t="s">
        <v>31</v>
      </c>
    </row>
    <row r="383" spans="1:12" x14ac:dyDescent="0.3">
      <c r="A383" t="str">
        <f>IF(COUNTIF('Raw RetailSalesData'!$A:$L,'Raw RetailSalesData'!A383)=1,'Raw RetailSalesData'!A383,"")</f>
        <v>ORD-10424</v>
      </c>
      <c r="B383" t="str">
        <f>IF('Raw RetailSalesData'!B383="","UNKNOWN",'Raw RetailSalesData'!B383)</f>
        <v>#N/A</v>
      </c>
      <c r="C383" t="str">
        <f>IF('Raw RetailSalesData'!C383="","UNKNOW",'Raw RetailSalesData'!C383)</f>
        <v>CUST-1142</v>
      </c>
      <c r="D383" t="str">
        <f>IF('Raw RetailSalesData'!D383="","UNKNOW",'Raw RetailSalesData'!D383)</f>
        <v>#N/A</v>
      </c>
      <c r="E383" s="5">
        <f>IF('Raw RetailSalesData'!E383="",'Raw RetailSalesData'!F383/'Raw RetailSalesData'!G383,'Raw RetailSalesData'!E383)</f>
        <v>6</v>
      </c>
      <c r="F383" s="7">
        <f>IF('Raw RetailSalesData'!F383="",'Raw RetailSalesData'!G383/'Raw RetailSalesData'!E383,'Raw RetailSalesData'!F383)</f>
        <v>80</v>
      </c>
      <c r="G383" s="7">
        <f t="shared" si="5"/>
        <v>480</v>
      </c>
      <c r="H383" s="5" t="str">
        <f>IF('Raw RetailSalesData'!H383="","Unknown",'Raw RetailSalesData'!H383)</f>
        <v>EMEA</v>
      </c>
      <c r="I383" t="s">
        <v>38</v>
      </c>
      <c r="J383" t="s">
        <v>2190</v>
      </c>
      <c r="K383" t="str">
        <f>TRIM('Raw RetailSalesData'!K383)</f>
        <v>Sales Rep 2</v>
      </c>
      <c r="L383" t="s">
        <v>31</v>
      </c>
    </row>
    <row r="384" spans="1:12" x14ac:dyDescent="0.3">
      <c r="A384" t="str">
        <f>IF(COUNTIF('Raw RetailSalesData'!$A:$L,'Raw RetailSalesData'!A384)=1,'Raw RetailSalesData'!A384,"")</f>
        <v>ORD-10425</v>
      </c>
      <c r="B384" t="str">
        <f>IF('Raw RetailSalesData'!B384="","UNKNOWN",'Raw RetailSalesData'!B384)</f>
        <v>2022-07-08</v>
      </c>
      <c r="C384" t="str">
        <f>IF('Raw RetailSalesData'!C384="","UNKNOW",'Raw RetailSalesData'!C384)</f>
        <v>CUST-1134</v>
      </c>
      <c r="D384" t="str">
        <f>IF('Raw RetailSalesData'!D384="","UNKNOW",'Raw RetailSalesData'!D384)</f>
        <v>P103</v>
      </c>
      <c r="E384" s="5">
        <f>IF('Raw RetailSalesData'!E384="",'Raw RetailSalesData'!F384/'Raw RetailSalesData'!G384,'Raw RetailSalesData'!E384)</f>
        <v>5</v>
      </c>
      <c r="F384" s="7">
        <f>IF('Raw RetailSalesData'!F384="",'Raw RetailSalesData'!G384/'Raw RetailSalesData'!E384,'Raw RetailSalesData'!F384)</f>
        <v>90</v>
      </c>
      <c r="G384" s="7">
        <f t="shared" si="5"/>
        <v>450</v>
      </c>
      <c r="H384" s="5" t="str">
        <f>IF('Raw RetailSalesData'!H384="","Unknown",'Raw RetailSalesData'!H384)</f>
        <v>LATAM</v>
      </c>
      <c r="I384" t="s">
        <v>18</v>
      </c>
      <c r="J384" t="s">
        <v>2197</v>
      </c>
      <c r="K384" t="str">
        <f>TRIM('Raw RetailSalesData'!K384)</f>
        <v>Sales Rep 3</v>
      </c>
      <c r="L384" t="s">
        <v>46</v>
      </c>
    </row>
    <row r="385" spans="1:12" x14ac:dyDescent="0.3">
      <c r="A385" t="str">
        <f>IF(COUNTIF('Raw RetailSalesData'!$A:$L,'Raw RetailSalesData'!A385)=1,'Raw RetailSalesData'!A385,"")</f>
        <v>ORD-10426</v>
      </c>
      <c r="B385" t="str">
        <f>IF('Raw RetailSalesData'!B385="","UNKNOWN",'Raw RetailSalesData'!B385)</f>
        <v>2022-12-15</v>
      </c>
      <c r="C385" t="str">
        <f>IF('Raw RetailSalesData'!C385="","UNKNOW",'Raw RetailSalesData'!C385)</f>
        <v>CUST-1108</v>
      </c>
      <c r="D385" t="str">
        <f>IF('Raw RetailSalesData'!D385="","UNKNOW",'Raw RetailSalesData'!D385)</f>
        <v>C303</v>
      </c>
      <c r="E385" s="5">
        <f>IF('Raw RetailSalesData'!E385="",'Raw RetailSalesData'!F385/'Raw RetailSalesData'!G385,'Raw RetailSalesData'!E385)</f>
        <v>2</v>
      </c>
      <c r="F385" s="7">
        <f>IF('Raw RetailSalesData'!F385="",'Raw RetailSalesData'!G385/'Raw RetailSalesData'!E385,'Raw RetailSalesData'!F385)</f>
        <v>60</v>
      </c>
      <c r="G385" s="7">
        <f t="shared" si="5"/>
        <v>120</v>
      </c>
      <c r="H385" s="5" t="str">
        <f>IF('Raw RetailSalesData'!H385="","Unknown",'Raw RetailSalesData'!H385)</f>
        <v>EMEA</v>
      </c>
      <c r="I385" t="s">
        <v>38</v>
      </c>
      <c r="J385" t="s">
        <v>39</v>
      </c>
      <c r="K385" t="str">
        <f>TRIM('Raw RetailSalesData'!K385)</f>
        <v>Sales Rep 3</v>
      </c>
      <c r="L385" t="s">
        <v>21</v>
      </c>
    </row>
    <row r="386" spans="1:12" x14ac:dyDescent="0.3">
      <c r="A386" t="str">
        <f>IF(COUNTIF('Raw RetailSalesData'!$A:$L,'Raw RetailSalesData'!A386)=1,'Raw RetailSalesData'!A386,"")</f>
        <v>ORD-10427</v>
      </c>
      <c r="B386" t="str">
        <f>IF('Raw RetailSalesData'!B386="","UNKNOWN",'Raw RetailSalesData'!B386)</f>
        <v>2025-07-21</v>
      </c>
      <c r="C386" t="str">
        <f>IF('Raw RetailSalesData'!C386="","UNKNOW",'Raw RetailSalesData'!C386)</f>
        <v>CUST-1013</v>
      </c>
      <c r="D386" t="str">
        <f>IF('Raw RetailSalesData'!D386="","UNKNOW",'Raw RetailSalesData'!D386)</f>
        <v>P201</v>
      </c>
      <c r="E386" s="5">
        <f>IF('Raw RetailSalesData'!E386="",'Raw RetailSalesData'!F386/'Raw RetailSalesData'!G386,'Raw RetailSalesData'!E386)</f>
        <v>10</v>
      </c>
      <c r="F386" s="7">
        <f>IF('Raw RetailSalesData'!F386="",'Raw RetailSalesData'!G386/'Raw RetailSalesData'!E386,'Raw RetailSalesData'!F386)</f>
        <v>75</v>
      </c>
      <c r="G386" s="7">
        <f t="shared" si="5"/>
        <v>750</v>
      </c>
      <c r="H386" s="5" t="str">
        <f>IF('Raw RetailSalesData'!H386="","Unknown",'Raw RetailSalesData'!H386)</f>
        <v>NA</v>
      </c>
      <c r="I386" t="s">
        <v>28</v>
      </c>
      <c r="J386" t="s">
        <v>2196</v>
      </c>
      <c r="K386" t="str">
        <f>TRIM('Raw RetailSalesData'!K386)</f>
        <v>Michael Johnson</v>
      </c>
      <c r="L386" t="s">
        <v>21</v>
      </c>
    </row>
    <row r="387" spans="1:12" x14ac:dyDescent="0.3">
      <c r="A387" t="str">
        <f>IF(COUNTIF('Raw RetailSalesData'!$A:$L,'Raw RetailSalesData'!A387)=1,'Raw RetailSalesData'!A387,"")</f>
        <v>ORD-10428</v>
      </c>
      <c r="B387" t="str">
        <f>IF('Raw RetailSalesData'!B387="","UNKNOWN",'Raw RetailSalesData'!B387)</f>
        <v>2024-02-18</v>
      </c>
      <c r="C387" t="str">
        <f>IF('Raw RetailSalesData'!C387="","UNKNOW",'Raw RetailSalesData'!C387)</f>
        <v>CUST-1068</v>
      </c>
      <c r="D387" t="str">
        <f>IF('Raw RetailSalesData'!D387="","UNKNOW",'Raw RetailSalesData'!D387)</f>
        <v>P103</v>
      </c>
      <c r="E387" s="5">
        <f>IF('Raw RetailSalesData'!E387="",'Raw RetailSalesData'!F387/'Raw RetailSalesData'!G387,'Raw RetailSalesData'!E387)</f>
        <v>20</v>
      </c>
      <c r="F387" s="7">
        <f>IF('Raw RetailSalesData'!F387="",'Raw RetailSalesData'!G387/'Raw RetailSalesData'!E387,'Raw RetailSalesData'!F387)</f>
        <v>95</v>
      </c>
      <c r="G387" s="7">
        <f t="shared" ref="G387:G450" si="6">F387*E387</f>
        <v>1900</v>
      </c>
      <c r="H387" s="5" t="str">
        <f>IF('Raw RetailSalesData'!H387="","Unknown",'Raw RetailSalesData'!H387)</f>
        <v>APAC</v>
      </c>
      <c r="I387" t="s">
        <v>2190</v>
      </c>
      <c r="J387" t="s">
        <v>152</v>
      </c>
      <c r="K387" t="str">
        <f>TRIM('Raw RetailSalesData'!K387)</f>
        <v>Aarav Patel</v>
      </c>
      <c r="L387" t="s">
        <v>21</v>
      </c>
    </row>
    <row r="388" spans="1:12" x14ac:dyDescent="0.3">
      <c r="A388" t="str">
        <f>IF(COUNTIF('Raw RetailSalesData'!$A:$L,'Raw RetailSalesData'!A388)=1,'Raw RetailSalesData'!A388,"")</f>
        <v>ORD-10429</v>
      </c>
      <c r="B388" t="str">
        <f>IF('Raw RetailSalesData'!B388="","UNKNOWN",'Raw RetailSalesData'!B388)</f>
        <v>2024-02-18</v>
      </c>
      <c r="C388" t="str">
        <f>IF('Raw RetailSalesData'!C388="","UNKNOW",'Raw RetailSalesData'!C388)</f>
        <v>CUST-1068</v>
      </c>
      <c r="D388" t="str">
        <f>IF('Raw RetailSalesData'!D388="","UNKNOW",'Raw RetailSalesData'!D388)</f>
        <v>P103</v>
      </c>
      <c r="E388" s="5">
        <f>IF('Raw RetailSalesData'!E388="",'Raw RetailSalesData'!F388/'Raw RetailSalesData'!G388,'Raw RetailSalesData'!E388)</f>
        <v>20</v>
      </c>
      <c r="F388" s="7">
        <f>IF('Raw RetailSalesData'!F388="",'Raw RetailSalesData'!G388/'Raw RetailSalesData'!E388,'Raw RetailSalesData'!F388)</f>
        <v>95</v>
      </c>
      <c r="G388" s="7">
        <f t="shared" si="6"/>
        <v>1900</v>
      </c>
      <c r="H388" s="5" t="str">
        <f>IF('Raw RetailSalesData'!H388="","Unknown",'Raw RetailSalesData'!H388)</f>
        <v>APAC</v>
      </c>
      <c r="I388" t="s">
        <v>151</v>
      </c>
      <c r="J388" t="s">
        <v>152</v>
      </c>
      <c r="K388" t="str">
        <f>TRIM('Raw RetailSalesData'!K388)</f>
        <v>Aarav Patel</v>
      </c>
      <c r="L388" t="s">
        <v>21</v>
      </c>
    </row>
    <row r="389" spans="1:12" x14ac:dyDescent="0.3">
      <c r="A389" t="str">
        <f>IF(COUNTIF('Raw RetailSalesData'!$A:$L,'Raw RetailSalesData'!A389)=1,'Raw RetailSalesData'!A389,"")</f>
        <v>ORD-10430</v>
      </c>
      <c r="B389" t="str">
        <f>IF('Raw RetailSalesData'!B389="","UNKNOWN",'Raw RetailSalesData'!B389)</f>
        <v>2024-04-16</v>
      </c>
      <c r="C389" t="str">
        <f>IF('Raw RetailSalesData'!C389="","UNKNOW",'Raw RetailSalesData'!C389)</f>
        <v>CUST-1065</v>
      </c>
      <c r="D389" t="str">
        <f>IF('Raw RetailSalesData'!D389="","UNKNOW",'Raw RetailSalesData'!D389)</f>
        <v>P203</v>
      </c>
      <c r="E389" s="5">
        <f>IF('Raw RetailSalesData'!E389="",'Raw RetailSalesData'!F389/'Raw RetailSalesData'!G389,'Raw RetailSalesData'!E389)</f>
        <v>17</v>
      </c>
      <c r="F389" s="7">
        <f>IF('Raw RetailSalesData'!F389="",'Raw RetailSalesData'!G389/'Raw RetailSalesData'!E389,'Raw RetailSalesData'!F389)</f>
        <v>73</v>
      </c>
      <c r="G389" s="7">
        <f t="shared" si="6"/>
        <v>1241</v>
      </c>
      <c r="H389" s="5" t="str">
        <f>IF('Raw RetailSalesData'!H389="","Unknown",'Raw RetailSalesData'!H389)</f>
        <v>NA</v>
      </c>
      <c r="I389" t="s">
        <v>28</v>
      </c>
      <c r="J389" t="s">
        <v>2196</v>
      </c>
      <c r="K389" t="str">
        <f>TRIM('Raw RetailSalesData'!K389)</f>
        <v>Michael Johnson</v>
      </c>
      <c r="L389" t="s">
        <v>46</v>
      </c>
    </row>
    <row r="390" spans="1:12" x14ac:dyDescent="0.3">
      <c r="A390" t="str">
        <f>IF(COUNTIF('Raw RetailSalesData'!$A:$L,'Raw RetailSalesData'!A390)=1,'Raw RetailSalesData'!A390,"")</f>
        <v>ORD-10431</v>
      </c>
      <c r="B390" t="str">
        <f>IF('Raw RetailSalesData'!B390="","UNKNOWN",'Raw RetailSalesData'!B390)</f>
        <v>2024-04-16</v>
      </c>
      <c r="C390" t="str">
        <f>IF('Raw RetailSalesData'!C390="","UNKNOW",'Raw RetailSalesData'!C390)</f>
        <v>CUST-1065</v>
      </c>
      <c r="D390" t="str">
        <f>IF('Raw RetailSalesData'!D390="","UNKNOW",'Raw RetailSalesData'!D390)</f>
        <v>P203</v>
      </c>
      <c r="E390" s="5">
        <f>IF('Raw RetailSalesData'!E390="",'Raw RetailSalesData'!F390/'Raw RetailSalesData'!G390,'Raw RetailSalesData'!E390)</f>
        <v>17</v>
      </c>
      <c r="F390" s="7">
        <f>IF('Raw RetailSalesData'!F390="",'Raw RetailSalesData'!G390/'Raw RetailSalesData'!E390,'Raw RetailSalesData'!F390)</f>
        <v>73</v>
      </c>
      <c r="G390" s="7">
        <f t="shared" si="6"/>
        <v>1241</v>
      </c>
      <c r="H390" s="5" t="str">
        <f>IF('Raw RetailSalesData'!H390="","Unknown",'Raw RetailSalesData'!H390)</f>
        <v>NA</v>
      </c>
      <c r="I390" t="s">
        <v>28</v>
      </c>
      <c r="J390" t="s">
        <v>2196</v>
      </c>
      <c r="K390" t="str">
        <f>TRIM('Raw RetailSalesData'!K390)</f>
        <v>Michael Johnson</v>
      </c>
      <c r="L390" t="s">
        <v>46</v>
      </c>
    </row>
    <row r="391" spans="1:12" x14ac:dyDescent="0.3">
      <c r="A391" t="str">
        <f>IF(COUNTIF('Raw RetailSalesData'!$A:$L,'Raw RetailSalesData'!A391)=1,'Raw RetailSalesData'!A391,"")</f>
        <v>ORD-10432</v>
      </c>
      <c r="B391" t="str">
        <f>IF('Raw RetailSalesData'!B391="","UNKNOWN",'Raw RetailSalesData'!B391)</f>
        <v>2025-04-14</v>
      </c>
      <c r="C391" t="str">
        <f>IF('Raw RetailSalesData'!C391="","UNKNOW",'Raw RetailSalesData'!C391)</f>
        <v>CUST-1175</v>
      </c>
      <c r="D391" t="str">
        <f>IF('Raw RetailSalesData'!D391="","UNKNOW",'Raw RetailSalesData'!D391)</f>
        <v>C303</v>
      </c>
      <c r="E391" s="5">
        <f>IF('Raw RetailSalesData'!E391="",'Raw RetailSalesData'!F391/'Raw RetailSalesData'!G391,'Raw RetailSalesData'!E391)</f>
        <v>5.8823529411764705E-2</v>
      </c>
      <c r="F391" s="7">
        <f>IF('Raw RetailSalesData'!F391="",'Raw RetailSalesData'!G391/'Raw RetailSalesData'!E391,'Raw RetailSalesData'!F391)</f>
        <v>60</v>
      </c>
      <c r="G391" s="7">
        <f t="shared" si="6"/>
        <v>3.5294117647058822</v>
      </c>
      <c r="H391" s="5" t="str">
        <f>IF('Raw RetailSalesData'!H391="","Unknown",'Raw RetailSalesData'!H391)</f>
        <v>APAC</v>
      </c>
      <c r="I391" t="s">
        <v>183</v>
      </c>
      <c r="J391" t="s">
        <v>184</v>
      </c>
      <c r="K391" t="str">
        <f>TRIM('Raw RetailSalesData'!K391)</f>
        <v>Sales Rep 5</v>
      </c>
      <c r="L391" t="s">
        <v>21</v>
      </c>
    </row>
    <row r="392" spans="1:12" x14ac:dyDescent="0.3">
      <c r="A392" t="str">
        <f>IF(COUNTIF('Raw RetailSalesData'!$A:$L,'Raw RetailSalesData'!A392)=1,'Raw RetailSalesData'!A392,"")</f>
        <v>ORD-10433</v>
      </c>
      <c r="B392" t="str">
        <f>IF('Raw RetailSalesData'!B392="","UNKNOWN",'Raw RetailSalesData'!B392)</f>
        <v>2022-05-13</v>
      </c>
      <c r="C392" t="str">
        <f>IF('Raw RetailSalesData'!C392="","UNKNOW",'Raw RetailSalesData'!C392)</f>
        <v>CUST-1120</v>
      </c>
      <c r="D392" t="str">
        <f>IF('Raw RetailSalesData'!D392="","UNKNOW",'Raw RetailSalesData'!D392)</f>
        <v>P203</v>
      </c>
      <c r="E392" s="5">
        <f>IF('Raw RetailSalesData'!E392="",'Raw RetailSalesData'!F392/'Raw RetailSalesData'!G392,'Raw RetailSalesData'!E392)</f>
        <v>14</v>
      </c>
      <c r="F392" s="7">
        <f>IF('Raw RetailSalesData'!F392="",'Raw RetailSalesData'!G392/'Raw RetailSalesData'!E392,'Raw RetailSalesData'!F392)</f>
        <v>68</v>
      </c>
      <c r="G392" s="7">
        <f t="shared" si="6"/>
        <v>952</v>
      </c>
      <c r="H392" s="5" t="str">
        <f>IF('Raw RetailSalesData'!H392="","Unknown",'Raw RetailSalesData'!H392)</f>
        <v>EMEA</v>
      </c>
      <c r="I392" t="s">
        <v>225</v>
      </c>
      <c r="J392" t="s">
        <v>226</v>
      </c>
      <c r="K392" t="str">
        <f>TRIM('Raw RetailSalesData'!K392)</f>
        <v>Sales Rep 1</v>
      </c>
      <c r="L392" t="s">
        <v>46</v>
      </c>
    </row>
    <row r="393" spans="1:12" x14ac:dyDescent="0.3">
      <c r="A393" t="str">
        <f>IF(COUNTIF('Raw RetailSalesData'!$A:$L,'Raw RetailSalesData'!A393)=1,'Raw RetailSalesData'!A393,"")</f>
        <v>ORD-10434</v>
      </c>
      <c r="B393" t="str">
        <f>IF('Raw RetailSalesData'!B393="","UNKNOWN",'Raw RetailSalesData'!B393)</f>
        <v>2024-03-10</v>
      </c>
      <c r="C393" t="str">
        <f>IF('Raw RetailSalesData'!C393="","UNKNOW",'Raw RetailSalesData'!C393)</f>
        <v xml:space="preserve"> CUST-1125 </v>
      </c>
      <c r="D393" t="str">
        <f>IF('Raw RetailSalesData'!D393="","UNKNOW",'Raw RetailSalesData'!D393)</f>
        <v>P101</v>
      </c>
      <c r="E393" s="5">
        <f>IF('Raw RetailSalesData'!E393="",'Raw RetailSalesData'!F393/'Raw RetailSalesData'!G393,'Raw RetailSalesData'!E393)</f>
        <v>17</v>
      </c>
      <c r="F393" s="7">
        <f>IF('Raw RetailSalesData'!F393="",'Raw RetailSalesData'!G393/'Raw RetailSalesData'!E393,'Raw RetailSalesData'!F393)</f>
        <v>85</v>
      </c>
      <c r="G393" s="7">
        <f t="shared" si="6"/>
        <v>1445</v>
      </c>
      <c r="H393" s="5" t="str">
        <f>IF('Raw RetailSalesData'!H393="","Unknown",'Raw RetailSalesData'!H393)</f>
        <v>APAC</v>
      </c>
      <c r="I393" t="s">
        <v>183</v>
      </c>
      <c r="J393" t="s">
        <v>184</v>
      </c>
      <c r="K393" t="str">
        <f>TRIM('Raw RetailSalesData'!K393)</f>
        <v>Sales Rep 2</v>
      </c>
      <c r="L393" t="s">
        <v>31</v>
      </c>
    </row>
    <row r="394" spans="1:12" x14ac:dyDescent="0.3">
      <c r="A394" t="str">
        <f>IF(COUNTIF('Raw RetailSalesData'!$A:$L,'Raw RetailSalesData'!A394)=1,'Raw RetailSalesData'!A394,"")</f>
        <v>ORD-10435</v>
      </c>
      <c r="B394" t="str">
        <f>IF('Raw RetailSalesData'!B394="","UNKNOWN",'Raw RetailSalesData'!B394)</f>
        <v>#N/A</v>
      </c>
      <c r="C394" t="str">
        <f>IF('Raw RetailSalesData'!C394="","UNKNOW",'Raw RetailSalesData'!C394)</f>
        <v>CUST-1171</v>
      </c>
      <c r="D394" t="str">
        <f>IF('Raw RetailSalesData'!D394="","UNKNOW",'Raw RetailSalesData'!D394)</f>
        <v>P202</v>
      </c>
      <c r="E394" s="5">
        <f>IF('Raw RetailSalesData'!E394="",'Raw RetailSalesData'!F394/'Raw RetailSalesData'!G394,'Raw RetailSalesData'!E394)</f>
        <v>17</v>
      </c>
      <c r="F394" s="7">
        <f>IF('Raw RetailSalesData'!F394="",'Raw RetailSalesData'!G394/'Raw RetailSalesData'!E394,'Raw RetailSalesData'!F394)</f>
        <v>60</v>
      </c>
      <c r="G394" s="7">
        <f t="shared" si="6"/>
        <v>1020</v>
      </c>
      <c r="H394" s="5" t="str">
        <f>IF('Raw RetailSalesData'!H394="","Unknown",'Raw RetailSalesData'!H394)</f>
        <v>LATAM</v>
      </c>
      <c r="I394" t="s">
        <v>18</v>
      </c>
      <c r="J394" t="s">
        <v>2197</v>
      </c>
      <c r="K394" t="str">
        <f>TRIM('Raw RetailSalesData'!K394)</f>
        <v>Sales Rep 5</v>
      </c>
      <c r="L394" t="s">
        <v>21</v>
      </c>
    </row>
    <row r="395" spans="1:12" x14ac:dyDescent="0.3">
      <c r="A395" t="str">
        <f>IF(COUNTIF('Raw RetailSalesData'!$A:$L,'Raw RetailSalesData'!A395)=1,'Raw RetailSalesData'!A395,"")</f>
        <v>ORD-10436</v>
      </c>
      <c r="B395" t="str">
        <f>IF('Raw RetailSalesData'!B395="","UNKNOWN",'Raw RetailSalesData'!B395)</f>
        <v>2023-07-11</v>
      </c>
      <c r="C395" t="str">
        <f>IF('Raw RetailSalesData'!C395="","UNKNOW",'Raw RetailSalesData'!C395)</f>
        <v>CUST-1142</v>
      </c>
      <c r="D395" t="str">
        <f>IF('Raw RetailSalesData'!D395="","UNKNOW",'Raw RetailSalesData'!D395)</f>
        <v>C302</v>
      </c>
      <c r="E395" s="5">
        <f>IF('Raw RetailSalesData'!E395="",'Raw RetailSalesData'!F395/'Raw RetailSalesData'!G395,'Raw RetailSalesData'!E395)</f>
        <v>2</v>
      </c>
      <c r="F395" s="7">
        <f>IF('Raw RetailSalesData'!F395="",'Raw RetailSalesData'!G395/'Raw RetailSalesData'!E395,'Raw RetailSalesData'!F395)</f>
        <v>55</v>
      </c>
      <c r="G395" s="7">
        <f t="shared" si="6"/>
        <v>110</v>
      </c>
      <c r="H395" s="5" t="str">
        <f>IF('Raw RetailSalesData'!H395="","Unknown",'Raw RetailSalesData'!H395)</f>
        <v>NA</v>
      </c>
      <c r="I395" t="s">
        <v>100</v>
      </c>
      <c r="J395" t="s">
        <v>101</v>
      </c>
      <c r="K395" t="str">
        <f>TRIM('Raw RetailSalesData'!K395)</f>
        <v>Sales Rep 2</v>
      </c>
      <c r="L395" t="s">
        <v>31</v>
      </c>
    </row>
    <row r="396" spans="1:12" x14ac:dyDescent="0.3">
      <c r="A396" t="str">
        <f>IF(COUNTIF('Raw RetailSalesData'!$A:$L,'Raw RetailSalesData'!A396)=1,'Raw RetailSalesData'!A396,"")</f>
        <v>ORD-10437</v>
      </c>
      <c r="B396" t="str">
        <f>IF('Raw RetailSalesData'!B396="","UNKNOWN",'Raw RetailSalesData'!B396)</f>
        <v xml:space="preserve"> 2025-04-19 </v>
      </c>
      <c r="C396" t="str">
        <f>IF('Raw RetailSalesData'!C396="","UNKNOW",'Raw RetailSalesData'!C396)</f>
        <v>CUST-1075</v>
      </c>
      <c r="D396" t="str">
        <f>IF('Raw RetailSalesData'!D396="","UNKNOW",'Raw RetailSalesData'!D396)</f>
        <v>P202</v>
      </c>
      <c r="E396" s="5">
        <f>IF('Raw RetailSalesData'!E396="",'Raw RetailSalesData'!F396/'Raw RetailSalesData'!G396,'Raw RetailSalesData'!E396)</f>
        <v>20</v>
      </c>
      <c r="F396" s="7">
        <f>IF('Raw RetailSalesData'!F396="",'Raw RetailSalesData'!G396/'Raw RetailSalesData'!E396,'Raw RetailSalesData'!F396)</f>
        <v>65</v>
      </c>
      <c r="G396" s="7">
        <f t="shared" si="6"/>
        <v>1300</v>
      </c>
      <c r="H396" s="5" t="str">
        <f>IF('Raw RetailSalesData'!H396="","Unknown",'Raw RetailSalesData'!H396)</f>
        <v>APAC</v>
      </c>
      <c r="I396" t="s">
        <v>151</v>
      </c>
      <c r="J396" t="s">
        <v>188</v>
      </c>
      <c r="K396" t="str">
        <f>TRIM('Raw RetailSalesData'!K396)</f>
        <v>Sales Rep 5</v>
      </c>
      <c r="L396" t="s">
        <v>21</v>
      </c>
    </row>
    <row r="397" spans="1:12" x14ac:dyDescent="0.3">
      <c r="A397" t="str">
        <f>IF(COUNTIF('Raw RetailSalesData'!$A:$L,'Raw RetailSalesData'!A397)=1,'Raw RetailSalesData'!A397,"")</f>
        <v>ORD-10438</v>
      </c>
      <c r="B397" t="str">
        <f>IF('Raw RetailSalesData'!B397="","UNKNOWN",'Raw RetailSalesData'!B397)</f>
        <v xml:space="preserve"> 2022-01-02 </v>
      </c>
      <c r="C397" t="str">
        <f>IF('Raw RetailSalesData'!C397="","UNKNOW",'Raw RetailSalesData'!C397)</f>
        <v>CUST-1164</v>
      </c>
      <c r="D397" t="str">
        <f>IF('Raw RetailSalesData'!D397="","UNKNOW",'Raw RetailSalesData'!D397)</f>
        <v>P101</v>
      </c>
      <c r="E397" s="5">
        <f>IF('Raw RetailSalesData'!E397="",'Raw RetailSalesData'!F397/'Raw RetailSalesData'!G397,'Raw RetailSalesData'!E397)</f>
        <v>1</v>
      </c>
      <c r="F397" s="7">
        <f>IF('Raw RetailSalesData'!F397="",'Raw RetailSalesData'!G397/'Raw RetailSalesData'!E397,'Raw RetailSalesData'!F397)</f>
        <v>80</v>
      </c>
      <c r="G397" s="7">
        <f t="shared" si="6"/>
        <v>80</v>
      </c>
      <c r="H397" s="5" t="str">
        <f>IF('Raw RetailSalesData'!H397="","Unknown",'Raw RetailSalesData'!H397)</f>
        <v>LATAM</v>
      </c>
      <c r="I397" t="s">
        <v>90</v>
      </c>
      <c r="J397" t="s">
        <v>2198</v>
      </c>
      <c r="K397" t="str">
        <f>TRIM('Raw RetailSalesData'!K397)</f>
        <v>Sales Rep 1</v>
      </c>
      <c r="L397" t="s">
        <v>46</v>
      </c>
    </row>
    <row r="398" spans="1:12" x14ac:dyDescent="0.3">
      <c r="A398" t="str">
        <f>IF(COUNTIF('Raw RetailSalesData'!$A:$L,'Raw RetailSalesData'!A398)=1,'Raw RetailSalesData'!A398,"")</f>
        <v>ORD-10439</v>
      </c>
      <c r="B398" t="str">
        <f>IF('Raw RetailSalesData'!B398="","UNKNOWN",'Raw RetailSalesData'!B398)</f>
        <v>2023-10-11</v>
      </c>
      <c r="C398" t="str">
        <f>IF('Raw RetailSalesData'!C398="","UNKNOW",'Raw RetailSalesData'!C398)</f>
        <v>CUST-1149</v>
      </c>
      <c r="D398" t="str">
        <f>IF('Raw RetailSalesData'!D398="","UNKNOW",'Raw RetailSalesData'!D398)</f>
        <v>P201</v>
      </c>
      <c r="E398" s="5">
        <f>IF('Raw RetailSalesData'!E398="",'Raw RetailSalesData'!F398/'Raw RetailSalesData'!G398,'Raw RetailSalesData'!E398)</f>
        <v>9</v>
      </c>
      <c r="F398" s="7">
        <f>IF('Raw RetailSalesData'!F398="",'Raw RetailSalesData'!G398/'Raw RetailSalesData'!E398,'Raw RetailSalesData'!F398)</f>
        <v>75</v>
      </c>
      <c r="G398" s="7">
        <f t="shared" si="6"/>
        <v>675</v>
      </c>
      <c r="H398" s="5" t="str">
        <f>IF('Raw RetailSalesData'!H398="","Unknown",'Raw RetailSalesData'!H398)</f>
        <v>NA</v>
      </c>
      <c r="I398" t="s">
        <v>28</v>
      </c>
      <c r="J398" t="s">
        <v>29</v>
      </c>
      <c r="K398" t="str">
        <f>TRIM('Raw RetailSalesData'!K398)</f>
        <v>Sales Rep 2</v>
      </c>
      <c r="L398" t="s">
        <v>31</v>
      </c>
    </row>
    <row r="399" spans="1:12" x14ac:dyDescent="0.3">
      <c r="A399" t="str">
        <f>IF(COUNTIF('Raw RetailSalesData'!$A:$L,'Raw RetailSalesData'!A399)=1,'Raw RetailSalesData'!A399,"")</f>
        <v>ORD-10440</v>
      </c>
      <c r="B399" t="str">
        <f>IF('Raw RetailSalesData'!B399="","UNKNOWN",'Raw RetailSalesData'!B399)</f>
        <v>UNKNOWN</v>
      </c>
      <c r="C399" t="str">
        <f>IF('Raw RetailSalesData'!C399="","UNKNOW",'Raw RetailSalesData'!C399)</f>
        <v>CUST-1175</v>
      </c>
      <c r="D399" t="str">
        <f>IF('Raw RetailSalesData'!D399="","UNKNOW",'Raw RetailSalesData'!D399)</f>
        <v>C303</v>
      </c>
      <c r="E399" s="5">
        <f>IF('Raw RetailSalesData'!E399="",'Raw RetailSalesData'!F399/'Raw RetailSalesData'!G399,'Raw RetailSalesData'!E399)</f>
        <v>17</v>
      </c>
      <c r="F399" s="7">
        <f>IF('Raw RetailSalesData'!F399="",'Raw RetailSalesData'!G399/'Raw RetailSalesData'!E399,'Raw RetailSalesData'!F399)</f>
        <v>55</v>
      </c>
      <c r="G399" s="7">
        <f t="shared" si="6"/>
        <v>935</v>
      </c>
      <c r="H399" s="5" t="str">
        <f>IF('Raw RetailSalesData'!H399="","Unknown",'Raw RetailSalesData'!H399)</f>
        <v>LATAM</v>
      </c>
      <c r="I399" t="s">
        <v>90</v>
      </c>
      <c r="J399" t="s">
        <v>2198</v>
      </c>
      <c r="K399" t="str">
        <f>TRIM('Raw RetailSalesData'!K399)</f>
        <v>Sales Rep 1</v>
      </c>
      <c r="L399" t="s">
        <v>21</v>
      </c>
    </row>
    <row r="400" spans="1:12" x14ac:dyDescent="0.3">
      <c r="A400" t="str">
        <f>IF(COUNTIF('Raw RetailSalesData'!$A:$L,'Raw RetailSalesData'!A400)=1,'Raw RetailSalesData'!A400,"")</f>
        <v>ORD-10441</v>
      </c>
      <c r="B400" t="str">
        <f>IF('Raw RetailSalesData'!B400="","UNKNOWN",'Raw RetailSalesData'!B400)</f>
        <v>2025-12-31</v>
      </c>
      <c r="C400" t="str">
        <f>IF('Raw RetailSalesData'!C400="","UNKNOW",'Raw RetailSalesData'!C400)</f>
        <v>CUST-1135</v>
      </c>
      <c r="D400" t="str">
        <f>IF('Raw RetailSalesData'!D400="","UNKNOW",'Raw RetailSalesData'!D400)</f>
        <v>C301</v>
      </c>
      <c r="E400" s="5">
        <f>IF('Raw RetailSalesData'!E400="",'Raw RetailSalesData'!F400/'Raw RetailSalesData'!G400,'Raw RetailSalesData'!E400)</f>
        <v>8</v>
      </c>
      <c r="F400" s="7">
        <f>IF('Raw RetailSalesData'!F400="",'Raw RetailSalesData'!G400/'Raw RetailSalesData'!E400,'Raw RetailSalesData'!F400)</f>
        <v>50</v>
      </c>
      <c r="G400" s="7">
        <f t="shared" si="6"/>
        <v>400</v>
      </c>
      <c r="H400" s="5" t="str">
        <f>IF('Raw RetailSalesData'!H400="","Unknown",'Raw RetailSalesData'!H400)</f>
        <v>LATAM</v>
      </c>
      <c r="I400" t="s">
        <v>18</v>
      </c>
      <c r="J400" t="s">
        <v>2197</v>
      </c>
      <c r="K400" t="str">
        <f>TRIM('Raw RetailSalesData'!K400)</f>
        <v>Sales Rep 5</v>
      </c>
      <c r="L400" t="s">
        <v>46</v>
      </c>
    </row>
    <row r="401" spans="1:12" x14ac:dyDescent="0.3">
      <c r="A401" t="str">
        <f>IF(COUNTIF('Raw RetailSalesData'!$A:$L,'Raw RetailSalesData'!A401)=1,'Raw RetailSalesData'!A401,"")</f>
        <v>ORD-10442</v>
      </c>
      <c r="B401" t="str">
        <f>IF('Raw RetailSalesData'!B401="","UNKNOWN",'Raw RetailSalesData'!B401)</f>
        <v>2025-08-09</v>
      </c>
      <c r="C401" t="str">
        <f>IF('Raw RetailSalesData'!C401="","UNKNOW",'Raw RetailSalesData'!C401)</f>
        <v>CUST-1081</v>
      </c>
      <c r="D401" t="str">
        <f>IF('Raw RetailSalesData'!D401="","UNKNOW",'Raw RetailSalesData'!D401)</f>
        <v>P101</v>
      </c>
      <c r="E401" s="5">
        <f>IF('Raw RetailSalesData'!E401="",'Raw RetailSalesData'!F401/'Raw RetailSalesData'!G401,'Raw RetailSalesData'!E401)</f>
        <v>10</v>
      </c>
      <c r="F401" s="7">
        <f>IF('Raw RetailSalesData'!F401="",'Raw RetailSalesData'!G401/'Raw RetailSalesData'!E401,'Raw RetailSalesData'!F401)</f>
        <v>80</v>
      </c>
      <c r="G401" s="7">
        <f t="shared" si="6"/>
        <v>800</v>
      </c>
      <c r="H401" s="5" t="str">
        <f>IF('Raw RetailSalesData'!H401="","Unknown",'Raw RetailSalesData'!H401)</f>
        <v>LATAM</v>
      </c>
      <c r="I401" t="s">
        <v>90</v>
      </c>
      <c r="J401" t="s">
        <v>2198</v>
      </c>
      <c r="K401" t="str">
        <f>TRIM('Raw RetailSalesData'!K401)</f>
        <v>Sales Rep 2</v>
      </c>
      <c r="L401" t="s">
        <v>21</v>
      </c>
    </row>
    <row r="402" spans="1:12" x14ac:dyDescent="0.3">
      <c r="A402" t="str">
        <f>IF(COUNTIF('Raw RetailSalesData'!$A:$L,'Raw RetailSalesData'!A402)=1,'Raw RetailSalesData'!A402,"")</f>
        <v>ORD-10443</v>
      </c>
      <c r="B402" t="str">
        <f>IF('Raw RetailSalesData'!B402="","UNKNOWN",'Raw RetailSalesData'!B402)</f>
        <v>2026-03-29</v>
      </c>
      <c r="C402" t="str">
        <f>IF('Raw RetailSalesData'!C402="","UNKNOW",'Raw RetailSalesData'!C402)</f>
        <v>CUST-1013</v>
      </c>
      <c r="D402" t="str">
        <f>IF('Raw RetailSalesData'!D402="","UNKNOW",'Raw RetailSalesData'!D402)</f>
        <v>P101</v>
      </c>
      <c r="E402" s="5">
        <f>IF('Raw RetailSalesData'!E402="",'Raw RetailSalesData'!F402/'Raw RetailSalesData'!G402,'Raw RetailSalesData'!E402)</f>
        <v>13</v>
      </c>
      <c r="F402" s="7">
        <f>IF('Raw RetailSalesData'!F402="",'Raw RetailSalesData'!G402/'Raw RetailSalesData'!E402,'Raw RetailSalesData'!F402)</f>
        <v>80</v>
      </c>
      <c r="G402" s="7">
        <f t="shared" si="6"/>
        <v>1040</v>
      </c>
      <c r="H402" s="5" t="str">
        <f>IF('Raw RetailSalesData'!H402="","Unknown",'Raw RetailSalesData'!H402)</f>
        <v>LATAM</v>
      </c>
      <c r="I402" t="s">
        <v>18</v>
      </c>
      <c r="J402" t="s">
        <v>2197</v>
      </c>
      <c r="K402" t="str">
        <f>TRIM('Raw RetailSalesData'!K402)</f>
        <v>Sales Rep 4</v>
      </c>
      <c r="L402" t="s">
        <v>31</v>
      </c>
    </row>
    <row r="403" spans="1:12" x14ac:dyDescent="0.3">
      <c r="A403" t="str">
        <f>IF(COUNTIF('Raw RetailSalesData'!$A:$L,'Raw RetailSalesData'!A403)=1,'Raw RetailSalesData'!A403,"")</f>
        <v>ORD-10444</v>
      </c>
      <c r="B403" t="str">
        <f>IF('Raw RetailSalesData'!B403="","UNKNOWN",'Raw RetailSalesData'!B403)</f>
        <v>2023-12-31</v>
      </c>
      <c r="C403" t="str">
        <f>IF('Raw RetailSalesData'!C403="","UNKNOW",'Raw RetailSalesData'!C403)</f>
        <v>CUST-1009</v>
      </c>
      <c r="D403" t="str">
        <f>IF('Raw RetailSalesData'!D403="","UNKNOW",'Raw RetailSalesData'!D403)</f>
        <v>P103</v>
      </c>
      <c r="E403" s="5">
        <f>IF('Raw RetailSalesData'!E403="",'Raw RetailSalesData'!F403/'Raw RetailSalesData'!G403,'Raw RetailSalesData'!E403)</f>
        <v>15</v>
      </c>
      <c r="F403" s="7">
        <f>IF('Raw RetailSalesData'!F403="",'Raw RetailSalesData'!G403/'Raw RetailSalesData'!E403,'Raw RetailSalesData'!F403)</f>
        <v>95</v>
      </c>
      <c r="G403" s="7">
        <f t="shared" si="6"/>
        <v>1425</v>
      </c>
      <c r="H403" s="5" t="str">
        <f>IF('Raw RetailSalesData'!H403="","Unknown",'Raw RetailSalesData'!H403)</f>
        <v>Unknown</v>
      </c>
      <c r="I403" t="s">
        <v>225</v>
      </c>
      <c r="J403" t="s">
        <v>226</v>
      </c>
      <c r="K403" t="str">
        <f>TRIM('Raw RetailSalesData'!K403)</f>
        <v>Sales Rep 4</v>
      </c>
      <c r="L403" t="s">
        <v>46</v>
      </c>
    </row>
    <row r="404" spans="1:12" x14ac:dyDescent="0.3">
      <c r="A404" t="str">
        <f>IF(COUNTIF('Raw RetailSalesData'!$A:$L,'Raw RetailSalesData'!A404)=1,'Raw RetailSalesData'!A404,"")</f>
        <v>ORD-10445</v>
      </c>
      <c r="B404" t="str">
        <f>IF('Raw RetailSalesData'!B404="","UNKNOWN",'Raw RetailSalesData'!B404)</f>
        <v>2023-05-01</v>
      </c>
      <c r="C404" t="str">
        <f>IF('Raw RetailSalesData'!C404="","UNKNOW",'Raw RetailSalesData'!C404)</f>
        <v>CUST-1016</v>
      </c>
      <c r="D404" t="str">
        <f>IF('Raw RetailSalesData'!D404="","UNKNOW",'Raw RetailSalesData'!D404)</f>
        <v>C303</v>
      </c>
      <c r="E404" s="5">
        <f>IF('Raw RetailSalesData'!E404="",'Raw RetailSalesData'!F404/'Raw RetailSalesData'!G404,'Raw RetailSalesData'!E404)</f>
        <v>9</v>
      </c>
      <c r="F404" s="7">
        <f>IF('Raw RetailSalesData'!F404="",'Raw RetailSalesData'!G404/'Raw RetailSalesData'!E404,'Raw RetailSalesData'!F404)</f>
        <v>55</v>
      </c>
      <c r="G404" s="7">
        <f t="shared" si="6"/>
        <v>495</v>
      </c>
      <c r="H404" s="5" t="str">
        <f>IF('Raw RetailSalesData'!H404="","Unknown",'Raw RetailSalesData'!H404)</f>
        <v>LATAM</v>
      </c>
      <c r="I404" t="s">
        <v>90</v>
      </c>
      <c r="J404" t="s">
        <v>2198</v>
      </c>
      <c r="K404" t="str">
        <f>TRIM('Raw RetailSalesData'!K404)</f>
        <v>#N/A</v>
      </c>
      <c r="L404" t="s">
        <v>31</v>
      </c>
    </row>
    <row r="405" spans="1:12" x14ac:dyDescent="0.3">
      <c r="A405" t="str">
        <f>IF(COUNTIF('Raw RetailSalesData'!$A:$L,'Raw RetailSalesData'!A405)=1,'Raw RetailSalesData'!A405,"")</f>
        <v>ORD-10446</v>
      </c>
      <c r="B405" t="str">
        <f>IF('Raw RetailSalesData'!B405="","UNKNOWN",'Raw RetailSalesData'!B405)</f>
        <v>2024-10-18</v>
      </c>
      <c r="C405" t="str">
        <f>IF('Raw RetailSalesData'!C405="","UNKNOW",'Raw RetailSalesData'!C405)</f>
        <v>CUST-1064</v>
      </c>
      <c r="D405" t="str">
        <f>IF('Raw RetailSalesData'!D405="","UNKNOW",'Raw RetailSalesData'!D405)</f>
        <v>C302</v>
      </c>
      <c r="E405" s="5">
        <f>IF('Raw RetailSalesData'!E405="",'Raw RetailSalesData'!F405/'Raw RetailSalesData'!G405,'Raw RetailSalesData'!E405)</f>
        <v>18</v>
      </c>
      <c r="F405" s="7">
        <f>IF('Raw RetailSalesData'!F405="",'Raw RetailSalesData'!G405/'Raw RetailSalesData'!E405,'Raw RetailSalesData'!F405)</f>
        <v>50</v>
      </c>
      <c r="G405" s="7">
        <f t="shared" si="6"/>
        <v>900</v>
      </c>
      <c r="H405" s="5" t="str">
        <f>IF('Raw RetailSalesData'!H405="","Unknown",'Raw RetailSalesData'!H405)</f>
        <v>APAC</v>
      </c>
      <c r="I405" t="s">
        <v>71</v>
      </c>
      <c r="J405" t="s">
        <v>72</v>
      </c>
      <c r="K405" t="str">
        <f>TRIM('Raw RetailSalesData'!K405)</f>
        <v>Hiroshi Tanaka</v>
      </c>
      <c r="L405" t="s">
        <v>46</v>
      </c>
    </row>
    <row r="406" spans="1:12" x14ac:dyDescent="0.3">
      <c r="A406" t="str">
        <f>IF(COUNTIF('Raw RetailSalesData'!$A:$L,'Raw RetailSalesData'!A406)=1,'Raw RetailSalesData'!A406,"")</f>
        <v>ORD-10447</v>
      </c>
      <c r="B406" t="str">
        <f>IF('Raw RetailSalesData'!B406="","UNKNOWN",'Raw RetailSalesData'!B406)</f>
        <v>2022-02-19</v>
      </c>
      <c r="C406" t="str">
        <f>IF('Raw RetailSalesData'!C406="","UNKNOW",'Raw RetailSalesData'!C406)</f>
        <v>CUST-1177</v>
      </c>
      <c r="D406" t="str">
        <f>IF('Raw RetailSalesData'!D406="","UNKNOW",'Raw RetailSalesData'!D406)</f>
        <v>P101</v>
      </c>
      <c r="E406" s="5">
        <f>IF('Raw RetailSalesData'!E406="",'Raw RetailSalesData'!F406/'Raw RetailSalesData'!G406,'Raw RetailSalesData'!E406)</f>
        <v>6</v>
      </c>
      <c r="F406" s="7">
        <f>IF('Raw RetailSalesData'!F406="",'Raw RetailSalesData'!G406/'Raw RetailSalesData'!E406,'Raw RetailSalesData'!F406)</f>
        <v>90</v>
      </c>
      <c r="G406" s="7">
        <f t="shared" si="6"/>
        <v>540</v>
      </c>
      <c r="H406" s="5" t="str">
        <f>IF('Raw RetailSalesData'!H406="","Unknown",'Raw RetailSalesData'!H406)</f>
        <v>NA</v>
      </c>
      <c r="I406" t="s">
        <v>28</v>
      </c>
      <c r="J406" t="s">
        <v>29</v>
      </c>
      <c r="K406" t="str">
        <f>TRIM('Raw RetailSalesData'!K406)</f>
        <v>Sales Rep 5</v>
      </c>
      <c r="L406" t="s">
        <v>21</v>
      </c>
    </row>
    <row r="407" spans="1:12" x14ac:dyDescent="0.3">
      <c r="A407" t="str">
        <f>IF(COUNTIF('Raw RetailSalesData'!$A:$L,'Raw RetailSalesData'!A407)=1,'Raw RetailSalesData'!A407,"")</f>
        <v>ORD-10448</v>
      </c>
      <c r="B407" t="str">
        <f>IF('Raw RetailSalesData'!B407="","UNKNOWN",'Raw RetailSalesData'!B407)</f>
        <v>2023-08-27</v>
      </c>
      <c r="C407" t="str">
        <f>IF('Raw RetailSalesData'!C407="","UNKNOW",'Raw RetailSalesData'!C407)</f>
        <v>CUST-1119</v>
      </c>
      <c r="D407" t="str">
        <f>IF('Raw RetailSalesData'!D407="","UNKNOW",'Raw RetailSalesData'!D407)</f>
        <v>C303</v>
      </c>
      <c r="E407" s="5">
        <f>IF('Raw RetailSalesData'!E407="",'Raw RetailSalesData'!F407/'Raw RetailSalesData'!G407,'Raw RetailSalesData'!E407)</f>
        <v>4</v>
      </c>
      <c r="F407" s="7">
        <f>IF('Raw RetailSalesData'!F407="",'Raw RetailSalesData'!G407/'Raw RetailSalesData'!E407,'Raw RetailSalesData'!F407)</f>
        <v>60</v>
      </c>
      <c r="G407" s="7">
        <f t="shared" si="6"/>
        <v>240</v>
      </c>
      <c r="H407" s="5" t="str">
        <f>IF('Raw RetailSalesData'!H407="","Unknown",'Raw RetailSalesData'!H407)</f>
        <v>Unknown</v>
      </c>
      <c r="I407" t="s">
        <v>151</v>
      </c>
      <c r="J407" t="s">
        <v>152</v>
      </c>
      <c r="K407" t="str">
        <f>TRIM('Raw RetailSalesData'!K407)</f>
        <v>Aarav Patel</v>
      </c>
      <c r="L407" t="s">
        <v>31</v>
      </c>
    </row>
    <row r="408" spans="1:12" x14ac:dyDescent="0.3">
      <c r="A408" t="str">
        <f>IF(COUNTIF('Raw RetailSalesData'!$A:$L,'Raw RetailSalesData'!A408)=1,'Raw RetailSalesData'!A408,"")</f>
        <v>ORD-10449</v>
      </c>
      <c r="B408" t="str">
        <f>IF('Raw RetailSalesData'!B408="","UNKNOWN",'Raw RetailSalesData'!B408)</f>
        <v>2026-09-01</v>
      </c>
      <c r="C408" t="str">
        <f>IF('Raw RetailSalesData'!C408="","UNKNOW",'Raw RetailSalesData'!C408)</f>
        <v>CUST-1095</v>
      </c>
      <c r="D408" t="str">
        <f>IF('Raw RetailSalesData'!D408="","UNKNOW",'Raw RetailSalesData'!D408)</f>
        <v>P103</v>
      </c>
      <c r="E408" s="5">
        <f>IF('Raw RetailSalesData'!E408="",'Raw RetailSalesData'!F408/'Raw RetailSalesData'!G408,'Raw RetailSalesData'!E408)</f>
        <v>2</v>
      </c>
      <c r="F408" s="7">
        <f>IF('Raw RetailSalesData'!F408="",'Raw RetailSalesData'!G408/'Raw RetailSalesData'!E408,'Raw RetailSalesData'!F408)</f>
        <v>90</v>
      </c>
      <c r="G408" s="7">
        <f t="shared" si="6"/>
        <v>180</v>
      </c>
      <c r="H408" s="5" t="str">
        <f>IF('Raw RetailSalesData'!H408="","Unknown",'Raw RetailSalesData'!H408)</f>
        <v xml:space="preserve"> LATAM </v>
      </c>
      <c r="I408" t="s">
        <v>18</v>
      </c>
      <c r="J408" t="s">
        <v>2197</v>
      </c>
      <c r="K408" t="str">
        <f>TRIM('Raw RetailSalesData'!K408)</f>
        <v>Sales Rep 1</v>
      </c>
      <c r="L408" t="s">
        <v>46</v>
      </c>
    </row>
    <row r="409" spans="1:12" x14ac:dyDescent="0.3">
      <c r="A409" t="str">
        <f>IF(COUNTIF('Raw RetailSalesData'!$A:$L,'Raw RetailSalesData'!A409)=1,'Raw RetailSalesData'!A409,"")</f>
        <v>ORD-10450</v>
      </c>
      <c r="B409" t="str">
        <f>IF('Raw RetailSalesData'!B409="","UNKNOWN",'Raw RetailSalesData'!B409)</f>
        <v>2024-01-25</v>
      </c>
      <c r="C409" t="str">
        <f>IF('Raw RetailSalesData'!C409="","UNKNOW",'Raw RetailSalesData'!C409)</f>
        <v>CUST-1016</v>
      </c>
      <c r="D409" t="str">
        <f>IF('Raw RetailSalesData'!D409="","UNKNOW",'Raw RetailSalesData'!D409)</f>
        <v xml:space="preserve"> P203 </v>
      </c>
      <c r="E409" s="5">
        <f>IF('Raw RetailSalesData'!E409="",'Raw RetailSalesData'!F409/'Raw RetailSalesData'!G409,'Raw RetailSalesData'!E409)</f>
        <v>4</v>
      </c>
      <c r="F409" s="7">
        <f>IF('Raw RetailSalesData'!F409="",'Raw RetailSalesData'!G409/'Raw RetailSalesData'!E409,'Raw RetailSalesData'!F409)</f>
        <v>63</v>
      </c>
      <c r="G409" s="7">
        <f t="shared" si="6"/>
        <v>252</v>
      </c>
      <c r="H409" s="5" t="str">
        <f>IF('Raw RetailSalesData'!H409="","Unknown",'Raw RetailSalesData'!H409)</f>
        <v>Unknown</v>
      </c>
      <c r="I409" t="s">
        <v>90</v>
      </c>
      <c r="J409" t="s">
        <v>2198</v>
      </c>
      <c r="K409" t="str">
        <f>TRIM('Raw RetailSalesData'!K409)</f>
        <v>Sales Rep 5</v>
      </c>
      <c r="L409" t="s">
        <v>46</v>
      </c>
    </row>
    <row r="410" spans="1:12" x14ac:dyDescent="0.3">
      <c r="A410" t="str">
        <f>IF(COUNTIF('Raw RetailSalesData'!$A:$L,'Raw RetailSalesData'!A410)=1,'Raw RetailSalesData'!A410,"")</f>
        <v>ORD-10451</v>
      </c>
      <c r="B410" t="str">
        <f>IF('Raw RetailSalesData'!B410="","UNKNOWN",'Raw RetailSalesData'!B410)</f>
        <v>2025-02-19</v>
      </c>
      <c r="C410" t="str">
        <f>IF('Raw RetailSalesData'!C410="","UNKNOW",'Raw RetailSalesData'!C410)</f>
        <v>CUST-1154</v>
      </c>
      <c r="D410" t="str">
        <f>IF('Raw RetailSalesData'!D410="","UNKNOW",'Raw RetailSalesData'!D410)</f>
        <v xml:space="preserve"> C301 </v>
      </c>
      <c r="E410" s="5">
        <f>IF('Raw RetailSalesData'!E410="",'Raw RetailSalesData'!F410/'Raw RetailSalesData'!G410,'Raw RetailSalesData'!E410)</f>
        <v>15</v>
      </c>
      <c r="F410" s="7">
        <f>IF('Raw RetailSalesData'!F410="",'Raw RetailSalesData'!G410/'Raw RetailSalesData'!E410,'Raw RetailSalesData'!F410)</f>
        <v>60</v>
      </c>
      <c r="G410" s="7">
        <f t="shared" si="6"/>
        <v>900</v>
      </c>
      <c r="H410" s="5" t="str">
        <f>IF('Raw RetailSalesData'!H410="","Unknown",'Raw RetailSalesData'!H410)</f>
        <v>NA</v>
      </c>
      <c r="I410" t="s">
        <v>28</v>
      </c>
      <c r="J410" t="s">
        <v>2196</v>
      </c>
      <c r="K410" t="str">
        <f>TRIM('Raw RetailSalesData'!K410)</f>
        <v>Michael Johnson</v>
      </c>
      <c r="L410" t="s">
        <v>31</v>
      </c>
    </row>
    <row r="411" spans="1:12" x14ac:dyDescent="0.3">
      <c r="A411" t="str">
        <f>IF(COUNTIF('Raw RetailSalesData'!$A:$L,'Raw RetailSalesData'!A411)=1,'Raw RetailSalesData'!A411,"")</f>
        <v>ORD-10453</v>
      </c>
      <c r="B411" t="str">
        <f>IF('Raw RetailSalesData'!B411="","UNKNOWN",'Raw RetailSalesData'!B411)</f>
        <v>2023-12-13</v>
      </c>
      <c r="C411" t="str">
        <f>IF('Raw RetailSalesData'!C411="","UNKNOW",'Raw RetailSalesData'!C411)</f>
        <v>CUST-1056</v>
      </c>
      <c r="D411" t="str">
        <f>IF('Raw RetailSalesData'!D411="","UNKNOW",'Raw RetailSalesData'!D411)</f>
        <v>P202</v>
      </c>
      <c r="E411" s="5">
        <f>IF('Raw RetailSalesData'!E411="",'Raw RetailSalesData'!F411/'Raw RetailSalesData'!G411,'Raw RetailSalesData'!E411)</f>
        <v>20</v>
      </c>
      <c r="F411" s="7">
        <f>IF('Raw RetailSalesData'!F411="",'Raw RetailSalesData'!G411/'Raw RetailSalesData'!E411,'Raw RetailSalesData'!F411)</f>
        <v>70</v>
      </c>
      <c r="G411" s="7">
        <f t="shared" si="6"/>
        <v>1400</v>
      </c>
      <c r="H411" s="5" t="str">
        <f>IF('Raw RetailSalesData'!H411="","Unknown",'Raw RetailSalesData'!H411)</f>
        <v>NA</v>
      </c>
      <c r="I411" t="s">
        <v>100</v>
      </c>
      <c r="J411" t="s">
        <v>101</v>
      </c>
      <c r="K411" t="str">
        <f>TRIM('Raw RetailSalesData'!K411)</f>
        <v>#N/A</v>
      </c>
      <c r="L411" t="s">
        <v>46</v>
      </c>
    </row>
    <row r="412" spans="1:12" x14ac:dyDescent="0.3">
      <c r="A412" t="str">
        <f>IF(COUNTIF('Raw RetailSalesData'!$A:$L,'Raw RetailSalesData'!A412)=1,'Raw RetailSalesData'!A412,"")</f>
        <v>ORD-10454</v>
      </c>
      <c r="B412" t="str">
        <f>IF('Raw RetailSalesData'!B412="","UNKNOWN",'Raw RetailSalesData'!B412)</f>
        <v>2023-12-13</v>
      </c>
      <c r="C412" t="str">
        <f>IF('Raw RetailSalesData'!C412="","UNKNOW",'Raw RetailSalesData'!C412)</f>
        <v>CUST-1056</v>
      </c>
      <c r="D412" t="str">
        <f>IF('Raw RetailSalesData'!D412="","UNKNOW",'Raw RetailSalesData'!D412)</f>
        <v>P202</v>
      </c>
      <c r="E412" s="5">
        <f>IF('Raw RetailSalesData'!E412="",'Raw RetailSalesData'!F412/'Raw RetailSalesData'!G412,'Raw RetailSalesData'!E412)</f>
        <v>20</v>
      </c>
      <c r="F412" s="7">
        <f>IF('Raw RetailSalesData'!F412="",'Raw RetailSalesData'!G412/'Raw RetailSalesData'!E412,'Raw RetailSalesData'!F412)</f>
        <v>70</v>
      </c>
      <c r="G412" s="7">
        <f t="shared" si="6"/>
        <v>1400</v>
      </c>
      <c r="H412" s="5" t="str">
        <f>IF('Raw RetailSalesData'!H412="","Unknown",'Raw RetailSalesData'!H412)</f>
        <v>NA</v>
      </c>
      <c r="I412" t="s">
        <v>100</v>
      </c>
      <c r="J412" t="s">
        <v>101</v>
      </c>
      <c r="K412" t="str">
        <f>TRIM('Raw RetailSalesData'!K412)</f>
        <v>Sales Rep 4</v>
      </c>
      <c r="L412" t="s">
        <v>46</v>
      </c>
    </row>
    <row r="413" spans="1:12" x14ac:dyDescent="0.3">
      <c r="A413" t="str">
        <f>IF(COUNTIF('Raw RetailSalesData'!$A:$L,'Raw RetailSalesData'!A413)=1,'Raw RetailSalesData'!A413,"")</f>
        <v>ORD-10455</v>
      </c>
      <c r="B413" t="str">
        <f>IF('Raw RetailSalesData'!B413="","UNKNOWN",'Raw RetailSalesData'!B413)</f>
        <v>2024-02-10</v>
      </c>
      <c r="C413" t="str">
        <f>IF('Raw RetailSalesData'!C413="","UNKNOW",'Raw RetailSalesData'!C413)</f>
        <v>CUST-1196</v>
      </c>
      <c r="D413" t="str">
        <f>IF('Raw RetailSalesData'!D413="","UNKNOW",'Raw RetailSalesData'!D413)</f>
        <v>P201</v>
      </c>
      <c r="E413" s="5">
        <f>IF('Raw RetailSalesData'!E413="",'Raw RetailSalesData'!F413/'Raw RetailSalesData'!G413,'Raw RetailSalesData'!E413)</f>
        <v>2</v>
      </c>
      <c r="F413" s="7">
        <f>IF('Raw RetailSalesData'!F413="",'Raw RetailSalesData'!G413/'Raw RetailSalesData'!E413,'Raw RetailSalesData'!F413)</f>
        <v>75</v>
      </c>
      <c r="G413" s="7">
        <f t="shared" si="6"/>
        <v>150</v>
      </c>
      <c r="H413" s="5" t="str">
        <f>IF('Raw RetailSalesData'!H413="","Unknown",'Raw RetailSalesData'!H413)</f>
        <v>NA</v>
      </c>
      <c r="I413" t="s">
        <v>28</v>
      </c>
      <c r="J413" t="s">
        <v>29</v>
      </c>
      <c r="K413" t="str">
        <f>TRIM('Raw RetailSalesData'!K413)</f>
        <v>Sales Rep 2</v>
      </c>
      <c r="L413" t="s">
        <v>46</v>
      </c>
    </row>
    <row r="414" spans="1:12" x14ac:dyDescent="0.3">
      <c r="A414" t="str">
        <f>IF(COUNTIF('Raw RetailSalesData'!$A:$L,'Raw RetailSalesData'!A414)=1,'Raw RetailSalesData'!A414,"")</f>
        <v>ORD-10456</v>
      </c>
      <c r="B414" t="str">
        <f>IF('Raw RetailSalesData'!B414="","UNKNOWN",'Raw RetailSalesData'!B414)</f>
        <v>2024-10-08</v>
      </c>
      <c r="C414" t="str">
        <f>IF('Raw RetailSalesData'!C414="","UNKNOW",'Raw RetailSalesData'!C414)</f>
        <v>CUST-1198</v>
      </c>
      <c r="D414" t="str">
        <f>IF('Raw RetailSalesData'!D414="","UNKNOW",'Raw RetailSalesData'!D414)</f>
        <v>P203</v>
      </c>
      <c r="E414" s="5">
        <f>IF('Raw RetailSalesData'!E414="",'Raw RetailSalesData'!F414/'Raw RetailSalesData'!G414,'Raw RetailSalesData'!E414)</f>
        <v>19</v>
      </c>
      <c r="F414" s="7">
        <f>IF('Raw RetailSalesData'!F414="",'Raw RetailSalesData'!G414/'Raw RetailSalesData'!E414,'Raw RetailSalesData'!F414)</f>
        <v>73</v>
      </c>
      <c r="G414" s="7">
        <f t="shared" si="6"/>
        <v>1387</v>
      </c>
      <c r="H414" s="5" t="str">
        <f>IF('Raw RetailSalesData'!H414="","Unknown",'Raw RetailSalesData'!H414)</f>
        <v>NA</v>
      </c>
      <c r="I414" t="s">
        <v>28</v>
      </c>
      <c r="J414" t="s">
        <v>2196</v>
      </c>
      <c r="K414" t="str">
        <f>TRIM('Raw RetailSalesData'!K414)</f>
        <v>Michael Johnson</v>
      </c>
      <c r="L414" t="s">
        <v>21</v>
      </c>
    </row>
    <row r="415" spans="1:12" x14ac:dyDescent="0.3">
      <c r="A415" t="str">
        <f>IF(COUNTIF('Raw RetailSalesData'!$A:$L,'Raw RetailSalesData'!A415)=1,'Raw RetailSalesData'!A415,"")</f>
        <v>ORD-10457</v>
      </c>
      <c r="B415" t="str">
        <f>IF('Raw RetailSalesData'!B415="","UNKNOWN",'Raw RetailSalesData'!B415)</f>
        <v>UNKNOWN</v>
      </c>
      <c r="C415" t="str">
        <f>IF('Raw RetailSalesData'!C415="","UNKNOW",'Raw RetailSalesData'!C415)</f>
        <v>CUST-1149</v>
      </c>
      <c r="D415" t="str">
        <f>IF('Raw RetailSalesData'!D415="","UNKNOW",'Raw RetailSalesData'!D415)</f>
        <v>C301</v>
      </c>
      <c r="E415" s="5">
        <f>IF('Raw RetailSalesData'!E415="",'Raw RetailSalesData'!F415/'Raw RetailSalesData'!G415,'Raw RetailSalesData'!E415)</f>
        <v>4</v>
      </c>
      <c r="F415" s="7">
        <f>IF('Raw RetailSalesData'!F415="",'Raw RetailSalesData'!G415/'Raw RetailSalesData'!E415,'Raw RetailSalesData'!F415)</f>
        <v>55</v>
      </c>
      <c r="G415" s="7">
        <f t="shared" si="6"/>
        <v>220</v>
      </c>
      <c r="H415" s="5" t="str">
        <f>IF('Raw RetailSalesData'!H415="","Unknown",'Raw RetailSalesData'!H415)</f>
        <v>EMEA</v>
      </c>
      <c r="I415" t="s">
        <v>83</v>
      </c>
      <c r="J415" t="s">
        <v>84</v>
      </c>
      <c r="K415" t="str">
        <f>TRIM('Raw RetailSalesData'!K415)</f>
        <v>John Smith</v>
      </c>
      <c r="L415" t="s">
        <v>21</v>
      </c>
    </row>
    <row r="416" spans="1:12" x14ac:dyDescent="0.3">
      <c r="A416" t="str">
        <f>IF(COUNTIF('Raw RetailSalesData'!$A:$L,'Raw RetailSalesData'!A416)=1,'Raw RetailSalesData'!A416,"")</f>
        <v>ORD-10458</v>
      </c>
      <c r="B416" t="str">
        <f>IF('Raw RetailSalesData'!B416="","UNKNOWN",'Raw RetailSalesData'!B416)</f>
        <v>UNKNOWN</v>
      </c>
      <c r="C416" t="str">
        <f>IF('Raw RetailSalesData'!C416="","UNKNOW",'Raw RetailSalesData'!C416)</f>
        <v>CUST-1089</v>
      </c>
      <c r="D416" t="str">
        <f>IF('Raw RetailSalesData'!D416="","UNKNOW",'Raw RetailSalesData'!D416)</f>
        <v>C303</v>
      </c>
      <c r="E416" s="5">
        <f>IF('Raw RetailSalesData'!E416="",'Raw RetailSalesData'!F416/'Raw RetailSalesData'!G416,'Raw RetailSalesData'!E416)</f>
        <v>2</v>
      </c>
      <c r="F416" s="7">
        <f>IF('Raw RetailSalesData'!F416="",'Raw RetailSalesData'!G416/'Raw RetailSalesData'!E416,'Raw RetailSalesData'!F416)</f>
        <v>65</v>
      </c>
      <c r="G416" s="7">
        <f t="shared" si="6"/>
        <v>130</v>
      </c>
      <c r="H416" s="5" t="str">
        <f>IF('Raw RetailSalesData'!H416="","Unknown",'Raw RetailSalesData'!H416)</f>
        <v>NA</v>
      </c>
      <c r="I416" t="s">
        <v>28</v>
      </c>
      <c r="J416" t="s">
        <v>29</v>
      </c>
      <c r="K416" t="str">
        <f>TRIM('Raw RetailSalesData'!K416)</f>
        <v>#N/A</v>
      </c>
      <c r="L416" t="s">
        <v>46</v>
      </c>
    </row>
    <row r="417" spans="1:12" x14ac:dyDescent="0.3">
      <c r="A417" t="str">
        <f>IF(COUNTIF('Raw RetailSalesData'!$A:$L,'Raw RetailSalesData'!A417)=1,'Raw RetailSalesData'!A417,"")</f>
        <v>ORD-10459</v>
      </c>
      <c r="B417" t="str">
        <f>IF('Raw RetailSalesData'!B417="","UNKNOWN",'Raw RetailSalesData'!B417)</f>
        <v>2025-04-18</v>
      </c>
      <c r="C417" t="str">
        <f>IF('Raw RetailSalesData'!C417="","UNKNOW",'Raw RetailSalesData'!C417)</f>
        <v>CUST-1072</v>
      </c>
      <c r="D417" t="str">
        <f>IF('Raw RetailSalesData'!D417="","UNKNOW",'Raw RetailSalesData'!D417)</f>
        <v>P101</v>
      </c>
      <c r="E417" s="5">
        <f>IF('Raw RetailSalesData'!E417="",'Raw RetailSalesData'!F417/'Raw RetailSalesData'!G417,'Raw RetailSalesData'!E417)</f>
        <v>15</v>
      </c>
      <c r="F417" s="7">
        <f>IF('Raw RetailSalesData'!F417="",'Raw RetailSalesData'!G417/'Raw RetailSalesData'!E417,'Raw RetailSalesData'!F417)</f>
        <v>85</v>
      </c>
      <c r="G417" s="7">
        <f t="shared" si="6"/>
        <v>1275</v>
      </c>
      <c r="H417" s="5" t="str">
        <f>IF('Raw RetailSalesData'!H417="","Unknown",'Raw RetailSalesData'!H417)</f>
        <v>APAC</v>
      </c>
      <c r="I417" t="s">
        <v>151</v>
      </c>
      <c r="J417" t="s">
        <v>188</v>
      </c>
      <c r="K417" t="str">
        <f>TRIM('Raw RetailSalesData'!K417)</f>
        <v>Sales Rep 2</v>
      </c>
      <c r="L417" t="s">
        <v>31</v>
      </c>
    </row>
    <row r="418" spans="1:12" x14ac:dyDescent="0.3">
      <c r="A418" t="str">
        <f>IF(COUNTIF('Raw RetailSalesData'!$A:$L,'Raw RetailSalesData'!A418)=1,'Raw RetailSalesData'!A418,"")</f>
        <v>ORD-10460</v>
      </c>
      <c r="B418" t="str">
        <f>IF('Raw RetailSalesData'!B418="","UNKNOWN",'Raw RetailSalesData'!B418)</f>
        <v>2025-05-27</v>
      </c>
      <c r="C418" t="str">
        <f>IF('Raw RetailSalesData'!C418="","UNKNOW",'Raw RetailSalesData'!C418)</f>
        <v>CUST-1171</v>
      </c>
      <c r="D418" t="str">
        <f>IF('Raw RetailSalesData'!D418="","UNKNOW",'Raw RetailSalesData'!D418)</f>
        <v>P103</v>
      </c>
      <c r="E418" s="5">
        <f>IF('Raw RetailSalesData'!E418="",'Raw RetailSalesData'!F418/'Raw RetailSalesData'!G418,'Raw RetailSalesData'!E418)</f>
        <v>11</v>
      </c>
      <c r="F418" s="7">
        <f>IF('Raw RetailSalesData'!F418="",'Raw RetailSalesData'!G418/'Raw RetailSalesData'!E418,'Raw RetailSalesData'!F418)</f>
        <v>95</v>
      </c>
      <c r="G418" s="7">
        <f t="shared" si="6"/>
        <v>1045</v>
      </c>
      <c r="H418" s="5" t="str">
        <f>IF('Raw RetailSalesData'!H418="","Unknown",'Raw RetailSalesData'!H418)</f>
        <v>EMEA</v>
      </c>
      <c r="I418" t="s">
        <v>38</v>
      </c>
      <c r="J418" t="s">
        <v>39</v>
      </c>
      <c r="K418" t="str">
        <f>TRIM('Raw RetailSalesData'!K418)</f>
        <v>Sales Rep 2</v>
      </c>
      <c r="L418" t="s">
        <v>31</v>
      </c>
    </row>
    <row r="419" spans="1:12" x14ac:dyDescent="0.3">
      <c r="A419" t="str">
        <f>IF(COUNTIF('Raw RetailSalesData'!$A:$L,'Raw RetailSalesData'!A419)=1,'Raw RetailSalesData'!A419,"")</f>
        <v>ORD-10461</v>
      </c>
      <c r="B419" t="str">
        <f>IF('Raw RetailSalesData'!B419="","UNKNOWN",'Raw RetailSalesData'!B419)</f>
        <v>2022-05-02</v>
      </c>
      <c r="C419" t="str">
        <f>IF('Raw RetailSalesData'!C419="","UNKNOW",'Raw RetailSalesData'!C419)</f>
        <v>CUST-1187</v>
      </c>
      <c r="D419" t="str">
        <f>IF('Raw RetailSalesData'!D419="","UNKNOW",'Raw RetailSalesData'!D419)</f>
        <v>UNKNOW</v>
      </c>
      <c r="E419" s="5">
        <f>IF('Raw RetailSalesData'!E419="",'Raw RetailSalesData'!F419/'Raw RetailSalesData'!G419,'Raw RetailSalesData'!E419)</f>
        <v>15</v>
      </c>
      <c r="F419" s="7">
        <f>IF('Raw RetailSalesData'!F419="",'Raw RetailSalesData'!G419/'Raw RetailSalesData'!E419,'Raw RetailSalesData'!F419)</f>
        <v>55</v>
      </c>
      <c r="G419" s="7">
        <f t="shared" si="6"/>
        <v>825</v>
      </c>
      <c r="H419" s="5" t="str">
        <f>IF('Raw RetailSalesData'!H419="","Unknown",'Raw RetailSalesData'!H419)</f>
        <v>NA</v>
      </c>
      <c r="I419" t="s">
        <v>100</v>
      </c>
      <c r="J419" t="s">
        <v>101</v>
      </c>
      <c r="K419" t="str">
        <f>TRIM('Raw RetailSalesData'!K419)</f>
        <v>Sales Rep 2</v>
      </c>
      <c r="L419" t="s">
        <v>21</v>
      </c>
    </row>
    <row r="420" spans="1:12" x14ac:dyDescent="0.3">
      <c r="A420" t="str">
        <f>IF(COUNTIF('Raw RetailSalesData'!$A:$L,'Raw RetailSalesData'!A420)=1,'Raw RetailSalesData'!A420,"")</f>
        <v>ORD-10462</v>
      </c>
      <c r="B420" t="str">
        <f>IF('Raw RetailSalesData'!B420="","UNKNOWN",'Raw RetailSalesData'!B420)</f>
        <v>2022-03-16</v>
      </c>
      <c r="C420" t="str">
        <f>IF('Raw RetailSalesData'!C420="","UNKNOW",'Raw RetailSalesData'!C420)</f>
        <v>CUST-1064</v>
      </c>
      <c r="D420" t="str">
        <f>IF('Raw RetailSalesData'!D420="","UNKNOW",'Raw RetailSalesData'!D420)</f>
        <v>C304</v>
      </c>
      <c r="E420" s="5">
        <f>IF('Raw RetailSalesData'!E420="",'Raw RetailSalesData'!F420/'Raw RetailSalesData'!G420,'Raw RetailSalesData'!E420)</f>
        <v>6.6666666666666666E-2</v>
      </c>
      <c r="F420" s="7">
        <f>IF('Raw RetailSalesData'!F420="",'Raw RetailSalesData'!G420/'Raw RetailSalesData'!E420,'Raw RetailSalesData'!F420)</f>
        <v>63</v>
      </c>
      <c r="G420" s="7">
        <f t="shared" si="6"/>
        <v>4.2</v>
      </c>
      <c r="H420" s="5" t="str">
        <f>IF('Raw RetailSalesData'!H420="","Unknown",'Raw RetailSalesData'!H420)</f>
        <v>NA</v>
      </c>
      <c r="I420" t="s">
        <v>100</v>
      </c>
      <c r="J420" t="s">
        <v>101</v>
      </c>
      <c r="K420" t="str">
        <f>TRIM('Raw RetailSalesData'!K420)</f>
        <v>Sales Rep 2</v>
      </c>
      <c r="L420" t="s">
        <v>46</v>
      </c>
    </row>
    <row r="421" spans="1:12" x14ac:dyDescent="0.3">
      <c r="A421" t="str">
        <f>IF(COUNTIF('Raw RetailSalesData'!$A:$L,'Raw RetailSalesData'!A421)=1,'Raw RetailSalesData'!A421,"")</f>
        <v>ORD-10463</v>
      </c>
      <c r="B421" t="str">
        <f>IF('Raw RetailSalesData'!B421="","UNKNOWN",'Raw RetailSalesData'!B421)</f>
        <v>2025-03-05</v>
      </c>
      <c r="C421" t="str">
        <f>IF('Raw RetailSalesData'!C421="","UNKNOW",'Raw RetailSalesData'!C421)</f>
        <v>CUST-1085</v>
      </c>
      <c r="D421" t="str">
        <f>IF('Raw RetailSalesData'!D421="","UNKNOW",'Raw RetailSalesData'!D421)</f>
        <v xml:space="preserve"> P103 </v>
      </c>
      <c r="E421" s="5">
        <f>IF('Raw RetailSalesData'!E421="",'Raw RetailSalesData'!F421/'Raw RetailSalesData'!G421,'Raw RetailSalesData'!E421)</f>
        <v>7</v>
      </c>
      <c r="F421" s="7">
        <f>IF('Raw RetailSalesData'!F421="",'Raw RetailSalesData'!G421/'Raw RetailSalesData'!E421,'Raw RetailSalesData'!F421)</f>
        <v>90</v>
      </c>
      <c r="G421" s="7">
        <f t="shared" si="6"/>
        <v>630</v>
      </c>
      <c r="H421" s="5" t="str">
        <f>IF('Raw RetailSalesData'!H421="","Unknown",'Raw RetailSalesData'!H421)</f>
        <v>LATAM</v>
      </c>
      <c r="I421" t="s">
        <v>18</v>
      </c>
      <c r="J421" t="s">
        <v>2197</v>
      </c>
      <c r="K421" t="str">
        <f>TRIM('Raw RetailSalesData'!K421)</f>
        <v>Sales Rep 3</v>
      </c>
      <c r="L421" t="s">
        <v>21</v>
      </c>
    </row>
    <row r="422" spans="1:12" x14ac:dyDescent="0.3">
      <c r="A422" t="str">
        <f>IF(COUNTIF('Raw RetailSalesData'!$A:$L,'Raw RetailSalesData'!A422)=1,'Raw RetailSalesData'!A422,"")</f>
        <v>ORD-10464</v>
      </c>
      <c r="B422" t="str">
        <f>IF('Raw RetailSalesData'!B422="","UNKNOWN",'Raw RetailSalesData'!B422)</f>
        <v>2025-09-03</v>
      </c>
      <c r="C422" t="str">
        <f>IF('Raw RetailSalesData'!C422="","UNKNOW",'Raw RetailSalesData'!C422)</f>
        <v>CUST-1188</v>
      </c>
      <c r="D422" t="str">
        <f>IF('Raw RetailSalesData'!D422="","UNKNOW",'Raw RetailSalesData'!D422)</f>
        <v xml:space="preserve"> P102 </v>
      </c>
      <c r="E422" s="5">
        <f>IF('Raw RetailSalesData'!E422="",'Raw RetailSalesData'!F422/'Raw RetailSalesData'!G422,'Raw RetailSalesData'!E422)</f>
        <v>5</v>
      </c>
      <c r="F422" s="7">
        <f>IF('Raw RetailSalesData'!F422="",'Raw RetailSalesData'!G422/'Raw RetailSalesData'!E422,'Raw RetailSalesData'!F422)</f>
        <v>75</v>
      </c>
      <c r="G422" s="7">
        <f t="shared" si="6"/>
        <v>375</v>
      </c>
      <c r="H422" s="5" t="str">
        <f>IF('Raw RetailSalesData'!H422="","Unknown",'Raw RetailSalesData'!H422)</f>
        <v>LATAM</v>
      </c>
      <c r="I422" t="s">
        <v>90</v>
      </c>
      <c r="J422" t="s">
        <v>2198</v>
      </c>
      <c r="K422" t="str">
        <f>TRIM('Raw RetailSalesData'!K422)</f>
        <v>Sales Rep 4</v>
      </c>
      <c r="L422" t="s">
        <v>46</v>
      </c>
    </row>
    <row r="423" spans="1:12" x14ac:dyDescent="0.3">
      <c r="A423" t="str">
        <f>IF(COUNTIF('Raw RetailSalesData'!$A:$L,'Raw RetailSalesData'!A423)=1,'Raw RetailSalesData'!A423,"")</f>
        <v>ORD-10465</v>
      </c>
      <c r="B423" t="str">
        <f>IF('Raw RetailSalesData'!B423="","UNKNOWN",'Raw RetailSalesData'!B423)</f>
        <v>UNKNOWN</v>
      </c>
      <c r="C423" t="str">
        <f>IF('Raw RetailSalesData'!C423="","UNKNOW",'Raw RetailSalesData'!C423)</f>
        <v>CUST-1097</v>
      </c>
      <c r="D423" t="str">
        <f>IF('Raw RetailSalesData'!D423="","UNKNOW",'Raw RetailSalesData'!D423)</f>
        <v>C304</v>
      </c>
      <c r="E423" s="5">
        <f>IF('Raw RetailSalesData'!E423="",'Raw RetailSalesData'!F423/'Raw RetailSalesData'!G423,'Raw RetailSalesData'!E423)</f>
        <v>8</v>
      </c>
      <c r="F423" s="7">
        <f>IF('Raw RetailSalesData'!F423="",'Raw RetailSalesData'!G423/'Raw RetailSalesData'!E423,'Raw RetailSalesData'!F423)</f>
        <v>63</v>
      </c>
      <c r="G423" s="7">
        <f t="shared" si="6"/>
        <v>504</v>
      </c>
      <c r="H423" s="5" t="str">
        <f>IF('Raw RetailSalesData'!H423="","Unknown",'Raw RetailSalesData'!H423)</f>
        <v>NA</v>
      </c>
      <c r="I423" t="s">
        <v>2190</v>
      </c>
      <c r="J423" t="s">
        <v>101</v>
      </c>
      <c r="K423" t="str">
        <f>TRIM('Raw RetailSalesData'!K423)</f>
        <v>Sales Rep 1</v>
      </c>
      <c r="L423" t="s">
        <v>31</v>
      </c>
    </row>
    <row r="424" spans="1:12" x14ac:dyDescent="0.3">
      <c r="A424" t="str">
        <f>IF(COUNTIF('Raw RetailSalesData'!$A:$L,'Raw RetailSalesData'!A424)=1,'Raw RetailSalesData'!A424,"")</f>
        <v>ORD-10466</v>
      </c>
      <c r="B424" t="str">
        <f>IF('Raw RetailSalesData'!B424="","UNKNOWN",'Raw RetailSalesData'!B424)</f>
        <v>2024-04-26</v>
      </c>
      <c r="C424" t="str">
        <f>IF('Raw RetailSalesData'!C424="","UNKNOW",'Raw RetailSalesData'!C424)</f>
        <v>CUST-1068</v>
      </c>
      <c r="D424" t="str">
        <f>IF('Raw RetailSalesData'!D424="","UNKNOW",'Raw RetailSalesData'!D424)</f>
        <v>P201</v>
      </c>
      <c r="E424" s="5">
        <f>IF('Raw RetailSalesData'!E424="",'Raw RetailSalesData'!F424/'Raw RetailSalesData'!G424,'Raw RetailSalesData'!E424)</f>
        <v>8.3333333333333329E-2</v>
      </c>
      <c r="F424" s="7">
        <f>IF('Raw RetailSalesData'!F424="",'Raw RetailSalesData'!G424/'Raw RetailSalesData'!E424,'Raw RetailSalesData'!F424)</f>
        <v>75</v>
      </c>
      <c r="G424" s="7">
        <f t="shared" si="6"/>
        <v>6.25</v>
      </c>
      <c r="H424" s="5" t="str">
        <f>IF('Raw RetailSalesData'!H424="","Unknown",'Raw RetailSalesData'!H424)</f>
        <v>NA</v>
      </c>
      <c r="I424" t="s">
        <v>100</v>
      </c>
      <c r="J424" t="s">
        <v>101</v>
      </c>
      <c r="K424" t="str">
        <f>TRIM('Raw RetailSalesData'!K424)</f>
        <v>Sales Rep 2</v>
      </c>
      <c r="L424" t="s">
        <v>31</v>
      </c>
    </row>
    <row r="425" spans="1:12" x14ac:dyDescent="0.3">
      <c r="A425" t="str">
        <f>IF(COUNTIF('Raw RetailSalesData'!$A:$L,'Raw RetailSalesData'!A425)=1,'Raw RetailSalesData'!A425,"")</f>
        <v>ORD-10467</v>
      </c>
      <c r="B425" t="str">
        <f>IF('Raw RetailSalesData'!B425="","UNKNOWN",'Raw RetailSalesData'!B425)</f>
        <v>2024-12-28</v>
      </c>
      <c r="C425" t="str">
        <f>IF('Raw RetailSalesData'!C425="","UNKNOW",'Raw RetailSalesData'!C425)</f>
        <v>CUST-1105</v>
      </c>
      <c r="D425" t="str">
        <f>IF('Raw RetailSalesData'!D425="","UNKNOW",'Raw RetailSalesData'!D425)</f>
        <v>P201</v>
      </c>
      <c r="E425" s="5">
        <f>IF('Raw RetailSalesData'!E425="",'Raw RetailSalesData'!F425/'Raw RetailSalesData'!G425,'Raw RetailSalesData'!E425)</f>
        <v>0.1111111111111111</v>
      </c>
      <c r="F425" s="7">
        <f>IF('Raw RetailSalesData'!F425="",'Raw RetailSalesData'!G425/'Raw RetailSalesData'!E425,'Raw RetailSalesData'!F425)</f>
        <v>70</v>
      </c>
      <c r="G425" s="7">
        <f t="shared" si="6"/>
        <v>7.7777777777777777</v>
      </c>
      <c r="H425" s="5" t="str">
        <f>IF('Raw RetailSalesData'!H425="","Unknown",'Raw RetailSalesData'!H425)</f>
        <v>APAC</v>
      </c>
      <c r="I425" t="s">
        <v>183</v>
      </c>
      <c r="J425" t="s">
        <v>184</v>
      </c>
      <c r="K425" t="str">
        <f>TRIM('Raw RetailSalesData'!K425)</f>
        <v>Sales Rep 4</v>
      </c>
      <c r="L425" t="s">
        <v>31</v>
      </c>
    </row>
    <row r="426" spans="1:12" x14ac:dyDescent="0.3">
      <c r="A426" t="str">
        <f>IF(COUNTIF('Raw RetailSalesData'!$A:$L,'Raw RetailSalesData'!A426)=1,'Raw RetailSalesData'!A426,"")</f>
        <v>ORD-10468</v>
      </c>
      <c r="B426" t="str">
        <f>IF('Raw RetailSalesData'!B426="","UNKNOWN",'Raw RetailSalesData'!B426)</f>
        <v>2023-05-29</v>
      </c>
      <c r="C426" t="str">
        <f>IF('Raw RetailSalesData'!C426="","UNKNOW",'Raw RetailSalesData'!C426)</f>
        <v>CUST-1092</v>
      </c>
      <c r="D426" t="str">
        <f>IF('Raw RetailSalesData'!D426="","UNKNOW",'Raw RetailSalesData'!D426)</f>
        <v>P202</v>
      </c>
      <c r="E426" s="5">
        <f>IF('Raw RetailSalesData'!E426="",'Raw RetailSalesData'!F426/'Raw RetailSalesData'!G426,'Raw RetailSalesData'!E426)</f>
        <v>13</v>
      </c>
      <c r="F426" s="7">
        <f>IF('Raw RetailSalesData'!F426="",'Raw RetailSalesData'!G426/'Raw RetailSalesData'!E426,'Raw RetailSalesData'!F426)</f>
        <v>60</v>
      </c>
      <c r="G426" s="7">
        <f t="shared" si="6"/>
        <v>780</v>
      </c>
      <c r="H426" s="5" t="str">
        <f>IF('Raw RetailSalesData'!H426="","Unknown",'Raw RetailSalesData'!H426)</f>
        <v>LATAM</v>
      </c>
      <c r="I426" t="s">
        <v>18</v>
      </c>
      <c r="J426" t="s">
        <v>2197</v>
      </c>
      <c r="K426" t="str">
        <f>TRIM('Raw RetailSalesData'!K426)</f>
        <v>Sales Rep 3</v>
      </c>
      <c r="L426" t="s">
        <v>21</v>
      </c>
    </row>
    <row r="427" spans="1:12" x14ac:dyDescent="0.3">
      <c r="A427" t="str">
        <f>IF(COUNTIF('Raw RetailSalesData'!$A:$L,'Raw RetailSalesData'!A427)=1,'Raw RetailSalesData'!A427,"")</f>
        <v>ORD-10469</v>
      </c>
      <c r="B427" t="str">
        <f>IF('Raw RetailSalesData'!B427="","UNKNOWN",'Raw RetailSalesData'!B427)</f>
        <v>2023-01-10</v>
      </c>
      <c r="C427" t="str">
        <f>IF('Raw RetailSalesData'!C427="","UNKNOW",'Raw RetailSalesData'!C427)</f>
        <v>CUST-1035</v>
      </c>
      <c r="D427" t="str">
        <f>IF('Raw RetailSalesData'!D427="","UNKNOW",'Raw RetailSalesData'!D427)</f>
        <v xml:space="preserve"> C302 </v>
      </c>
      <c r="E427" s="5">
        <f>IF('Raw RetailSalesData'!E427="",'Raw RetailSalesData'!F427/'Raw RetailSalesData'!G427,'Raw RetailSalesData'!E427)</f>
        <v>8</v>
      </c>
      <c r="F427" s="7">
        <f>IF('Raw RetailSalesData'!F427="",'Raw RetailSalesData'!G427/'Raw RetailSalesData'!E427,'Raw RetailSalesData'!F427)</f>
        <v>45</v>
      </c>
      <c r="G427" s="7">
        <f t="shared" si="6"/>
        <v>360</v>
      </c>
      <c r="H427" s="5" t="str">
        <f>IF('Raw RetailSalesData'!H427="","Unknown",'Raw RetailSalesData'!H427)</f>
        <v>LATAM</v>
      </c>
      <c r="I427" t="s">
        <v>90</v>
      </c>
      <c r="J427" t="s">
        <v>2198</v>
      </c>
      <c r="K427" t="str">
        <f>TRIM('Raw RetailSalesData'!K427)</f>
        <v>Unknown</v>
      </c>
      <c r="L427" t="s">
        <v>31</v>
      </c>
    </row>
    <row r="428" spans="1:12" x14ac:dyDescent="0.3">
      <c r="A428" t="str">
        <f>IF(COUNTIF('Raw RetailSalesData'!$A:$L,'Raw RetailSalesData'!A428)=1,'Raw RetailSalesData'!A428,"")</f>
        <v>ORD-10470</v>
      </c>
      <c r="B428" t="str">
        <f>IF('Raw RetailSalesData'!B428="","UNKNOWN",'Raw RetailSalesData'!B428)</f>
        <v>2025-07-17</v>
      </c>
      <c r="C428" t="str">
        <f>IF('Raw RetailSalesData'!C428="","UNKNOW",'Raw RetailSalesData'!C428)</f>
        <v xml:space="preserve"> CUST-1191 </v>
      </c>
      <c r="D428" t="str">
        <f>IF('Raw RetailSalesData'!D428="","UNKNOW",'Raw RetailSalesData'!D428)</f>
        <v>P102</v>
      </c>
      <c r="E428" s="5">
        <f>IF('Raw RetailSalesData'!E428="",'Raw RetailSalesData'!F428/'Raw RetailSalesData'!G428,'Raw RetailSalesData'!E428)</f>
        <v>2</v>
      </c>
      <c r="F428" s="7">
        <f>IF('Raw RetailSalesData'!F428="",'Raw RetailSalesData'!G428/'Raw RetailSalesData'!E428,'Raw RetailSalesData'!F428)</f>
        <v>80</v>
      </c>
      <c r="G428" s="7">
        <f t="shared" si="6"/>
        <v>160</v>
      </c>
      <c r="H428" s="5" t="str">
        <f>IF('Raw RetailSalesData'!H428="","Unknown",'Raw RetailSalesData'!H428)</f>
        <v>APAC</v>
      </c>
      <c r="I428" t="s">
        <v>71</v>
      </c>
      <c r="J428" t="s">
        <v>2190</v>
      </c>
      <c r="K428" t="str">
        <f>TRIM('Raw RetailSalesData'!K428)</f>
        <v>Hiroshi Tanaka</v>
      </c>
      <c r="L428" t="s">
        <v>31</v>
      </c>
    </row>
    <row r="429" spans="1:12" x14ac:dyDescent="0.3">
      <c r="A429" t="str">
        <f>IF(COUNTIF('Raw RetailSalesData'!$A:$L,'Raw RetailSalesData'!A429)=1,'Raw RetailSalesData'!A429,"")</f>
        <v>ORD-10471</v>
      </c>
      <c r="B429" t="str">
        <f>IF('Raw RetailSalesData'!B429="","UNKNOWN",'Raw RetailSalesData'!B429)</f>
        <v>2022-04-20</v>
      </c>
      <c r="C429" t="str">
        <f>IF('Raw RetailSalesData'!C429="","UNKNOW",'Raw RetailSalesData'!C429)</f>
        <v>CUST-1086</v>
      </c>
      <c r="D429" t="str">
        <f>IF('Raw RetailSalesData'!D429="","UNKNOW",'Raw RetailSalesData'!D429)</f>
        <v>P201</v>
      </c>
      <c r="E429" s="5">
        <f>IF('Raw RetailSalesData'!E429="",'Raw RetailSalesData'!F429/'Raw RetailSalesData'!G429,'Raw RetailSalesData'!E429)</f>
        <v>13</v>
      </c>
      <c r="F429" s="7">
        <f>IF('Raw RetailSalesData'!F429="",'Raw RetailSalesData'!G429/'Raw RetailSalesData'!E429,'Raw RetailSalesData'!F429)</f>
        <v>70</v>
      </c>
      <c r="G429" s="7">
        <f t="shared" si="6"/>
        <v>910</v>
      </c>
      <c r="H429" s="5" t="str">
        <f>IF('Raw RetailSalesData'!H429="","Unknown",'Raw RetailSalesData'!H429)</f>
        <v>EMEA</v>
      </c>
      <c r="I429" t="s">
        <v>225</v>
      </c>
      <c r="J429" t="s">
        <v>226</v>
      </c>
      <c r="K429" t="str">
        <f>TRIM('Raw RetailSalesData'!K429)</f>
        <v>Sales Rep 5</v>
      </c>
      <c r="L429" t="s">
        <v>21</v>
      </c>
    </row>
    <row r="430" spans="1:12" x14ac:dyDescent="0.3">
      <c r="A430" t="str">
        <f>IF(COUNTIF('Raw RetailSalesData'!$A:$L,'Raw RetailSalesData'!A430)=1,'Raw RetailSalesData'!A430,"")</f>
        <v>ORD-10472</v>
      </c>
      <c r="B430" t="str">
        <f>IF('Raw RetailSalesData'!B430="","UNKNOWN",'Raw RetailSalesData'!B430)</f>
        <v>2025-02-27</v>
      </c>
      <c r="C430" t="str">
        <f>IF('Raw RetailSalesData'!C430="","UNKNOW",'Raw RetailSalesData'!C430)</f>
        <v>CUST-1050</v>
      </c>
      <c r="D430" t="str">
        <f>IF('Raw RetailSalesData'!D430="","UNKNOW",'Raw RetailSalesData'!D430)</f>
        <v>C301</v>
      </c>
      <c r="E430" s="5">
        <f>IF('Raw RetailSalesData'!E430="",'Raw RetailSalesData'!F430/'Raw RetailSalesData'!G430,'Raw RetailSalesData'!E430)</f>
        <v>8</v>
      </c>
      <c r="F430" s="7">
        <f>IF('Raw RetailSalesData'!F430="",'Raw RetailSalesData'!G430/'Raw RetailSalesData'!E430,'Raw RetailSalesData'!F430)</f>
        <v>50</v>
      </c>
      <c r="G430" s="7">
        <f t="shared" si="6"/>
        <v>400</v>
      </c>
      <c r="H430" s="5" t="str">
        <f>IF('Raw RetailSalesData'!H430="","Unknown",'Raw RetailSalesData'!H430)</f>
        <v>LATAM</v>
      </c>
      <c r="I430" t="s">
        <v>18</v>
      </c>
      <c r="J430" t="s">
        <v>2197</v>
      </c>
      <c r="K430" t="str">
        <f>TRIM('Raw RetailSalesData'!K430)</f>
        <v>Sales Rep 1</v>
      </c>
      <c r="L430" t="s">
        <v>46</v>
      </c>
    </row>
    <row r="431" spans="1:12" x14ac:dyDescent="0.3">
      <c r="A431" t="str">
        <f>IF(COUNTIF('Raw RetailSalesData'!$A:$L,'Raw RetailSalesData'!A431)=1,'Raw RetailSalesData'!A431,"")</f>
        <v>ORD-10473</v>
      </c>
      <c r="B431" t="str">
        <f>IF('Raw RetailSalesData'!B431="","UNKNOWN",'Raw RetailSalesData'!B431)</f>
        <v>2023-11-03</v>
      </c>
      <c r="C431" t="str">
        <f>IF('Raw RetailSalesData'!C431="","UNKNOW",'Raw RetailSalesData'!C431)</f>
        <v>CUST-1030</v>
      </c>
      <c r="D431" t="str">
        <f>IF('Raw RetailSalesData'!D431="","UNKNOW",'Raw RetailSalesData'!D431)</f>
        <v xml:space="preserve"> C301 </v>
      </c>
      <c r="E431" s="5">
        <f>IF('Raw RetailSalesData'!E431="",'Raw RetailSalesData'!F431/'Raw RetailSalesData'!G431,'Raw RetailSalesData'!E431)</f>
        <v>3</v>
      </c>
      <c r="F431" s="7">
        <f>IF('Raw RetailSalesData'!F431="",'Raw RetailSalesData'!G431/'Raw RetailSalesData'!E431,'Raw RetailSalesData'!F431)</f>
        <v>55</v>
      </c>
      <c r="G431" s="7">
        <f t="shared" si="6"/>
        <v>165</v>
      </c>
      <c r="H431" s="5" t="str">
        <f>IF('Raw RetailSalesData'!H431="","Unknown",'Raw RetailSalesData'!H431)</f>
        <v>EMEA</v>
      </c>
      <c r="I431" t="s">
        <v>83</v>
      </c>
      <c r="J431" t="s">
        <v>84</v>
      </c>
      <c r="K431" t="str">
        <f>TRIM('Raw RetailSalesData'!K431)</f>
        <v>John Smith</v>
      </c>
      <c r="L431" t="s">
        <v>31</v>
      </c>
    </row>
    <row r="432" spans="1:12" x14ac:dyDescent="0.3">
      <c r="A432" t="str">
        <f>IF(COUNTIF('Raw RetailSalesData'!$A:$L,'Raw RetailSalesData'!A432)=1,'Raw RetailSalesData'!A432,"")</f>
        <v>ORD-10474</v>
      </c>
      <c r="B432" t="str">
        <f>IF('Raw RetailSalesData'!B432="","UNKNOWN",'Raw RetailSalesData'!B432)</f>
        <v>2022-06-30</v>
      </c>
      <c r="C432" t="str">
        <f>IF('Raw RetailSalesData'!C432="","UNKNOW",'Raw RetailSalesData'!C432)</f>
        <v>CUST-1158</v>
      </c>
      <c r="D432" t="str">
        <f>IF('Raw RetailSalesData'!D432="","UNKNOW",'Raw RetailSalesData'!D432)</f>
        <v>C304</v>
      </c>
      <c r="E432" s="5">
        <f>IF('Raw RetailSalesData'!E432="",'Raw RetailSalesData'!F432/'Raw RetailSalesData'!G432,'Raw RetailSalesData'!E432)</f>
        <v>15</v>
      </c>
      <c r="F432" s="7">
        <f>IF('Raw RetailSalesData'!F432="",'Raw RetailSalesData'!G432/'Raw RetailSalesData'!E432,'Raw RetailSalesData'!F432)</f>
        <v>58</v>
      </c>
      <c r="G432" s="7">
        <f t="shared" si="6"/>
        <v>870</v>
      </c>
      <c r="H432" s="5" t="str">
        <f>IF('Raw RetailSalesData'!H432="","Unknown",'Raw RetailSalesData'!H432)</f>
        <v xml:space="preserve"> EMEA </v>
      </c>
      <c r="I432" t="s">
        <v>225</v>
      </c>
      <c r="J432" t="s">
        <v>226</v>
      </c>
      <c r="K432" t="str">
        <f>TRIM('Raw RetailSalesData'!K432)</f>
        <v>Sales Rep 3</v>
      </c>
      <c r="L432" t="s">
        <v>46</v>
      </c>
    </row>
    <row r="433" spans="1:12" x14ac:dyDescent="0.3">
      <c r="A433" t="str">
        <f>IF(COUNTIF('Raw RetailSalesData'!$A:$L,'Raw RetailSalesData'!A433)=1,'Raw RetailSalesData'!A433,"")</f>
        <v>ORD-10475</v>
      </c>
      <c r="B433" t="str">
        <f>IF('Raw RetailSalesData'!B433="","UNKNOWN",'Raw RetailSalesData'!B433)</f>
        <v>2026-04-21</v>
      </c>
      <c r="C433" t="str">
        <f>IF('Raw RetailSalesData'!C433="","UNKNOW",'Raw RetailSalesData'!C433)</f>
        <v>CUST-1198</v>
      </c>
      <c r="D433" t="str">
        <f>IF('Raw RetailSalesData'!D433="","UNKNOW",'Raw RetailSalesData'!D433)</f>
        <v>P102</v>
      </c>
      <c r="E433" s="5">
        <f>IF('Raw RetailSalesData'!E433="",'Raw RetailSalesData'!F433/'Raw RetailSalesData'!G433,'Raw RetailSalesData'!E433)</f>
        <v>16</v>
      </c>
      <c r="F433" s="7">
        <f>IF('Raw RetailSalesData'!F433="",'Raw RetailSalesData'!G433/'Raw RetailSalesData'!E433,'Raw RetailSalesData'!F433)</f>
        <v>75</v>
      </c>
      <c r="G433" s="7">
        <f t="shared" si="6"/>
        <v>1200</v>
      </c>
      <c r="H433" s="5" t="str">
        <f>IF('Raw RetailSalesData'!H433="","Unknown",'Raw RetailSalesData'!H433)</f>
        <v>LATAM</v>
      </c>
      <c r="I433" t="s">
        <v>90</v>
      </c>
      <c r="J433" t="s">
        <v>2198</v>
      </c>
      <c r="K433" t="str">
        <f>TRIM('Raw RetailSalesData'!K433)</f>
        <v>Sales Rep 4</v>
      </c>
      <c r="L433" t="s">
        <v>31</v>
      </c>
    </row>
    <row r="434" spans="1:12" x14ac:dyDescent="0.3">
      <c r="A434" t="str">
        <f>IF(COUNTIF('Raw RetailSalesData'!$A:$L,'Raw RetailSalesData'!A434)=1,'Raw RetailSalesData'!A434,"")</f>
        <v>ORD-10476</v>
      </c>
      <c r="B434" t="str">
        <f>IF('Raw RetailSalesData'!B434="","UNKNOWN",'Raw RetailSalesData'!B434)</f>
        <v>2024-04-13</v>
      </c>
      <c r="C434" t="str">
        <f>IF('Raw RetailSalesData'!C434="","UNKNOW",'Raw RetailSalesData'!C434)</f>
        <v>CUST-1042</v>
      </c>
      <c r="D434" t="str">
        <f>IF('Raw RetailSalesData'!D434="","UNKNOW",'Raw RetailSalesData'!D434)</f>
        <v>C303</v>
      </c>
      <c r="E434" s="5">
        <f>IF('Raw RetailSalesData'!E434="",'Raw RetailSalesData'!F434/'Raw RetailSalesData'!G434,'Raw RetailSalesData'!E434)</f>
        <v>20</v>
      </c>
      <c r="F434" s="7">
        <f>IF('Raw RetailSalesData'!F434="",'Raw RetailSalesData'!G434/'Raw RetailSalesData'!E434,'Raw RetailSalesData'!F434)</f>
        <v>60</v>
      </c>
      <c r="G434" s="7">
        <f t="shared" si="6"/>
        <v>1200</v>
      </c>
      <c r="H434" s="5" t="str">
        <f>IF('Raw RetailSalesData'!H434="","Unknown",'Raw RetailSalesData'!H434)</f>
        <v>APAC</v>
      </c>
      <c r="I434" t="s">
        <v>183</v>
      </c>
      <c r="J434" t="s">
        <v>184</v>
      </c>
      <c r="K434" t="str">
        <f>TRIM('Raw RetailSalesData'!K434)</f>
        <v>Sales Rep 4</v>
      </c>
      <c r="L434" t="s">
        <v>31</v>
      </c>
    </row>
    <row r="435" spans="1:12" x14ac:dyDescent="0.3">
      <c r="A435" t="str">
        <f>IF(COUNTIF('Raw RetailSalesData'!$A:$L,'Raw RetailSalesData'!A435)=1,'Raw RetailSalesData'!A435,"")</f>
        <v>ORD-10477</v>
      </c>
      <c r="B435" t="str">
        <f>IF('Raw RetailSalesData'!B435="","UNKNOWN",'Raw RetailSalesData'!B435)</f>
        <v>2023-12-23</v>
      </c>
      <c r="C435" t="str">
        <f>IF('Raw RetailSalesData'!C435="","UNKNOW",'Raw RetailSalesData'!C435)</f>
        <v>CUST-1041</v>
      </c>
      <c r="D435" t="str">
        <f>IF('Raw RetailSalesData'!D435="","UNKNOW",'Raw RetailSalesData'!D435)</f>
        <v>C301</v>
      </c>
      <c r="E435" s="5">
        <f>IF('Raw RetailSalesData'!E435="",'Raw RetailSalesData'!F435/'Raw RetailSalesData'!G435,'Raw RetailSalesData'!E435)</f>
        <v>7</v>
      </c>
      <c r="F435" s="7">
        <f>IF('Raw RetailSalesData'!F435="",'Raw RetailSalesData'!G435/'Raw RetailSalesData'!E435,'Raw RetailSalesData'!F435)</f>
        <v>55</v>
      </c>
      <c r="G435" s="7">
        <f t="shared" si="6"/>
        <v>385</v>
      </c>
      <c r="H435" s="5" t="str">
        <f>IF('Raw RetailSalesData'!H435="","Unknown",'Raw RetailSalesData'!H435)</f>
        <v>APAC</v>
      </c>
      <c r="I435" t="s">
        <v>151</v>
      </c>
      <c r="J435" t="s">
        <v>152</v>
      </c>
      <c r="K435" t="str">
        <f>TRIM('Raw RetailSalesData'!K435)</f>
        <v>Aarav Patel</v>
      </c>
      <c r="L435" t="s">
        <v>21</v>
      </c>
    </row>
    <row r="436" spans="1:12" x14ac:dyDescent="0.3">
      <c r="A436" t="str">
        <f>IF(COUNTIF('Raw RetailSalesData'!$A:$L,'Raw RetailSalesData'!A436)=1,'Raw RetailSalesData'!A436,"")</f>
        <v>ORD-10478</v>
      </c>
      <c r="B436" t="str">
        <f>IF('Raw RetailSalesData'!B436="","UNKNOWN",'Raw RetailSalesData'!B436)</f>
        <v>2023-07-01</v>
      </c>
      <c r="C436" t="str">
        <f>IF('Raw RetailSalesData'!C436="","UNKNOW",'Raw RetailSalesData'!C436)</f>
        <v>CUST-1184</v>
      </c>
      <c r="D436" t="str">
        <f>IF('Raw RetailSalesData'!D436="","UNKNOW",'Raw RetailSalesData'!D436)</f>
        <v>C303</v>
      </c>
      <c r="E436" s="5">
        <f>IF('Raw RetailSalesData'!E436="",'Raw RetailSalesData'!F436/'Raw RetailSalesData'!G436,'Raw RetailSalesData'!E436)</f>
        <v>18</v>
      </c>
      <c r="F436" s="7">
        <f>IF('Raw RetailSalesData'!F436="",'Raw RetailSalesData'!G436/'Raw RetailSalesData'!E436,'Raw RetailSalesData'!F436)</f>
        <v>60</v>
      </c>
      <c r="G436" s="7">
        <f t="shared" si="6"/>
        <v>1080</v>
      </c>
      <c r="H436" s="5" t="str">
        <f>IF('Raw RetailSalesData'!H436="","Unknown",'Raw RetailSalesData'!H436)</f>
        <v>APAC</v>
      </c>
      <c r="I436" t="s">
        <v>151</v>
      </c>
      <c r="J436" t="s">
        <v>188</v>
      </c>
      <c r="K436" t="str">
        <f>TRIM('Raw RetailSalesData'!K436)</f>
        <v>Sales Rep 2</v>
      </c>
      <c r="L436" t="s">
        <v>21</v>
      </c>
    </row>
    <row r="437" spans="1:12" x14ac:dyDescent="0.3">
      <c r="A437" t="str">
        <f>IF(COUNTIF('Raw RetailSalesData'!$A:$L,'Raw RetailSalesData'!A437)=1,'Raw RetailSalesData'!A437,"")</f>
        <v>ORD-10479</v>
      </c>
      <c r="B437" t="str">
        <f>IF('Raw RetailSalesData'!B437="","UNKNOWN",'Raw RetailSalesData'!B437)</f>
        <v>2026-10-03</v>
      </c>
      <c r="C437" t="str">
        <f>IF('Raw RetailSalesData'!C437="","UNKNOW",'Raw RetailSalesData'!C437)</f>
        <v>CUST-1105</v>
      </c>
      <c r="D437" t="str">
        <f>IF('Raw RetailSalesData'!D437="","UNKNOW",'Raw RetailSalesData'!D437)</f>
        <v>P103</v>
      </c>
      <c r="E437" s="5">
        <f>IF('Raw RetailSalesData'!E437="",'Raw RetailSalesData'!F437/'Raw RetailSalesData'!G437,'Raw RetailSalesData'!E437)</f>
        <v>13</v>
      </c>
      <c r="F437" s="7">
        <f>IF('Raw RetailSalesData'!F437="",'Raw RetailSalesData'!G437/'Raw RetailSalesData'!E437,'Raw RetailSalesData'!F437)</f>
        <v>95</v>
      </c>
      <c r="G437" s="7">
        <f t="shared" si="6"/>
        <v>1235</v>
      </c>
      <c r="H437" s="5" t="str">
        <f>IF('Raw RetailSalesData'!H437="","Unknown",'Raw RetailSalesData'!H437)</f>
        <v>EMEA</v>
      </c>
      <c r="I437" t="s">
        <v>83</v>
      </c>
      <c r="J437" t="s">
        <v>84</v>
      </c>
      <c r="K437" t="str">
        <f>TRIM('Raw RetailSalesData'!K437)</f>
        <v>John Smith</v>
      </c>
      <c r="L437" t="s">
        <v>31</v>
      </c>
    </row>
    <row r="438" spans="1:12" x14ac:dyDescent="0.3">
      <c r="A438" t="str">
        <f>IF(COUNTIF('Raw RetailSalesData'!$A:$L,'Raw RetailSalesData'!A438)=1,'Raw RetailSalesData'!A438,"")</f>
        <v>ORD-10480</v>
      </c>
      <c r="B438" t="str">
        <f>IF('Raw RetailSalesData'!B438="","UNKNOWN",'Raw RetailSalesData'!B438)</f>
        <v>2023-12-14</v>
      </c>
      <c r="C438" t="str">
        <f>IF('Raw RetailSalesData'!C438="","UNKNOW",'Raw RetailSalesData'!C438)</f>
        <v>CUST-1011</v>
      </c>
      <c r="D438" t="str">
        <f>IF('Raw RetailSalesData'!D438="","UNKNOW",'Raw RetailSalesData'!D438)</f>
        <v>P103</v>
      </c>
      <c r="E438" s="5">
        <f>IF('Raw RetailSalesData'!E438="",'Raw RetailSalesData'!F438/'Raw RetailSalesData'!G438,'Raw RetailSalesData'!E438)</f>
        <v>4</v>
      </c>
      <c r="F438" s="7">
        <f>IF('Raw RetailSalesData'!F438="",'Raw RetailSalesData'!G438/'Raw RetailSalesData'!E438,'Raw RetailSalesData'!F438)</f>
        <v>95</v>
      </c>
      <c r="G438" s="7">
        <f t="shared" si="6"/>
        <v>380</v>
      </c>
      <c r="H438" s="5" t="str">
        <f>IF('Raw RetailSalesData'!H438="","Unknown",'Raw RetailSalesData'!H438)</f>
        <v>APAC</v>
      </c>
      <c r="I438" t="s">
        <v>71</v>
      </c>
      <c r="J438" t="s">
        <v>72</v>
      </c>
      <c r="K438" t="str">
        <f>TRIM('Raw RetailSalesData'!K438)</f>
        <v>Hiroshi Tanaka</v>
      </c>
      <c r="L438" t="s">
        <v>21</v>
      </c>
    </row>
    <row r="439" spans="1:12" x14ac:dyDescent="0.3">
      <c r="A439" t="str">
        <f>IF(COUNTIF('Raw RetailSalesData'!$A:$L,'Raw RetailSalesData'!A439)=1,'Raw RetailSalesData'!A439,"")</f>
        <v>ORD-10481</v>
      </c>
      <c r="B439" t="str">
        <f>IF('Raw RetailSalesData'!B439="","UNKNOWN",'Raw RetailSalesData'!B439)</f>
        <v>2025-01-21</v>
      </c>
      <c r="C439" t="str">
        <f>IF('Raw RetailSalesData'!C439="","UNKNOW",'Raw RetailSalesData'!C439)</f>
        <v>UNKNOW</v>
      </c>
      <c r="D439" t="str">
        <f>IF('Raw RetailSalesData'!D439="","UNKNOW",'Raw RetailSalesData'!D439)</f>
        <v>P201</v>
      </c>
      <c r="E439" s="5">
        <f>IF('Raw RetailSalesData'!E439="",'Raw RetailSalesData'!F439/'Raw RetailSalesData'!G439,'Raw RetailSalesData'!E439)</f>
        <v>12</v>
      </c>
      <c r="F439" s="7">
        <f>IF('Raw RetailSalesData'!F439="",'Raw RetailSalesData'!G439/'Raw RetailSalesData'!E439,'Raw RetailSalesData'!F439)</f>
        <v>70</v>
      </c>
      <c r="G439" s="7">
        <f t="shared" si="6"/>
        <v>840</v>
      </c>
      <c r="H439" s="5" t="str">
        <f>IF('Raw RetailSalesData'!H439="","Unknown",'Raw RetailSalesData'!H439)</f>
        <v>APAC</v>
      </c>
      <c r="I439" t="s">
        <v>151</v>
      </c>
      <c r="J439" t="s">
        <v>188</v>
      </c>
      <c r="K439" t="str">
        <f>TRIM('Raw RetailSalesData'!K439)</f>
        <v>Sales Rep 2</v>
      </c>
      <c r="L439" t="s">
        <v>31</v>
      </c>
    </row>
    <row r="440" spans="1:12" x14ac:dyDescent="0.3">
      <c r="A440" t="str">
        <f>IF(COUNTIF('Raw RetailSalesData'!$A:$L,'Raw RetailSalesData'!A440)=1,'Raw RetailSalesData'!A440,"")</f>
        <v>ORD-10482</v>
      </c>
      <c r="B440" t="str">
        <f>IF('Raw RetailSalesData'!B440="","UNKNOWN",'Raw RetailSalesData'!B440)</f>
        <v>2022-06-25</v>
      </c>
      <c r="C440" t="str">
        <f>IF('Raw RetailSalesData'!C440="","UNKNOW",'Raw RetailSalesData'!C440)</f>
        <v>CUST-1191</v>
      </c>
      <c r="D440" t="str">
        <f>IF('Raw RetailSalesData'!D440="","UNKNOW",'Raw RetailSalesData'!D440)</f>
        <v>C304</v>
      </c>
      <c r="E440" s="5">
        <f>IF('Raw RetailSalesData'!E440="",'Raw RetailSalesData'!F440/'Raw RetailSalesData'!G440,'Raw RetailSalesData'!E440)</f>
        <v>17</v>
      </c>
      <c r="F440" s="7">
        <f>IF('Raw RetailSalesData'!F440="",'Raw RetailSalesData'!G440/'Raw RetailSalesData'!E440,'Raw RetailSalesData'!F440)</f>
        <v>58</v>
      </c>
      <c r="G440" s="7">
        <f t="shared" si="6"/>
        <v>986</v>
      </c>
      <c r="H440" s="5" t="str">
        <f>IF('Raw RetailSalesData'!H440="","Unknown",'Raw RetailSalesData'!H440)</f>
        <v>APAC</v>
      </c>
      <c r="I440" t="s">
        <v>71</v>
      </c>
      <c r="J440" t="s">
        <v>72</v>
      </c>
      <c r="K440" t="str">
        <f>TRIM('Raw RetailSalesData'!K440)</f>
        <v>Hiroshi Tanaka</v>
      </c>
      <c r="L440" t="s">
        <v>21</v>
      </c>
    </row>
    <row r="441" spans="1:12" x14ac:dyDescent="0.3">
      <c r="A441" t="str">
        <f>IF(COUNTIF('Raw RetailSalesData'!$A:$L,'Raw RetailSalesData'!A441)=1,'Raw RetailSalesData'!A441,"")</f>
        <v>ORD-10485</v>
      </c>
      <c r="B441" t="str">
        <f>IF('Raw RetailSalesData'!B441="","UNKNOWN",'Raw RetailSalesData'!B441)</f>
        <v>2024-07-17</v>
      </c>
      <c r="C441" t="str">
        <f>IF('Raw RetailSalesData'!C441="","UNKNOW",'Raw RetailSalesData'!C441)</f>
        <v>CUST-1059</v>
      </c>
      <c r="D441" t="str">
        <f>IF('Raw RetailSalesData'!D441="","UNKNOW",'Raw RetailSalesData'!D441)</f>
        <v>P103</v>
      </c>
      <c r="E441" s="5">
        <f>IF('Raw RetailSalesData'!E441="",'Raw RetailSalesData'!F441/'Raw RetailSalesData'!G441,'Raw RetailSalesData'!E441)</f>
        <v>19</v>
      </c>
      <c r="F441" s="7">
        <f>IF('Raw RetailSalesData'!F441="",'Raw RetailSalesData'!G441/'Raw RetailSalesData'!E441,'Raw RetailSalesData'!F441)</f>
        <v>95</v>
      </c>
      <c r="G441" s="7">
        <f t="shared" si="6"/>
        <v>1805</v>
      </c>
      <c r="H441" s="5" t="str">
        <f>IF('Raw RetailSalesData'!H441="","Unknown",'Raw RetailSalesData'!H441)</f>
        <v>APAC</v>
      </c>
      <c r="I441" t="s">
        <v>151</v>
      </c>
      <c r="J441" t="s">
        <v>188</v>
      </c>
      <c r="K441" t="str">
        <f>TRIM('Raw RetailSalesData'!K441)</f>
        <v>Sales Rep 4</v>
      </c>
      <c r="L441" t="s">
        <v>46</v>
      </c>
    </row>
    <row r="442" spans="1:12" x14ac:dyDescent="0.3">
      <c r="A442" t="str">
        <f>IF(COUNTIF('Raw RetailSalesData'!$A:$L,'Raw RetailSalesData'!A442)=1,'Raw RetailSalesData'!A442,"")</f>
        <v>ORD-10486</v>
      </c>
      <c r="B442" t="str">
        <f>IF('Raw RetailSalesData'!B442="","UNKNOWN",'Raw RetailSalesData'!B442)</f>
        <v>2023-07-17</v>
      </c>
      <c r="C442" t="str">
        <f>IF('Raw RetailSalesData'!C442="","UNKNOW",'Raw RetailSalesData'!C442)</f>
        <v xml:space="preserve"> CUST-1112 </v>
      </c>
      <c r="D442" t="str">
        <f>IF('Raw RetailSalesData'!D442="","UNKNOW",'Raw RetailSalesData'!D442)</f>
        <v>P103</v>
      </c>
      <c r="E442" s="5">
        <f>IF('Raw RetailSalesData'!E442="",'Raw RetailSalesData'!F442/'Raw RetailSalesData'!G442,'Raw RetailSalesData'!E442)</f>
        <v>10</v>
      </c>
      <c r="F442" s="7">
        <f>IF('Raw RetailSalesData'!F442="",'Raw RetailSalesData'!G442/'Raw RetailSalesData'!E442,'Raw RetailSalesData'!F442)</f>
        <v>95</v>
      </c>
      <c r="G442" s="7">
        <f t="shared" si="6"/>
        <v>950</v>
      </c>
      <c r="H442" s="5" t="str">
        <f>IF('Raw RetailSalesData'!H442="","Unknown",'Raw RetailSalesData'!H442)</f>
        <v>EMEA</v>
      </c>
      <c r="I442" t="s">
        <v>38</v>
      </c>
      <c r="J442" t="s">
        <v>39</v>
      </c>
      <c r="K442" t="str">
        <f>TRIM('Raw RetailSalesData'!K442)</f>
        <v>Sales Rep 3</v>
      </c>
      <c r="L442" t="s">
        <v>21</v>
      </c>
    </row>
    <row r="443" spans="1:12" x14ac:dyDescent="0.3">
      <c r="A443" t="str">
        <f>IF(COUNTIF('Raw RetailSalesData'!$A:$L,'Raw RetailSalesData'!A443)=1,'Raw RetailSalesData'!A443,"")</f>
        <v>ORD-10487</v>
      </c>
      <c r="B443" t="str">
        <f>IF('Raw RetailSalesData'!B443="","UNKNOWN",'Raw RetailSalesData'!B443)</f>
        <v>UNKNOWN</v>
      </c>
      <c r="C443" t="str">
        <f>IF('Raw RetailSalesData'!C443="","UNKNOW",'Raw RetailSalesData'!C443)</f>
        <v>CUST-1113</v>
      </c>
      <c r="D443" t="str">
        <f>IF('Raw RetailSalesData'!D443="","UNKNOW",'Raw RetailSalesData'!D443)</f>
        <v xml:space="preserve"> P202 </v>
      </c>
      <c r="E443" s="5">
        <f>IF('Raw RetailSalesData'!E443="",'Raw RetailSalesData'!F443/'Raw RetailSalesData'!G443,'Raw RetailSalesData'!E443)</f>
        <v>19</v>
      </c>
      <c r="F443" s="7">
        <f>IF('Raw RetailSalesData'!F443="",'Raw RetailSalesData'!G443/'Raw RetailSalesData'!E443,'Raw RetailSalesData'!F443)</f>
        <v>60</v>
      </c>
      <c r="G443" s="7">
        <f t="shared" si="6"/>
        <v>1140</v>
      </c>
      <c r="H443" s="5" t="str">
        <f>IF('Raw RetailSalesData'!H443="","Unknown",'Raw RetailSalesData'!H443)</f>
        <v xml:space="preserve"> LATAM </v>
      </c>
      <c r="I443" t="s">
        <v>18</v>
      </c>
      <c r="J443" t="s">
        <v>2197</v>
      </c>
      <c r="K443" t="str">
        <f>TRIM('Raw RetailSalesData'!K443)</f>
        <v>Sales Rep 1</v>
      </c>
      <c r="L443" t="s">
        <v>46</v>
      </c>
    </row>
    <row r="444" spans="1:12" x14ac:dyDescent="0.3">
      <c r="A444" t="str">
        <f>IF(COUNTIF('Raw RetailSalesData'!$A:$L,'Raw RetailSalesData'!A444)=1,'Raw RetailSalesData'!A444,"")</f>
        <v>ORD-10488</v>
      </c>
      <c r="B444" t="str">
        <f>IF('Raw RetailSalesData'!B444="","UNKNOWN",'Raw RetailSalesData'!B444)</f>
        <v>2026-03-30</v>
      </c>
      <c r="C444" t="str">
        <f>IF('Raw RetailSalesData'!C444="","UNKNOW",'Raw RetailSalesData'!C444)</f>
        <v>CUST-1196</v>
      </c>
      <c r="D444" t="str">
        <f>IF('Raw RetailSalesData'!D444="","UNKNOW",'Raw RetailSalesData'!D444)</f>
        <v>P102</v>
      </c>
      <c r="E444" s="5">
        <f>IF('Raw RetailSalesData'!E444="",'Raw RetailSalesData'!F444/'Raw RetailSalesData'!G444,'Raw RetailSalesData'!E444)</f>
        <v>12</v>
      </c>
      <c r="F444" s="7">
        <f>IF('Raw RetailSalesData'!F444="",'Raw RetailSalesData'!G444/'Raw RetailSalesData'!E444,'Raw RetailSalesData'!F444)</f>
        <v>80</v>
      </c>
      <c r="G444" s="7">
        <f t="shared" si="6"/>
        <v>960</v>
      </c>
      <c r="H444" s="5" t="str">
        <f>IF('Raw RetailSalesData'!H444="","Unknown",'Raw RetailSalesData'!H444)</f>
        <v>EMEA</v>
      </c>
      <c r="I444" t="s">
        <v>38</v>
      </c>
      <c r="J444" t="s">
        <v>39</v>
      </c>
      <c r="K444" t="str">
        <f>TRIM('Raw RetailSalesData'!K444)</f>
        <v>Sales Rep 5</v>
      </c>
      <c r="L444" t="s">
        <v>46</v>
      </c>
    </row>
    <row r="445" spans="1:12" x14ac:dyDescent="0.3">
      <c r="A445" t="str">
        <f>IF(COUNTIF('Raw RetailSalesData'!$A:$L,'Raw RetailSalesData'!A445)=1,'Raw RetailSalesData'!A445,"")</f>
        <v>ORD-10489</v>
      </c>
      <c r="B445" t="str">
        <f>IF('Raw RetailSalesData'!B445="","UNKNOWN",'Raw RetailSalesData'!B445)</f>
        <v>2024-06-24</v>
      </c>
      <c r="C445" t="str">
        <f>IF('Raw RetailSalesData'!C445="","UNKNOW",'Raw RetailSalesData'!C445)</f>
        <v>CUST-1108</v>
      </c>
      <c r="D445" t="str">
        <f>IF('Raw RetailSalesData'!D445="","UNKNOW",'Raw RetailSalesData'!D445)</f>
        <v>P101</v>
      </c>
      <c r="E445" s="5">
        <f>IF('Raw RetailSalesData'!E445="",'Raw RetailSalesData'!F445/'Raw RetailSalesData'!G445,'Raw RetailSalesData'!E445)</f>
        <v>5</v>
      </c>
      <c r="F445" s="7">
        <f>IF('Raw RetailSalesData'!F445="",'Raw RetailSalesData'!G445/'Raw RetailSalesData'!E445,'Raw RetailSalesData'!F445)</f>
        <v>80</v>
      </c>
      <c r="G445" s="7">
        <f t="shared" si="6"/>
        <v>400</v>
      </c>
      <c r="H445" s="5" t="str">
        <f>IF('Raw RetailSalesData'!H445="","Unknown",'Raw RetailSalesData'!H445)</f>
        <v>LATAM</v>
      </c>
      <c r="I445" t="s">
        <v>90</v>
      </c>
      <c r="J445" t="s">
        <v>2198</v>
      </c>
      <c r="K445" t="str">
        <f>TRIM('Raw RetailSalesData'!K445)</f>
        <v>Sales Rep 2</v>
      </c>
      <c r="L445" t="s">
        <v>31</v>
      </c>
    </row>
    <row r="446" spans="1:12" x14ac:dyDescent="0.3">
      <c r="A446" t="str">
        <f>IF(COUNTIF('Raw RetailSalesData'!$A:$L,'Raw RetailSalesData'!A446)=1,'Raw RetailSalesData'!A446,"")</f>
        <v>ORD-10490</v>
      </c>
      <c r="B446" t="str">
        <f>IF('Raw RetailSalesData'!B446="","UNKNOWN",'Raw RetailSalesData'!B446)</f>
        <v>2022-09-25</v>
      </c>
      <c r="C446" t="str">
        <f>IF('Raw RetailSalesData'!C446="","UNKNOW",'Raw RetailSalesData'!C446)</f>
        <v>CUST-1186</v>
      </c>
      <c r="D446" t="str">
        <f>IF('Raw RetailSalesData'!D446="","UNKNOW",'Raw RetailSalesData'!D446)</f>
        <v>P103</v>
      </c>
      <c r="E446" s="5">
        <f>IF('Raw RetailSalesData'!E446="",'Raw RetailSalesData'!F446/'Raw RetailSalesData'!G446,'Raw RetailSalesData'!E446)</f>
        <v>15</v>
      </c>
      <c r="F446" s="7">
        <f>IF('Raw RetailSalesData'!F446="",'Raw RetailSalesData'!G446/'Raw RetailSalesData'!E446,'Raw RetailSalesData'!F446)</f>
        <v>100</v>
      </c>
      <c r="G446" s="7">
        <f t="shared" si="6"/>
        <v>1500</v>
      </c>
      <c r="H446" s="5" t="str">
        <f>IF('Raw RetailSalesData'!H446="","Unknown",'Raw RetailSalesData'!H446)</f>
        <v>NA</v>
      </c>
      <c r="I446" t="s">
        <v>28</v>
      </c>
      <c r="J446" t="s">
        <v>29</v>
      </c>
      <c r="K446" t="str">
        <f>TRIM('Raw RetailSalesData'!K446)</f>
        <v>Sales Rep 1</v>
      </c>
      <c r="L446" t="s">
        <v>31</v>
      </c>
    </row>
    <row r="447" spans="1:12" x14ac:dyDescent="0.3">
      <c r="A447" t="str">
        <f>IF(COUNTIF('Raw RetailSalesData'!$A:$L,'Raw RetailSalesData'!A447)=1,'Raw RetailSalesData'!A447,"")</f>
        <v>ORD-10491</v>
      </c>
      <c r="B447" t="str">
        <f>IF('Raw RetailSalesData'!B447="","UNKNOWN",'Raw RetailSalesData'!B447)</f>
        <v>2026-03-29</v>
      </c>
      <c r="C447" t="str">
        <f>IF('Raw RetailSalesData'!C447="","UNKNOW",'Raw RetailSalesData'!C447)</f>
        <v>UNKNOW</v>
      </c>
      <c r="D447" t="str">
        <f>IF('Raw RetailSalesData'!D447="","UNKNOW",'Raw RetailSalesData'!D447)</f>
        <v>C302</v>
      </c>
      <c r="E447" s="5">
        <f>IF('Raw RetailSalesData'!E447="",'Raw RetailSalesData'!F447/'Raw RetailSalesData'!G447,'Raw RetailSalesData'!E447)</f>
        <v>1</v>
      </c>
      <c r="F447" s="7">
        <f>IF('Raw RetailSalesData'!F447="",'Raw RetailSalesData'!G447/'Raw RetailSalesData'!E447,'Raw RetailSalesData'!F447)</f>
        <v>55</v>
      </c>
      <c r="G447" s="7">
        <f t="shared" si="6"/>
        <v>55</v>
      </c>
      <c r="H447" s="5" t="str">
        <f>IF('Raw RetailSalesData'!H447="","Unknown",'Raw RetailSalesData'!H447)</f>
        <v>NA</v>
      </c>
      <c r="I447" t="s">
        <v>100</v>
      </c>
      <c r="J447" t="s">
        <v>101</v>
      </c>
      <c r="K447" t="str">
        <f>TRIM('Raw RetailSalesData'!K447)</f>
        <v>Sales Rep 1</v>
      </c>
      <c r="L447" t="s">
        <v>21</v>
      </c>
    </row>
    <row r="448" spans="1:12" x14ac:dyDescent="0.3">
      <c r="A448" t="str">
        <f>IF(COUNTIF('Raw RetailSalesData'!$A:$L,'Raw RetailSalesData'!A448)=1,'Raw RetailSalesData'!A448,"")</f>
        <v>ORD-10492</v>
      </c>
      <c r="B448" t="str">
        <f>IF('Raw RetailSalesData'!B448="","UNKNOWN",'Raw RetailSalesData'!B448)</f>
        <v>2022-07-24</v>
      </c>
      <c r="C448" t="str">
        <f>IF('Raw RetailSalesData'!C448="","UNKNOW",'Raw RetailSalesData'!C448)</f>
        <v>CUST-1028</v>
      </c>
      <c r="D448" t="str">
        <f>IF('Raw RetailSalesData'!D448="","UNKNOW",'Raw RetailSalesData'!D448)</f>
        <v>C301</v>
      </c>
      <c r="E448" s="5">
        <f>IF('Raw RetailSalesData'!E448="",'Raw RetailSalesData'!F448/'Raw RetailSalesData'!G448,'Raw RetailSalesData'!E448)</f>
        <v>15</v>
      </c>
      <c r="F448" s="7">
        <f>IF('Raw RetailSalesData'!F448="",'Raw RetailSalesData'!G448/'Raw RetailSalesData'!E448,'Raw RetailSalesData'!F448)</f>
        <v>55</v>
      </c>
      <c r="G448" s="7">
        <f t="shared" si="6"/>
        <v>825</v>
      </c>
      <c r="H448" s="5" t="str">
        <f>IF('Raw RetailSalesData'!H448="","Unknown",'Raw RetailSalesData'!H448)</f>
        <v>APAC</v>
      </c>
      <c r="I448" t="s">
        <v>151</v>
      </c>
      <c r="J448" t="s">
        <v>188</v>
      </c>
      <c r="K448" t="str">
        <f>TRIM('Raw RetailSalesData'!K448)</f>
        <v>Sales Rep 2</v>
      </c>
      <c r="L448" t="s">
        <v>21</v>
      </c>
    </row>
    <row r="449" spans="1:12" x14ac:dyDescent="0.3">
      <c r="A449" t="str">
        <f>IF(COUNTIF('Raw RetailSalesData'!$A:$L,'Raw RetailSalesData'!A449)=1,'Raw RetailSalesData'!A449,"")</f>
        <v>ORD-10493</v>
      </c>
      <c r="B449" t="str">
        <f>IF('Raw RetailSalesData'!B449="","UNKNOWN",'Raw RetailSalesData'!B449)</f>
        <v>2025-01-29</v>
      </c>
      <c r="C449" t="str">
        <f>IF('Raw RetailSalesData'!C449="","UNKNOW",'Raw RetailSalesData'!C449)</f>
        <v>CUST-1079</v>
      </c>
      <c r="D449" t="str">
        <f>IF('Raw RetailSalesData'!D449="","UNKNOW",'Raw RetailSalesData'!D449)</f>
        <v>P102</v>
      </c>
      <c r="E449" s="5">
        <f>IF('Raw RetailSalesData'!E449="",'Raw RetailSalesData'!F449/'Raw RetailSalesData'!G449,'Raw RetailSalesData'!E449)</f>
        <v>8</v>
      </c>
      <c r="F449" s="7">
        <f>IF('Raw RetailSalesData'!F449="",'Raw RetailSalesData'!G449/'Raw RetailSalesData'!E449,'Raw RetailSalesData'!F449)</f>
        <v>80</v>
      </c>
      <c r="G449" s="7">
        <f t="shared" si="6"/>
        <v>640</v>
      </c>
      <c r="H449" s="5" t="str">
        <f>IF('Raw RetailSalesData'!H449="","Unknown",'Raw RetailSalesData'!H449)</f>
        <v>APAC</v>
      </c>
      <c r="I449" t="s">
        <v>151</v>
      </c>
      <c r="J449" t="s">
        <v>152</v>
      </c>
      <c r="K449" t="str">
        <f>TRIM('Raw RetailSalesData'!K449)</f>
        <v>Aarav Patel</v>
      </c>
      <c r="L449" t="s">
        <v>31</v>
      </c>
    </row>
    <row r="450" spans="1:12" x14ac:dyDescent="0.3">
      <c r="A450" t="str">
        <f>IF(COUNTIF('Raw RetailSalesData'!$A:$L,'Raw RetailSalesData'!A450)=1,'Raw RetailSalesData'!A450,"")</f>
        <v>ORD-10494</v>
      </c>
      <c r="B450" t="str">
        <f>IF('Raw RetailSalesData'!B450="","UNKNOWN",'Raw RetailSalesData'!B450)</f>
        <v>2022-05-15</v>
      </c>
      <c r="C450" t="str">
        <f>IF('Raw RetailSalesData'!C450="","UNKNOW",'Raw RetailSalesData'!C450)</f>
        <v>CUST-1115</v>
      </c>
      <c r="D450" t="str">
        <f>IF('Raw RetailSalesData'!D450="","UNKNOW",'Raw RetailSalesData'!D450)</f>
        <v>P201</v>
      </c>
      <c r="E450" s="5">
        <f>IF('Raw RetailSalesData'!E450="",'Raw RetailSalesData'!F450/'Raw RetailSalesData'!G450,'Raw RetailSalesData'!E450)</f>
        <v>9</v>
      </c>
      <c r="F450" s="7">
        <f>IF('Raw RetailSalesData'!F450="",'Raw RetailSalesData'!G450/'Raw RetailSalesData'!E450,'Raw RetailSalesData'!F450)</f>
        <v>65</v>
      </c>
      <c r="G450" s="7">
        <f t="shared" si="6"/>
        <v>585</v>
      </c>
      <c r="H450" s="5" t="str">
        <f>IF('Raw RetailSalesData'!H450="","Unknown",'Raw RetailSalesData'!H450)</f>
        <v>LATAM</v>
      </c>
      <c r="I450" t="s">
        <v>90</v>
      </c>
      <c r="J450" t="s">
        <v>2198</v>
      </c>
      <c r="K450" t="str">
        <f>TRIM('Raw RetailSalesData'!K450)</f>
        <v>Sales Rep 1</v>
      </c>
      <c r="L450" t="s">
        <v>46</v>
      </c>
    </row>
    <row r="451" spans="1:12" x14ac:dyDescent="0.3">
      <c r="A451" t="str">
        <f>IF(COUNTIF('Raw RetailSalesData'!$A:$L,'Raw RetailSalesData'!A451)=1,'Raw RetailSalesData'!A451,"")</f>
        <v>ORD-10495</v>
      </c>
      <c r="B451" t="str">
        <f>IF('Raw RetailSalesData'!B451="","UNKNOWN",'Raw RetailSalesData'!B451)</f>
        <v>2022-10-14</v>
      </c>
      <c r="C451" t="str">
        <f>IF('Raw RetailSalesData'!C451="","UNKNOW",'Raw RetailSalesData'!C451)</f>
        <v>CUST-1018</v>
      </c>
      <c r="D451" t="str">
        <f>IF('Raw RetailSalesData'!D451="","UNKNOW",'Raw RetailSalesData'!D451)</f>
        <v>C304</v>
      </c>
      <c r="E451" s="5">
        <f>IF('Raw RetailSalesData'!E451="",'Raw RetailSalesData'!F451/'Raw RetailSalesData'!G451,'Raw RetailSalesData'!E451)</f>
        <v>2</v>
      </c>
      <c r="F451" s="7">
        <f>IF('Raw RetailSalesData'!F451="",'Raw RetailSalesData'!G451/'Raw RetailSalesData'!E451,'Raw RetailSalesData'!F451)</f>
        <v>63</v>
      </c>
      <c r="G451" s="7">
        <f t="shared" ref="G451:G514" si="7">F451*E451</f>
        <v>126</v>
      </c>
      <c r="H451" s="5" t="str">
        <f>IF('Raw RetailSalesData'!H451="","Unknown",'Raw RetailSalesData'!H451)</f>
        <v>NA</v>
      </c>
      <c r="I451" t="s">
        <v>28</v>
      </c>
      <c r="J451" t="s">
        <v>29</v>
      </c>
      <c r="K451" t="str">
        <f>TRIM('Raw RetailSalesData'!K451)</f>
        <v>Sales Rep 4</v>
      </c>
      <c r="L451" t="s">
        <v>31</v>
      </c>
    </row>
    <row r="452" spans="1:12" x14ac:dyDescent="0.3">
      <c r="A452" t="str">
        <f>IF(COUNTIF('Raw RetailSalesData'!$A:$L,'Raw RetailSalesData'!A452)=1,'Raw RetailSalesData'!A452,"")</f>
        <v>ORD-10496</v>
      </c>
      <c r="B452" t="str">
        <f>IF('Raw RetailSalesData'!B452="","UNKNOWN",'Raw RetailSalesData'!B452)</f>
        <v>UNKNOWN</v>
      </c>
      <c r="C452" t="str">
        <f>IF('Raw RetailSalesData'!C452="","UNKNOW",'Raw RetailSalesData'!C452)</f>
        <v>CUST-1138</v>
      </c>
      <c r="D452" t="str">
        <f>IF('Raw RetailSalesData'!D452="","UNKNOW",'Raw RetailSalesData'!D452)</f>
        <v>P203</v>
      </c>
      <c r="E452" s="5">
        <f>IF('Raw RetailSalesData'!E452="",'Raw RetailSalesData'!F452/'Raw RetailSalesData'!G452,'Raw RetailSalesData'!E452)</f>
        <v>11</v>
      </c>
      <c r="F452" s="7">
        <f>IF('Raw RetailSalesData'!F452="",'Raw RetailSalesData'!G452/'Raw RetailSalesData'!E452,'Raw RetailSalesData'!F452)</f>
        <v>63</v>
      </c>
      <c r="G452" s="7">
        <f t="shared" si="7"/>
        <v>693</v>
      </c>
      <c r="H452" s="5" t="str">
        <f>IF('Raw RetailSalesData'!H452="","Unknown",'Raw RetailSalesData'!H452)</f>
        <v>Unknown</v>
      </c>
      <c r="I452" t="s">
        <v>90</v>
      </c>
      <c r="J452" t="s">
        <v>2198</v>
      </c>
      <c r="K452" t="str">
        <f>TRIM('Raw RetailSalesData'!K452)</f>
        <v>Sales Rep 3</v>
      </c>
      <c r="L452" t="s">
        <v>46</v>
      </c>
    </row>
    <row r="453" spans="1:12" x14ac:dyDescent="0.3">
      <c r="A453" t="str">
        <f>IF(COUNTIF('Raw RetailSalesData'!$A:$L,'Raw RetailSalesData'!A453)=1,'Raw RetailSalesData'!A453,"")</f>
        <v>ORD-10497</v>
      </c>
      <c r="B453" t="str">
        <f>IF('Raw RetailSalesData'!B453="","UNKNOWN",'Raw RetailSalesData'!B453)</f>
        <v>2023-04-16</v>
      </c>
      <c r="C453" t="str">
        <f>IF('Raw RetailSalesData'!C453="","UNKNOW",'Raw RetailSalesData'!C453)</f>
        <v>UNKNOW</v>
      </c>
      <c r="D453" t="str">
        <f>IF('Raw RetailSalesData'!D453="","UNKNOW",'Raw RetailSalesData'!D453)</f>
        <v>P103</v>
      </c>
      <c r="E453" s="5">
        <f>IF('Raw RetailSalesData'!E453="",'Raw RetailSalesData'!F453/'Raw RetailSalesData'!G453,'Raw RetailSalesData'!E453)</f>
        <v>17</v>
      </c>
      <c r="F453" s="7">
        <f>IF('Raw RetailSalesData'!F453="",'Raw RetailSalesData'!G453/'Raw RetailSalesData'!E453,'Raw RetailSalesData'!F453)</f>
        <v>90</v>
      </c>
      <c r="G453" s="7">
        <f t="shared" si="7"/>
        <v>1530</v>
      </c>
      <c r="H453" s="5" t="str">
        <f>IF('Raw RetailSalesData'!H453="","Unknown",'Raw RetailSalesData'!H453)</f>
        <v>LATAM</v>
      </c>
      <c r="I453" t="s">
        <v>90</v>
      </c>
      <c r="J453" t="s">
        <v>2198</v>
      </c>
      <c r="K453" t="str">
        <f>TRIM('Raw RetailSalesData'!K453)</f>
        <v>Sales Rep 5</v>
      </c>
      <c r="L453" t="s">
        <v>31</v>
      </c>
    </row>
    <row r="454" spans="1:12" x14ac:dyDescent="0.3">
      <c r="A454" t="str">
        <f>IF(COUNTIF('Raw RetailSalesData'!$A:$L,'Raw RetailSalesData'!A454)=1,'Raw RetailSalesData'!A454,"")</f>
        <v>ORD-10498</v>
      </c>
      <c r="B454" t="str">
        <f>IF('Raw RetailSalesData'!B454="","UNKNOWN",'Raw RetailSalesData'!B454)</f>
        <v>2022-09-10</v>
      </c>
      <c r="C454" t="str">
        <f>IF('Raw RetailSalesData'!C454="","UNKNOW",'Raw RetailSalesData'!C454)</f>
        <v>CUST-1099</v>
      </c>
      <c r="D454" t="str">
        <f>IF('Raw RetailSalesData'!D454="","UNKNOW",'Raw RetailSalesData'!D454)</f>
        <v>P201</v>
      </c>
      <c r="E454" s="5">
        <f>IF('Raw RetailSalesData'!E454="",'Raw RetailSalesData'!F454/'Raw RetailSalesData'!G454,'Raw RetailSalesData'!E454)</f>
        <v>2</v>
      </c>
      <c r="F454" s="7">
        <f>IF('Raw RetailSalesData'!F454="",'Raw RetailSalesData'!G454/'Raw RetailSalesData'!E454,'Raw RetailSalesData'!F454)</f>
        <v>70</v>
      </c>
      <c r="G454" s="7">
        <f t="shared" si="7"/>
        <v>140</v>
      </c>
      <c r="H454" s="5" t="str">
        <f>IF('Raw RetailSalesData'!H454="","Unknown",'Raw RetailSalesData'!H454)</f>
        <v>EMEA</v>
      </c>
      <c r="I454" t="s">
        <v>225</v>
      </c>
      <c r="J454" t="s">
        <v>226</v>
      </c>
      <c r="K454" t="str">
        <f>TRIM('Raw RetailSalesData'!K454)</f>
        <v>Sales Rep 5</v>
      </c>
      <c r="L454" t="s">
        <v>21</v>
      </c>
    </row>
    <row r="455" spans="1:12" x14ac:dyDescent="0.3">
      <c r="A455" t="str">
        <f>IF(COUNTIF('Raw RetailSalesData'!$A:$L,'Raw RetailSalesData'!A455)=1,'Raw RetailSalesData'!A455,"")</f>
        <v>ORD-10499</v>
      </c>
      <c r="B455" t="str">
        <f>IF('Raw RetailSalesData'!B455="","UNKNOWN",'Raw RetailSalesData'!B455)</f>
        <v>2023-03-22</v>
      </c>
      <c r="C455" t="str">
        <f>IF('Raw RetailSalesData'!C455="","UNKNOW",'Raw RetailSalesData'!C455)</f>
        <v>CUST-1067</v>
      </c>
      <c r="D455" t="str">
        <f>IF('Raw RetailSalesData'!D455="","UNKNOW",'Raw RetailSalesData'!D455)</f>
        <v xml:space="preserve"> P202 </v>
      </c>
      <c r="E455" s="5">
        <f>IF('Raw RetailSalesData'!E455="",'Raw RetailSalesData'!F455/'Raw RetailSalesData'!G455,'Raw RetailSalesData'!E455)</f>
        <v>0.125</v>
      </c>
      <c r="F455" s="7">
        <f>IF('Raw RetailSalesData'!F455="",'Raw RetailSalesData'!G455/'Raw RetailSalesData'!E455,'Raw RetailSalesData'!F455)</f>
        <v>70</v>
      </c>
      <c r="G455" s="7">
        <f t="shared" si="7"/>
        <v>8.75</v>
      </c>
      <c r="H455" s="5" t="str">
        <f>IF('Raw RetailSalesData'!H455="","Unknown",'Raw RetailSalesData'!H455)</f>
        <v>NA</v>
      </c>
      <c r="I455" t="s">
        <v>100</v>
      </c>
      <c r="J455" t="s">
        <v>101</v>
      </c>
      <c r="K455" t="str">
        <f>TRIM('Raw RetailSalesData'!K455)</f>
        <v>Sales Rep 5</v>
      </c>
      <c r="L455" t="s">
        <v>21</v>
      </c>
    </row>
    <row r="456" spans="1:12" x14ac:dyDescent="0.3">
      <c r="A456" t="str">
        <f>IF(COUNTIF('Raw RetailSalesData'!$A:$L,'Raw RetailSalesData'!A456)=1,'Raw RetailSalesData'!A456,"")</f>
        <v>ORD-10500</v>
      </c>
      <c r="B456" t="str">
        <f>IF('Raw RetailSalesData'!B456="","UNKNOWN",'Raw RetailSalesData'!B456)</f>
        <v>2024-01-24</v>
      </c>
      <c r="C456" t="str">
        <f>IF('Raw RetailSalesData'!C456="","UNKNOW",'Raw RetailSalesData'!C456)</f>
        <v>CUST-1194</v>
      </c>
      <c r="D456" t="str">
        <f>IF('Raw RetailSalesData'!D456="","UNKNOW",'Raw RetailSalesData'!D456)</f>
        <v>P101</v>
      </c>
      <c r="E456" s="5">
        <f>IF('Raw RetailSalesData'!E456="",'Raw RetailSalesData'!F456/'Raw RetailSalesData'!G456,'Raw RetailSalesData'!E456)</f>
        <v>9</v>
      </c>
      <c r="F456" s="7">
        <f>IF('Raw RetailSalesData'!F456="",'Raw RetailSalesData'!G456/'Raw RetailSalesData'!E456,'Raw RetailSalesData'!F456)</f>
        <v>85</v>
      </c>
      <c r="G456" s="7">
        <f t="shared" si="7"/>
        <v>765</v>
      </c>
      <c r="H456" s="5" t="str">
        <f>IF('Raw RetailSalesData'!H456="","Unknown",'Raw RetailSalesData'!H456)</f>
        <v>APAC</v>
      </c>
      <c r="I456" t="s">
        <v>151</v>
      </c>
      <c r="J456" t="s">
        <v>152</v>
      </c>
      <c r="K456" t="str">
        <f>TRIM('Raw RetailSalesData'!K456)</f>
        <v>Aarav Patel</v>
      </c>
      <c r="L456" t="s">
        <v>46</v>
      </c>
    </row>
    <row r="457" spans="1:12" x14ac:dyDescent="0.3">
      <c r="A457" t="str">
        <f>IF(COUNTIF('Raw RetailSalesData'!$A:$L,'Raw RetailSalesData'!A457)=1,'Raw RetailSalesData'!A457,"")</f>
        <v>ORD-10501</v>
      </c>
      <c r="B457" t="str">
        <f>IF('Raw RetailSalesData'!B457="","UNKNOWN",'Raw RetailSalesData'!B457)</f>
        <v>2025-02-10</v>
      </c>
      <c r="C457" t="str">
        <f>IF('Raw RetailSalesData'!C457="","UNKNOW",'Raw RetailSalesData'!C457)</f>
        <v>CUST-1177</v>
      </c>
      <c r="D457" t="str">
        <f>IF('Raw RetailSalesData'!D457="","UNKNOW",'Raw RetailSalesData'!D457)</f>
        <v>P102</v>
      </c>
      <c r="E457" s="5">
        <f>IF('Raw RetailSalesData'!E457="",'Raw RetailSalesData'!F457/'Raw RetailSalesData'!G457,'Raw RetailSalesData'!E457)</f>
        <v>1</v>
      </c>
      <c r="F457" s="7">
        <f>IF('Raw RetailSalesData'!F457="",'Raw RetailSalesData'!G457/'Raw RetailSalesData'!E457,'Raw RetailSalesData'!F457)</f>
        <v>80</v>
      </c>
      <c r="G457" s="7">
        <f t="shared" si="7"/>
        <v>80</v>
      </c>
      <c r="H457" s="5" t="str">
        <f>IF('Raw RetailSalesData'!H457="","Unknown",'Raw RetailSalesData'!H457)</f>
        <v>APAC</v>
      </c>
      <c r="I457" t="s">
        <v>183</v>
      </c>
      <c r="J457" t="s">
        <v>184</v>
      </c>
      <c r="K457" t="str">
        <f>TRIM('Raw RetailSalesData'!K457)</f>
        <v>Sales Rep 4</v>
      </c>
      <c r="L457" t="s">
        <v>46</v>
      </c>
    </row>
    <row r="458" spans="1:12" x14ac:dyDescent="0.3">
      <c r="A458" t="str">
        <f>IF(COUNTIF('Raw RetailSalesData'!$A:$L,'Raw RetailSalesData'!A458)=1,'Raw RetailSalesData'!A458,"")</f>
        <v>ORD-10502</v>
      </c>
      <c r="B458" t="str">
        <f>IF('Raw RetailSalesData'!B458="","UNKNOWN",'Raw RetailSalesData'!B458)</f>
        <v>UNKNOWN</v>
      </c>
      <c r="C458" t="str">
        <f>IF('Raw RetailSalesData'!C458="","UNKNOW",'Raw RetailSalesData'!C458)</f>
        <v>CUST-1140</v>
      </c>
      <c r="D458" t="str">
        <f>IF('Raw RetailSalesData'!D458="","UNKNOW",'Raw RetailSalesData'!D458)</f>
        <v>P102</v>
      </c>
      <c r="E458" s="5">
        <f>IF('Raw RetailSalesData'!E458="",'Raw RetailSalesData'!F458/'Raw RetailSalesData'!G458,'Raw RetailSalesData'!E458)</f>
        <v>5</v>
      </c>
      <c r="F458" s="7">
        <f>IF('Raw RetailSalesData'!F458="",'Raw RetailSalesData'!G458/'Raw RetailSalesData'!E458,'Raw RetailSalesData'!F458)</f>
        <v>75</v>
      </c>
      <c r="G458" s="7">
        <f t="shared" si="7"/>
        <v>375</v>
      </c>
      <c r="H458" s="5" t="str">
        <f>IF('Raw RetailSalesData'!H458="","Unknown",'Raw RetailSalesData'!H458)</f>
        <v>LATAM</v>
      </c>
      <c r="I458" t="s">
        <v>90</v>
      </c>
      <c r="J458" t="s">
        <v>2198</v>
      </c>
      <c r="K458" t="str">
        <f>TRIM('Raw RetailSalesData'!K458)</f>
        <v>Sales Rep 2</v>
      </c>
      <c r="L458" t="s">
        <v>46</v>
      </c>
    </row>
    <row r="459" spans="1:12" x14ac:dyDescent="0.3">
      <c r="A459" t="str">
        <f>IF(COUNTIF('Raw RetailSalesData'!$A:$L,'Raw RetailSalesData'!A459)=1,'Raw RetailSalesData'!A459,"")</f>
        <v>ORD-10503</v>
      </c>
      <c r="B459" t="str">
        <f>IF('Raw RetailSalesData'!B459="","UNKNOWN",'Raw RetailSalesData'!B459)</f>
        <v>2025-02-03</v>
      </c>
      <c r="C459" t="str">
        <f>IF('Raw RetailSalesData'!C459="","UNKNOW",'Raw RetailSalesData'!C459)</f>
        <v>UNKNOW</v>
      </c>
      <c r="D459" t="str">
        <f>IF('Raw RetailSalesData'!D459="","UNKNOW",'Raw RetailSalesData'!D459)</f>
        <v>P202</v>
      </c>
      <c r="E459" s="5">
        <f>IF('Raw RetailSalesData'!E459="",'Raw RetailSalesData'!F459/'Raw RetailSalesData'!G459,'Raw RetailSalesData'!E459)</f>
        <v>9</v>
      </c>
      <c r="F459" s="7">
        <f>IF('Raw RetailSalesData'!F459="",'Raw RetailSalesData'!G459/'Raw RetailSalesData'!E459,'Raw RetailSalesData'!F459)</f>
        <v>65</v>
      </c>
      <c r="G459" s="7">
        <f t="shared" si="7"/>
        <v>585</v>
      </c>
      <c r="H459" s="5" t="str">
        <f>IF('Raw RetailSalesData'!H459="","Unknown",'Raw RetailSalesData'!H459)</f>
        <v>EMEA</v>
      </c>
      <c r="I459" t="s">
        <v>38</v>
      </c>
      <c r="J459" t="s">
        <v>39</v>
      </c>
      <c r="K459" t="str">
        <f>TRIM('Raw RetailSalesData'!K459)</f>
        <v>Sales Rep 1</v>
      </c>
      <c r="L459" t="s">
        <v>21</v>
      </c>
    </row>
    <row r="460" spans="1:12" x14ac:dyDescent="0.3">
      <c r="A460" t="str">
        <f>IF(COUNTIF('Raw RetailSalesData'!$A:$L,'Raw RetailSalesData'!A460)=1,'Raw RetailSalesData'!A460,"")</f>
        <v>ORD-10504</v>
      </c>
      <c r="B460" t="str">
        <f>IF('Raw RetailSalesData'!B460="","UNKNOWN",'Raw RetailSalesData'!B460)</f>
        <v>2023-09-18</v>
      </c>
      <c r="C460" t="str">
        <f>IF('Raw RetailSalesData'!C460="","UNKNOW",'Raw RetailSalesData'!C460)</f>
        <v>CUST-1128</v>
      </c>
      <c r="D460" t="str">
        <f>IF('Raw RetailSalesData'!D460="","UNKNOW",'Raw RetailSalesData'!D460)</f>
        <v>P202</v>
      </c>
      <c r="E460" s="5">
        <f>IF('Raw RetailSalesData'!E460="",'Raw RetailSalesData'!F460/'Raw RetailSalesData'!G460,'Raw RetailSalesData'!E460)</f>
        <v>17</v>
      </c>
      <c r="F460" s="7">
        <f>IF('Raw RetailSalesData'!F460="",'Raw RetailSalesData'!G460/'Raw RetailSalesData'!E460,'Raw RetailSalesData'!F460)</f>
        <v>70</v>
      </c>
      <c r="G460" s="7">
        <f t="shared" si="7"/>
        <v>1190</v>
      </c>
      <c r="H460" s="5" t="str">
        <f>IF('Raw RetailSalesData'!H460="","Unknown",'Raw RetailSalesData'!H460)</f>
        <v>NA</v>
      </c>
      <c r="I460" t="s">
        <v>28</v>
      </c>
      <c r="J460" t="s">
        <v>29</v>
      </c>
      <c r="K460" t="str">
        <f>TRIM('Raw RetailSalesData'!K460)</f>
        <v>Sales Rep 5</v>
      </c>
      <c r="L460" t="s">
        <v>21</v>
      </c>
    </row>
    <row r="461" spans="1:12" x14ac:dyDescent="0.3">
      <c r="A461" t="str">
        <f>IF(COUNTIF('Raw RetailSalesData'!$A:$L,'Raw RetailSalesData'!A461)=1,'Raw RetailSalesData'!A461,"")</f>
        <v>ORD-10505</v>
      </c>
      <c r="B461" t="str">
        <f>IF('Raw RetailSalesData'!B461="","UNKNOWN",'Raw RetailSalesData'!B461)</f>
        <v>2023-07-06</v>
      </c>
      <c r="C461" t="str">
        <f>IF('Raw RetailSalesData'!C461="","UNKNOW",'Raw RetailSalesData'!C461)</f>
        <v>CUST-1165</v>
      </c>
      <c r="D461" t="str">
        <f>IF('Raw RetailSalesData'!D461="","UNKNOW",'Raw RetailSalesData'!D461)</f>
        <v>P101</v>
      </c>
      <c r="E461" s="5">
        <f>IF('Raw RetailSalesData'!E461="",'Raw RetailSalesData'!F461/'Raw RetailSalesData'!G461,'Raw RetailSalesData'!E461)</f>
        <v>8</v>
      </c>
      <c r="F461" s="7">
        <f>IF('Raw RetailSalesData'!F461="",'Raw RetailSalesData'!G461/'Raw RetailSalesData'!E461,'Raw RetailSalesData'!F461)</f>
        <v>85</v>
      </c>
      <c r="G461" s="7">
        <f t="shared" si="7"/>
        <v>680</v>
      </c>
      <c r="H461" s="5" t="str">
        <f>IF('Raw RetailSalesData'!H461="","Unknown",'Raw RetailSalesData'!H461)</f>
        <v>EMEA</v>
      </c>
      <c r="I461" t="s">
        <v>83</v>
      </c>
      <c r="J461" t="s">
        <v>84</v>
      </c>
      <c r="K461" t="str">
        <f>TRIM('Raw RetailSalesData'!K461)</f>
        <v>John Smith</v>
      </c>
      <c r="L461" t="s">
        <v>31</v>
      </c>
    </row>
    <row r="462" spans="1:12" x14ac:dyDescent="0.3">
      <c r="A462" t="str">
        <f>IF(COUNTIF('Raw RetailSalesData'!$A:$L,'Raw RetailSalesData'!A462)=1,'Raw RetailSalesData'!A462,"")</f>
        <v>ORD-10506</v>
      </c>
      <c r="B462" t="str">
        <f>IF('Raw RetailSalesData'!B462="","UNKNOWN",'Raw RetailSalesData'!B462)</f>
        <v>2024-11-11</v>
      </c>
      <c r="C462" t="str">
        <f>IF('Raw RetailSalesData'!C462="","UNKNOW",'Raw RetailSalesData'!C462)</f>
        <v>CUST-1002</v>
      </c>
      <c r="D462" t="str">
        <f>IF('Raw RetailSalesData'!D462="","UNKNOW",'Raw RetailSalesData'!D462)</f>
        <v>P102</v>
      </c>
      <c r="E462" s="5">
        <f>IF('Raw RetailSalesData'!E462="",'Raw RetailSalesData'!F462/'Raw RetailSalesData'!G462,'Raw RetailSalesData'!E462)</f>
        <v>7</v>
      </c>
      <c r="F462" s="7">
        <f>IF('Raw RetailSalesData'!F462="",'Raw RetailSalesData'!G462/'Raw RetailSalesData'!E462,'Raw RetailSalesData'!F462)</f>
        <v>80</v>
      </c>
      <c r="G462" s="7">
        <f t="shared" si="7"/>
        <v>560</v>
      </c>
      <c r="H462" s="5" t="str">
        <f>IF('Raw RetailSalesData'!H462="","Unknown",'Raw RetailSalesData'!H462)</f>
        <v>APAC</v>
      </c>
      <c r="I462" t="s">
        <v>2190</v>
      </c>
      <c r="J462" t="s">
        <v>152</v>
      </c>
      <c r="K462" t="str">
        <f>TRIM('Raw RetailSalesData'!K462)</f>
        <v>Aarav Patel</v>
      </c>
      <c r="L462" t="s">
        <v>46</v>
      </c>
    </row>
    <row r="463" spans="1:12" x14ac:dyDescent="0.3">
      <c r="A463" t="str">
        <f>IF(COUNTIF('Raw RetailSalesData'!$A:$L,'Raw RetailSalesData'!A463)=1,'Raw RetailSalesData'!A463,"")</f>
        <v>ORD-10507</v>
      </c>
      <c r="B463" t="str">
        <f>IF('Raw RetailSalesData'!B463="","UNKNOWN",'Raw RetailSalesData'!B463)</f>
        <v>2022-12-15</v>
      </c>
      <c r="C463" t="str">
        <f>IF('Raw RetailSalesData'!C463="","UNKNOW",'Raw RetailSalesData'!C463)</f>
        <v>CUST-1087</v>
      </c>
      <c r="D463" t="str">
        <f>IF('Raw RetailSalesData'!D463="","UNKNOW",'Raw RetailSalesData'!D463)</f>
        <v>P101</v>
      </c>
      <c r="E463" s="5">
        <f>IF('Raw RetailSalesData'!E463="",'Raw RetailSalesData'!F463/'Raw RetailSalesData'!G463,'Raw RetailSalesData'!E463)</f>
        <v>8</v>
      </c>
      <c r="F463" s="7">
        <f>IF('Raw RetailSalesData'!F463="",'Raw RetailSalesData'!G463/'Raw RetailSalesData'!E463,'Raw RetailSalesData'!F463)</f>
        <v>85</v>
      </c>
      <c r="G463" s="7">
        <f t="shared" si="7"/>
        <v>680</v>
      </c>
      <c r="H463" s="5" t="str">
        <f>IF('Raw RetailSalesData'!H463="","Unknown",'Raw RetailSalesData'!H463)</f>
        <v>APAC</v>
      </c>
      <c r="I463" t="s">
        <v>71</v>
      </c>
      <c r="J463" t="s">
        <v>72</v>
      </c>
      <c r="K463" t="str">
        <f>TRIM('Raw RetailSalesData'!K463)</f>
        <v>Hiroshi Tanaka</v>
      </c>
      <c r="L463" t="s">
        <v>31</v>
      </c>
    </row>
    <row r="464" spans="1:12" x14ac:dyDescent="0.3">
      <c r="A464" t="str">
        <f>IF(COUNTIF('Raw RetailSalesData'!$A:$L,'Raw RetailSalesData'!A464)=1,'Raw RetailSalesData'!A464,"")</f>
        <v>ORD-10508</v>
      </c>
      <c r="B464" t="str">
        <f>IF('Raw RetailSalesData'!B464="","UNKNOWN",'Raw RetailSalesData'!B464)</f>
        <v xml:space="preserve"> 2022-01-01 </v>
      </c>
      <c r="C464" t="str">
        <f>IF('Raw RetailSalesData'!C464="","UNKNOW",'Raw RetailSalesData'!C464)</f>
        <v>CUST-1173</v>
      </c>
      <c r="D464" t="str">
        <f>IF('Raw RetailSalesData'!D464="","UNKNOW",'Raw RetailSalesData'!D464)</f>
        <v>P101</v>
      </c>
      <c r="E464" s="5">
        <f>IF('Raw RetailSalesData'!E464="",'Raw RetailSalesData'!F464/'Raw RetailSalesData'!G464,'Raw RetailSalesData'!E464)</f>
        <v>0.125</v>
      </c>
      <c r="F464" s="7">
        <f>IF('Raw RetailSalesData'!F464="",'Raw RetailSalesData'!G464/'Raw RetailSalesData'!E464,'Raw RetailSalesData'!F464)</f>
        <v>85</v>
      </c>
      <c r="G464" s="7">
        <f t="shared" si="7"/>
        <v>10.625</v>
      </c>
      <c r="H464" s="5" t="str">
        <f>IF('Raw RetailSalesData'!H464="","Unknown",'Raw RetailSalesData'!H464)</f>
        <v>APAC</v>
      </c>
      <c r="I464" t="s">
        <v>71</v>
      </c>
      <c r="J464" t="s">
        <v>72</v>
      </c>
      <c r="K464" t="str">
        <f>TRIM('Raw RetailSalesData'!K464)</f>
        <v>Hiroshi Tanaka</v>
      </c>
      <c r="L464" t="s">
        <v>31</v>
      </c>
    </row>
    <row r="465" spans="1:12" x14ac:dyDescent="0.3">
      <c r="A465" t="str">
        <f>IF(COUNTIF('Raw RetailSalesData'!$A:$L,'Raw RetailSalesData'!A465)=1,'Raw RetailSalesData'!A465,"")</f>
        <v>ORD-10509</v>
      </c>
      <c r="B465" t="str">
        <f>IF('Raw RetailSalesData'!B465="","UNKNOWN",'Raw RetailSalesData'!B465)</f>
        <v>2023-05-23</v>
      </c>
      <c r="C465" t="str">
        <f>IF('Raw RetailSalesData'!C465="","UNKNOW",'Raw RetailSalesData'!C465)</f>
        <v>CUST-1029</v>
      </c>
      <c r="D465" t="str">
        <f>IF('Raw RetailSalesData'!D465="","UNKNOW",'Raw RetailSalesData'!D465)</f>
        <v>P101</v>
      </c>
      <c r="E465" s="5">
        <f>IF('Raw RetailSalesData'!E465="",'Raw RetailSalesData'!F465/'Raw RetailSalesData'!G465,'Raw RetailSalesData'!E465)</f>
        <v>3</v>
      </c>
      <c r="F465" s="7">
        <f>IF('Raw RetailSalesData'!F465="",'Raw RetailSalesData'!G465/'Raw RetailSalesData'!E465,'Raw RetailSalesData'!F465)</f>
        <v>85</v>
      </c>
      <c r="G465" s="7">
        <f t="shared" si="7"/>
        <v>255</v>
      </c>
      <c r="H465" s="5" t="str">
        <f>IF('Raw RetailSalesData'!H465="","Unknown",'Raw RetailSalesData'!H465)</f>
        <v>EMEA</v>
      </c>
      <c r="I465" t="s">
        <v>38</v>
      </c>
      <c r="J465" t="s">
        <v>39</v>
      </c>
      <c r="K465" t="str">
        <f>TRIM('Raw RetailSalesData'!K465)</f>
        <v>Sales Rep 2</v>
      </c>
      <c r="L465" t="s">
        <v>31</v>
      </c>
    </row>
    <row r="466" spans="1:12" x14ac:dyDescent="0.3">
      <c r="A466" t="str">
        <f>IF(COUNTIF('Raw RetailSalesData'!$A:$L,'Raw RetailSalesData'!A466)=1,'Raw RetailSalesData'!A466,"")</f>
        <v>ORD-10510</v>
      </c>
      <c r="B466" t="str">
        <f>IF('Raw RetailSalesData'!B466="","UNKNOWN",'Raw RetailSalesData'!B466)</f>
        <v>2025-02-19</v>
      </c>
      <c r="C466" t="str">
        <f>IF('Raw RetailSalesData'!C466="","UNKNOW",'Raw RetailSalesData'!C466)</f>
        <v>CUST-1050</v>
      </c>
      <c r="D466" t="str">
        <f>IF('Raw RetailSalesData'!D466="","UNKNOW",'Raw RetailSalesData'!D466)</f>
        <v>C301</v>
      </c>
      <c r="E466" s="5">
        <f>IF('Raw RetailSalesData'!E466="",'Raw RetailSalesData'!F466/'Raw RetailSalesData'!G466,'Raw RetailSalesData'!E466)</f>
        <v>10</v>
      </c>
      <c r="F466" s="7">
        <f>IF('Raw RetailSalesData'!F466="",'Raw RetailSalesData'!G466/'Raw RetailSalesData'!E466,'Raw RetailSalesData'!F466)</f>
        <v>60</v>
      </c>
      <c r="G466" s="7">
        <f t="shared" si="7"/>
        <v>600</v>
      </c>
      <c r="H466" s="5" t="str">
        <f>IF('Raw RetailSalesData'!H466="","Unknown",'Raw RetailSalesData'!H466)</f>
        <v>NA</v>
      </c>
      <c r="I466" t="s">
        <v>28</v>
      </c>
      <c r="J466" t="s">
        <v>29</v>
      </c>
      <c r="K466" t="str">
        <f>TRIM('Raw RetailSalesData'!K466)</f>
        <v>Sales Rep 4</v>
      </c>
      <c r="L466" t="s">
        <v>31</v>
      </c>
    </row>
    <row r="467" spans="1:12" x14ac:dyDescent="0.3">
      <c r="A467" t="str">
        <f>IF(COUNTIF('Raw RetailSalesData'!$A:$L,'Raw RetailSalesData'!A467)=1,'Raw RetailSalesData'!A467,"")</f>
        <v>ORD-10511</v>
      </c>
      <c r="B467" t="str">
        <f>IF('Raw RetailSalesData'!B467="","UNKNOWN",'Raw RetailSalesData'!B467)</f>
        <v xml:space="preserve"> 2022-11-24 </v>
      </c>
      <c r="C467" t="str">
        <f>IF('Raw RetailSalesData'!C467="","UNKNOW",'Raw RetailSalesData'!C467)</f>
        <v>CUST-1068</v>
      </c>
      <c r="D467" t="str">
        <f>IF('Raw RetailSalesData'!D467="","UNKNOW",'Raw RetailSalesData'!D467)</f>
        <v>P101</v>
      </c>
      <c r="E467" s="5">
        <f>IF('Raw RetailSalesData'!E467="",'Raw RetailSalesData'!F467/'Raw RetailSalesData'!G467,'Raw RetailSalesData'!E467)</f>
        <v>4</v>
      </c>
      <c r="F467" s="7">
        <f>IF('Raw RetailSalesData'!F467="",'Raw RetailSalesData'!G467/'Raw RetailSalesData'!E467,'Raw RetailSalesData'!F467)</f>
        <v>80</v>
      </c>
      <c r="G467" s="7">
        <f t="shared" si="7"/>
        <v>320</v>
      </c>
      <c r="H467" s="5" t="str">
        <f>IF('Raw RetailSalesData'!H467="","Unknown",'Raw RetailSalesData'!H467)</f>
        <v>LATAM</v>
      </c>
      <c r="I467" t="s">
        <v>18</v>
      </c>
      <c r="J467" t="s">
        <v>2197</v>
      </c>
      <c r="K467" t="str">
        <f>TRIM('Raw RetailSalesData'!K467)</f>
        <v>Sales Rep 3</v>
      </c>
      <c r="L467" t="s">
        <v>2190</v>
      </c>
    </row>
    <row r="468" spans="1:12" x14ac:dyDescent="0.3">
      <c r="A468" t="str">
        <f>IF(COUNTIF('Raw RetailSalesData'!$A:$L,'Raw RetailSalesData'!A468)=1,'Raw RetailSalesData'!A468,"")</f>
        <v>ORD-10512</v>
      </c>
      <c r="B468" t="str">
        <f>IF('Raw RetailSalesData'!B468="","UNKNOWN",'Raw RetailSalesData'!B468)</f>
        <v>2026-09-05</v>
      </c>
      <c r="C468" t="str">
        <f>IF('Raw RetailSalesData'!C468="","UNKNOW",'Raw RetailSalesData'!C468)</f>
        <v>CUST-1197</v>
      </c>
      <c r="D468" t="str">
        <f>IF('Raw RetailSalesData'!D468="","UNKNOW",'Raw RetailSalesData'!D468)</f>
        <v>C302</v>
      </c>
      <c r="E468" s="5">
        <f>IF('Raw RetailSalesData'!E468="",'Raw RetailSalesData'!F468/'Raw RetailSalesData'!G468,'Raw RetailSalesData'!E468)</f>
        <v>20</v>
      </c>
      <c r="F468" s="7">
        <f>IF('Raw RetailSalesData'!F468="",'Raw RetailSalesData'!G468/'Raw RetailSalesData'!E468,'Raw RetailSalesData'!F468)</f>
        <v>45</v>
      </c>
      <c r="G468" s="7">
        <f t="shared" si="7"/>
        <v>900</v>
      </c>
      <c r="H468" s="5" t="str">
        <f>IF('Raw RetailSalesData'!H468="","Unknown",'Raw RetailSalesData'!H468)</f>
        <v xml:space="preserve"> LATAM </v>
      </c>
      <c r="I468" t="s">
        <v>18</v>
      </c>
      <c r="J468" t="s">
        <v>2197</v>
      </c>
      <c r="K468" t="str">
        <f>TRIM('Raw RetailSalesData'!K468)</f>
        <v>Sales Rep 1</v>
      </c>
      <c r="L468" t="s">
        <v>46</v>
      </c>
    </row>
    <row r="469" spans="1:12" x14ac:dyDescent="0.3">
      <c r="A469" t="str">
        <f>IF(COUNTIF('Raw RetailSalesData'!$A:$L,'Raw RetailSalesData'!A469)=1,'Raw RetailSalesData'!A469,"")</f>
        <v>ORD-10513</v>
      </c>
      <c r="B469" t="str">
        <f>IF('Raw RetailSalesData'!B469="","UNKNOWN",'Raw RetailSalesData'!B469)</f>
        <v>2024-02-25</v>
      </c>
      <c r="C469" t="str">
        <f>IF('Raw RetailSalesData'!C469="","UNKNOW",'Raw RetailSalesData'!C469)</f>
        <v>CUST-1101</v>
      </c>
      <c r="D469" t="str">
        <f>IF('Raw RetailSalesData'!D469="","UNKNOW",'Raw RetailSalesData'!D469)</f>
        <v>C302</v>
      </c>
      <c r="E469" s="5">
        <f>IF('Raw RetailSalesData'!E469="",'Raw RetailSalesData'!F469/'Raw RetailSalesData'!G469,'Raw RetailSalesData'!E469)</f>
        <v>4</v>
      </c>
      <c r="F469" s="7">
        <f>IF('Raw RetailSalesData'!F469="",'Raw RetailSalesData'!G469/'Raw RetailSalesData'!E469,'Raw RetailSalesData'!F469)</f>
        <v>45</v>
      </c>
      <c r="G469" s="7">
        <f t="shared" si="7"/>
        <v>180</v>
      </c>
      <c r="H469" s="5" t="str">
        <f>IF('Raw RetailSalesData'!H469="","Unknown",'Raw RetailSalesData'!H469)</f>
        <v>LATAM</v>
      </c>
      <c r="I469" t="s">
        <v>90</v>
      </c>
      <c r="J469" t="s">
        <v>2198</v>
      </c>
      <c r="K469" t="str">
        <f>TRIM('Raw RetailSalesData'!K469)</f>
        <v>Sales Rep 5</v>
      </c>
      <c r="L469" t="s">
        <v>31</v>
      </c>
    </row>
    <row r="470" spans="1:12" x14ac:dyDescent="0.3">
      <c r="A470" t="str">
        <f>IF(COUNTIF('Raw RetailSalesData'!$A:$L,'Raw RetailSalesData'!A470)=1,'Raw RetailSalesData'!A470,"")</f>
        <v>ORD-10514</v>
      </c>
      <c r="B470" t="str">
        <f>IF('Raw RetailSalesData'!B470="","UNKNOWN",'Raw RetailSalesData'!B470)</f>
        <v>2026-08-25</v>
      </c>
      <c r="C470" t="str">
        <f>IF('Raw RetailSalesData'!C470="","UNKNOW",'Raw RetailSalesData'!C470)</f>
        <v>CUST-1062</v>
      </c>
      <c r="D470" t="str">
        <f>IF('Raw RetailSalesData'!D470="","UNKNOW",'Raw RetailSalesData'!D470)</f>
        <v>P103</v>
      </c>
      <c r="E470" s="5">
        <f>IF('Raw RetailSalesData'!E470="",'Raw RetailSalesData'!F470/'Raw RetailSalesData'!G470,'Raw RetailSalesData'!E470)</f>
        <v>3</v>
      </c>
      <c r="F470" s="7">
        <f>IF('Raw RetailSalesData'!F470="",'Raw RetailSalesData'!G470/'Raw RetailSalesData'!E470,'Raw RetailSalesData'!F470)</f>
        <v>95</v>
      </c>
      <c r="G470" s="7">
        <f t="shared" si="7"/>
        <v>285</v>
      </c>
      <c r="H470" s="5" t="str">
        <f>IF('Raw RetailSalesData'!H470="","Unknown",'Raw RetailSalesData'!H470)</f>
        <v>EMEA</v>
      </c>
      <c r="I470" t="s">
        <v>38</v>
      </c>
      <c r="J470" t="s">
        <v>39</v>
      </c>
      <c r="K470" t="str">
        <f>TRIM('Raw RetailSalesData'!K470)</f>
        <v>Sales Rep 4</v>
      </c>
      <c r="L470" t="s">
        <v>31</v>
      </c>
    </row>
    <row r="471" spans="1:12" x14ac:dyDescent="0.3">
      <c r="A471" t="str">
        <f>IF(COUNTIF('Raw RetailSalesData'!$A:$L,'Raw RetailSalesData'!A471)=1,'Raw RetailSalesData'!A471,"")</f>
        <v>ORD-10515</v>
      </c>
      <c r="B471" t="str">
        <f>IF('Raw RetailSalesData'!B471="","UNKNOWN",'Raw RetailSalesData'!B471)</f>
        <v>2023-03-30</v>
      </c>
      <c r="C471" t="str">
        <f>IF('Raw RetailSalesData'!C471="","UNKNOW",'Raw RetailSalesData'!C471)</f>
        <v xml:space="preserve"> CUST-1089 </v>
      </c>
      <c r="D471" t="str">
        <f>IF('Raw RetailSalesData'!D471="","UNKNOW",'Raw RetailSalesData'!D471)</f>
        <v>P203</v>
      </c>
      <c r="E471" s="5">
        <f>IF('Raw RetailSalesData'!E471="",'Raw RetailSalesData'!F471/'Raw RetailSalesData'!G471,'Raw RetailSalesData'!E471)</f>
        <v>10</v>
      </c>
      <c r="F471" s="7">
        <f>IF('Raw RetailSalesData'!F471="",'Raw RetailSalesData'!G471/'Raw RetailSalesData'!E471,'Raw RetailSalesData'!F471)</f>
        <v>68</v>
      </c>
      <c r="G471" s="7">
        <f t="shared" si="7"/>
        <v>680</v>
      </c>
      <c r="H471" s="5" t="str">
        <f>IF('Raw RetailSalesData'!H471="","Unknown",'Raw RetailSalesData'!H471)</f>
        <v>APAC</v>
      </c>
      <c r="I471" t="s">
        <v>151</v>
      </c>
      <c r="J471" t="s">
        <v>188</v>
      </c>
      <c r="K471" t="str">
        <f>TRIM('Raw RetailSalesData'!K471)</f>
        <v>Sales Rep 5</v>
      </c>
      <c r="L471" t="s">
        <v>46</v>
      </c>
    </row>
    <row r="472" spans="1:12" x14ac:dyDescent="0.3">
      <c r="A472" t="str">
        <f>IF(COUNTIF('Raw RetailSalesData'!$A:$L,'Raw RetailSalesData'!A472)=1,'Raw RetailSalesData'!A472,"")</f>
        <v>ORD-10517</v>
      </c>
      <c r="B472" t="str">
        <f>IF('Raw RetailSalesData'!B472="","UNKNOWN",'Raw RetailSalesData'!B472)</f>
        <v>2022-06-26</v>
      </c>
      <c r="C472" t="str">
        <f>IF('Raw RetailSalesData'!C472="","UNKNOW",'Raw RetailSalesData'!C472)</f>
        <v>CUST-1159</v>
      </c>
      <c r="D472" t="str">
        <f>IF('Raw RetailSalesData'!D472="","UNKNOW",'Raw RetailSalesData'!D472)</f>
        <v>P103</v>
      </c>
      <c r="E472" s="5">
        <f>IF('Raw RetailSalesData'!E472="",'Raw RetailSalesData'!F472/'Raw RetailSalesData'!G472,'Raw RetailSalesData'!E472)</f>
        <v>19</v>
      </c>
      <c r="F472" s="7">
        <f>IF('Raw RetailSalesData'!F472="",'Raw RetailSalesData'!G472/'Raw RetailSalesData'!E472,'Raw RetailSalesData'!F472)</f>
        <v>95</v>
      </c>
      <c r="G472" s="7">
        <f t="shared" si="7"/>
        <v>1805</v>
      </c>
      <c r="H472" s="5" t="str">
        <f>IF('Raw RetailSalesData'!H472="","Unknown",'Raw RetailSalesData'!H472)</f>
        <v>EMEA</v>
      </c>
      <c r="I472" t="s">
        <v>83</v>
      </c>
      <c r="J472" t="s">
        <v>84</v>
      </c>
      <c r="K472" t="str">
        <f>TRIM('Raw RetailSalesData'!K472)</f>
        <v>John Smith</v>
      </c>
      <c r="L472" t="s">
        <v>21</v>
      </c>
    </row>
    <row r="473" spans="1:12" x14ac:dyDescent="0.3">
      <c r="A473" t="str">
        <f>IF(COUNTIF('Raw RetailSalesData'!$A:$L,'Raw RetailSalesData'!A473)=1,'Raw RetailSalesData'!A473,"")</f>
        <v>ORD-10518</v>
      </c>
      <c r="B473" t="str">
        <f>IF('Raw RetailSalesData'!B473="","UNKNOWN",'Raw RetailSalesData'!B473)</f>
        <v>2024-07-17</v>
      </c>
      <c r="C473" t="str">
        <f>IF('Raw RetailSalesData'!C473="","UNKNOW",'Raw RetailSalesData'!C473)</f>
        <v xml:space="preserve"> CUST-1026 </v>
      </c>
      <c r="D473" t="str">
        <f>IF('Raw RetailSalesData'!D473="","UNKNOW",'Raw RetailSalesData'!D473)</f>
        <v>C301</v>
      </c>
      <c r="E473" s="5">
        <f>IF('Raw RetailSalesData'!E473="",'Raw RetailSalesData'!F473/'Raw RetailSalesData'!G473,'Raw RetailSalesData'!E473)</f>
        <v>2</v>
      </c>
      <c r="F473" s="7">
        <f>IF('Raw RetailSalesData'!F473="",'Raw RetailSalesData'!G473/'Raw RetailSalesData'!E473,'Raw RetailSalesData'!F473)</f>
        <v>50</v>
      </c>
      <c r="G473" s="7">
        <f t="shared" si="7"/>
        <v>100</v>
      </c>
      <c r="H473" s="5" t="str">
        <f>IF('Raw RetailSalesData'!H473="","Unknown",'Raw RetailSalesData'!H473)</f>
        <v>Unknown</v>
      </c>
      <c r="I473" t="s">
        <v>90</v>
      </c>
      <c r="J473" t="s">
        <v>2198</v>
      </c>
      <c r="K473" t="str">
        <f>TRIM('Raw RetailSalesData'!K473)</f>
        <v>Sales Rep 2</v>
      </c>
      <c r="L473" t="s">
        <v>21</v>
      </c>
    </row>
    <row r="474" spans="1:12" x14ac:dyDescent="0.3">
      <c r="A474" t="str">
        <f>IF(COUNTIF('Raw RetailSalesData'!$A:$L,'Raw RetailSalesData'!A474)=1,'Raw RetailSalesData'!A474,"")</f>
        <v>ORD-10519</v>
      </c>
      <c r="B474" t="str">
        <f>IF('Raw RetailSalesData'!B474="","UNKNOWN",'Raw RetailSalesData'!B474)</f>
        <v>2025-12-18</v>
      </c>
      <c r="C474" t="str">
        <f>IF('Raw RetailSalesData'!C474="","UNKNOW",'Raw RetailSalesData'!C474)</f>
        <v>CUST-1110</v>
      </c>
      <c r="D474" t="str">
        <f>IF('Raw RetailSalesData'!D474="","UNKNOW",'Raw RetailSalesData'!D474)</f>
        <v>P202</v>
      </c>
      <c r="E474" s="5">
        <f>IF('Raw RetailSalesData'!E474="",'Raw RetailSalesData'!F474/'Raw RetailSalesData'!G474,'Raw RetailSalesData'!E474)</f>
        <v>12</v>
      </c>
      <c r="F474" s="7">
        <f>IF('Raw RetailSalesData'!F474="",'Raw RetailSalesData'!G474/'Raw RetailSalesData'!E474,'Raw RetailSalesData'!F474)</f>
        <v>60</v>
      </c>
      <c r="G474" s="7">
        <f t="shared" si="7"/>
        <v>720</v>
      </c>
      <c r="H474" s="5" t="str">
        <f>IF('Raw RetailSalesData'!H474="","Unknown",'Raw RetailSalesData'!H474)</f>
        <v xml:space="preserve"> LATAM </v>
      </c>
      <c r="I474" t="s">
        <v>18</v>
      </c>
      <c r="J474" t="s">
        <v>2197</v>
      </c>
      <c r="K474" t="str">
        <f>TRIM('Raw RetailSalesData'!K474)</f>
        <v>Sales Rep 5</v>
      </c>
      <c r="L474" t="s">
        <v>21</v>
      </c>
    </row>
    <row r="475" spans="1:12" x14ac:dyDescent="0.3">
      <c r="A475" t="str">
        <f>IF(COUNTIF('Raw RetailSalesData'!$A:$L,'Raw RetailSalesData'!A475)=1,'Raw RetailSalesData'!A475,"")</f>
        <v>ORD-10520</v>
      </c>
      <c r="B475" t="str">
        <f>IF('Raw RetailSalesData'!B475="","UNKNOWN",'Raw RetailSalesData'!B475)</f>
        <v>2022-02-11</v>
      </c>
      <c r="C475" t="str">
        <f>IF('Raw RetailSalesData'!C475="","UNKNOW",'Raw RetailSalesData'!C475)</f>
        <v>CUST-1122</v>
      </c>
      <c r="D475" t="str">
        <f>IF('Raw RetailSalesData'!D475="","UNKNOW",'Raw RetailSalesData'!D475)</f>
        <v>P102</v>
      </c>
      <c r="E475" s="5">
        <f>IF('Raw RetailSalesData'!E475="",'Raw RetailSalesData'!F475/'Raw RetailSalesData'!G475,'Raw RetailSalesData'!E475)</f>
        <v>15</v>
      </c>
      <c r="F475" s="7">
        <f>IF('Raw RetailSalesData'!F475="",'Raw RetailSalesData'!G475/'Raw RetailSalesData'!E475,'Raw RetailSalesData'!F475)</f>
        <v>80</v>
      </c>
      <c r="G475" s="7">
        <f t="shared" si="7"/>
        <v>1200</v>
      </c>
      <c r="H475" s="5" t="str">
        <f>IF('Raw RetailSalesData'!H475="","Unknown",'Raw RetailSalesData'!H475)</f>
        <v xml:space="preserve"> APAC </v>
      </c>
      <c r="I475" t="s">
        <v>71</v>
      </c>
      <c r="J475" t="s">
        <v>72</v>
      </c>
      <c r="K475" t="str">
        <f>TRIM('Raw RetailSalesData'!K475)</f>
        <v>Hiroshi Tanaka</v>
      </c>
      <c r="L475" t="s">
        <v>46</v>
      </c>
    </row>
    <row r="476" spans="1:12" x14ac:dyDescent="0.3">
      <c r="A476" t="str">
        <f>IF(COUNTIF('Raw RetailSalesData'!$A:$L,'Raw RetailSalesData'!A476)=1,'Raw RetailSalesData'!A476,"")</f>
        <v>ORD-10521</v>
      </c>
      <c r="B476" t="str">
        <f>IF('Raw RetailSalesData'!B476="","UNKNOWN",'Raw RetailSalesData'!B476)</f>
        <v>2023-04-27</v>
      </c>
      <c r="C476" t="str">
        <f>IF('Raw RetailSalesData'!C476="","UNKNOW",'Raw RetailSalesData'!C476)</f>
        <v>CUST-1087</v>
      </c>
      <c r="D476" t="str">
        <f>IF('Raw RetailSalesData'!D476="","UNKNOW",'Raw RetailSalesData'!D476)</f>
        <v>C301</v>
      </c>
      <c r="E476" s="5">
        <f>IF('Raw RetailSalesData'!E476="",'Raw RetailSalesData'!F476/'Raw RetailSalesData'!G476,'Raw RetailSalesData'!E476)</f>
        <v>3</v>
      </c>
      <c r="F476" s="7">
        <f>IF('Raw RetailSalesData'!F476="",'Raw RetailSalesData'!G476/'Raw RetailSalesData'!E476,'Raw RetailSalesData'!F476)</f>
        <v>55</v>
      </c>
      <c r="G476" s="7">
        <f t="shared" si="7"/>
        <v>165</v>
      </c>
      <c r="H476" s="5" t="str">
        <f>IF('Raw RetailSalesData'!H476="","Unknown",'Raw RetailSalesData'!H476)</f>
        <v>APAC</v>
      </c>
      <c r="I476" t="s">
        <v>71</v>
      </c>
      <c r="J476" t="s">
        <v>72</v>
      </c>
      <c r="K476" t="str">
        <f>TRIM('Raw RetailSalesData'!K476)</f>
        <v>Hiroshi Tanaka</v>
      </c>
      <c r="L476" t="s">
        <v>21</v>
      </c>
    </row>
    <row r="477" spans="1:12" x14ac:dyDescent="0.3">
      <c r="A477" t="str">
        <f>IF(COUNTIF('Raw RetailSalesData'!$A:$L,'Raw RetailSalesData'!A477)=1,'Raw RetailSalesData'!A477,"")</f>
        <v>ORD-10522</v>
      </c>
      <c r="B477" t="str">
        <f>IF('Raw RetailSalesData'!B477="","UNKNOWN",'Raw RetailSalesData'!B477)</f>
        <v>UNKNOWN</v>
      </c>
      <c r="C477" t="str">
        <f>IF('Raw RetailSalesData'!C477="","UNKNOW",'Raw RetailSalesData'!C477)</f>
        <v>CUST-1124</v>
      </c>
      <c r="D477" t="str">
        <f>IF('Raw RetailSalesData'!D477="","UNKNOW",'Raw RetailSalesData'!D477)</f>
        <v>P201</v>
      </c>
      <c r="E477" s="5">
        <f>IF('Raw RetailSalesData'!E477="",'Raw RetailSalesData'!F477/'Raw RetailSalesData'!G477,'Raw RetailSalesData'!E477)</f>
        <v>6</v>
      </c>
      <c r="F477" s="7">
        <f>IF('Raw RetailSalesData'!F477="",'Raw RetailSalesData'!G477/'Raw RetailSalesData'!E477,'Raw RetailSalesData'!F477)</f>
        <v>65</v>
      </c>
      <c r="G477" s="7">
        <f t="shared" si="7"/>
        <v>390</v>
      </c>
      <c r="H477" s="5" t="str">
        <f>IF('Raw RetailSalesData'!H477="","Unknown",'Raw RetailSalesData'!H477)</f>
        <v>LATAM</v>
      </c>
      <c r="I477" t="s">
        <v>90</v>
      </c>
      <c r="J477" t="s">
        <v>2198</v>
      </c>
      <c r="K477" t="str">
        <f>TRIM('Raw RetailSalesData'!K477)</f>
        <v>Sales Rep 2</v>
      </c>
      <c r="L477" t="s">
        <v>31</v>
      </c>
    </row>
    <row r="478" spans="1:12" x14ac:dyDescent="0.3">
      <c r="A478" t="str">
        <f>IF(COUNTIF('Raw RetailSalesData'!$A:$L,'Raw RetailSalesData'!A478)=1,'Raw RetailSalesData'!A478,"")</f>
        <v>ORD-10523</v>
      </c>
      <c r="B478" t="str">
        <f>IF('Raw RetailSalesData'!B478="","UNKNOWN",'Raw RetailSalesData'!B478)</f>
        <v>2025-05-14</v>
      </c>
      <c r="C478" t="str">
        <f>IF('Raw RetailSalesData'!C478="","UNKNOW",'Raw RetailSalesData'!C478)</f>
        <v>CUST-1084</v>
      </c>
      <c r="D478" t="str">
        <f>IF('Raw RetailSalesData'!D478="","UNKNOW",'Raw RetailSalesData'!D478)</f>
        <v xml:space="preserve"> P203 </v>
      </c>
      <c r="E478" s="5">
        <f>IF('Raw RetailSalesData'!E478="",'Raw RetailSalesData'!F478/'Raw RetailSalesData'!G478,'Raw RetailSalesData'!E478)</f>
        <v>12</v>
      </c>
      <c r="F478" s="7">
        <f>IF('Raw RetailSalesData'!F478="",'Raw RetailSalesData'!G478/'Raw RetailSalesData'!E478,'Raw RetailSalesData'!F478)</f>
        <v>68</v>
      </c>
      <c r="G478" s="7">
        <f t="shared" si="7"/>
        <v>816</v>
      </c>
      <c r="H478" s="5" t="str">
        <f>IF('Raw RetailSalesData'!H478="","Unknown",'Raw RetailSalesData'!H478)</f>
        <v>APAC</v>
      </c>
      <c r="I478" t="s">
        <v>71</v>
      </c>
      <c r="J478" t="s">
        <v>72</v>
      </c>
      <c r="K478" t="str">
        <f>TRIM('Raw RetailSalesData'!K478)</f>
        <v>Hiroshi Tanaka</v>
      </c>
      <c r="L478" t="s">
        <v>46</v>
      </c>
    </row>
    <row r="479" spans="1:12" x14ac:dyDescent="0.3">
      <c r="A479" t="str">
        <f>IF(COUNTIF('Raw RetailSalesData'!$A:$L,'Raw RetailSalesData'!A479)=1,'Raw RetailSalesData'!A479,"")</f>
        <v>ORD-10524</v>
      </c>
      <c r="B479" t="str">
        <f>IF('Raw RetailSalesData'!B479="","UNKNOWN",'Raw RetailSalesData'!B479)</f>
        <v>2023-06-11</v>
      </c>
      <c r="C479" t="str">
        <f>IF('Raw RetailSalesData'!C479="","UNKNOW",'Raw RetailSalesData'!C479)</f>
        <v>CUST-1039</v>
      </c>
      <c r="D479" t="str">
        <f>IF('Raw RetailSalesData'!D479="","UNKNOW",'Raw RetailSalesData'!D479)</f>
        <v>C301</v>
      </c>
      <c r="E479" s="5">
        <f>IF('Raw RetailSalesData'!E479="",'Raw RetailSalesData'!F479/'Raw RetailSalesData'!G479,'Raw RetailSalesData'!E479)</f>
        <v>6</v>
      </c>
      <c r="F479" s="7">
        <f>IF('Raw RetailSalesData'!F479="",'Raw RetailSalesData'!G479/'Raw RetailSalesData'!E479,'Raw RetailSalesData'!F479)</f>
        <v>55</v>
      </c>
      <c r="G479" s="7">
        <f t="shared" si="7"/>
        <v>330</v>
      </c>
      <c r="H479" s="5" t="str">
        <f>IF('Raw RetailSalesData'!H479="","Unknown",'Raw RetailSalesData'!H479)</f>
        <v>#N/A</v>
      </c>
      <c r="I479" t="s">
        <v>183</v>
      </c>
      <c r="J479" t="s">
        <v>184</v>
      </c>
      <c r="K479" t="str">
        <f>TRIM('Raw RetailSalesData'!K479)</f>
        <v>Sales Rep 3</v>
      </c>
      <c r="L479" t="s">
        <v>46</v>
      </c>
    </row>
    <row r="480" spans="1:12" x14ac:dyDescent="0.3">
      <c r="A480" t="str">
        <f>IF(COUNTIF('Raw RetailSalesData'!$A:$L,'Raw RetailSalesData'!A480)=1,'Raw RetailSalesData'!A480,"")</f>
        <v>ORD-10526</v>
      </c>
      <c r="B480" t="str">
        <f>IF('Raw RetailSalesData'!B480="","UNKNOWN",'Raw RetailSalesData'!B480)</f>
        <v xml:space="preserve"> 2026-09-24 </v>
      </c>
      <c r="C480" t="str">
        <f>IF('Raw RetailSalesData'!C480="","UNKNOW",'Raw RetailSalesData'!C480)</f>
        <v>CUST-1152</v>
      </c>
      <c r="D480" t="str">
        <f>IF('Raw RetailSalesData'!D480="","UNKNOW",'Raw RetailSalesData'!D480)</f>
        <v>C304</v>
      </c>
      <c r="E480" s="5">
        <f>IF('Raw RetailSalesData'!E480="",'Raw RetailSalesData'!F480/'Raw RetailSalesData'!G480,'Raw RetailSalesData'!E480)</f>
        <v>3</v>
      </c>
      <c r="F480" s="7">
        <f>IF('Raw RetailSalesData'!F480="",'Raw RetailSalesData'!G480/'Raw RetailSalesData'!E480,'Raw RetailSalesData'!F480)</f>
        <v>58</v>
      </c>
      <c r="G480" s="7">
        <f t="shared" si="7"/>
        <v>174</v>
      </c>
      <c r="H480" s="5" t="str">
        <f>IF('Raw RetailSalesData'!H480="","Unknown",'Raw RetailSalesData'!H480)</f>
        <v>APAC</v>
      </c>
      <c r="I480" t="s">
        <v>151</v>
      </c>
      <c r="J480" t="s">
        <v>152</v>
      </c>
      <c r="K480" t="str">
        <f>TRIM('Raw RetailSalesData'!K480)</f>
        <v>Aarav Patel</v>
      </c>
      <c r="L480" t="s">
        <v>21</v>
      </c>
    </row>
    <row r="481" spans="1:12" x14ac:dyDescent="0.3">
      <c r="A481" t="str">
        <f>IF(COUNTIF('Raw RetailSalesData'!$A:$L,'Raw RetailSalesData'!A481)=1,'Raw RetailSalesData'!A481,"")</f>
        <v>ORD-10527</v>
      </c>
      <c r="B481" t="str">
        <f>IF('Raw RetailSalesData'!B481="","UNKNOWN",'Raw RetailSalesData'!B481)</f>
        <v>2025-02-21</v>
      </c>
      <c r="C481" t="str">
        <f>IF('Raw RetailSalesData'!C481="","UNKNOW",'Raw RetailSalesData'!C481)</f>
        <v>CUST-1074</v>
      </c>
      <c r="D481" t="str">
        <f>IF('Raw RetailSalesData'!D481="","UNKNOW",'Raw RetailSalesData'!D481)</f>
        <v>C301</v>
      </c>
      <c r="E481" s="5">
        <f>IF('Raw RetailSalesData'!E481="",'Raw RetailSalesData'!F481/'Raw RetailSalesData'!G481,'Raw RetailSalesData'!E481)</f>
        <v>5</v>
      </c>
      <c r="F481" s="7">
        <f>IF('Raw RetailSalesData'!F481="",'Raw RetailSalesData'!G481/'Raw RetailSalesData'!E481,'Raw RetailSalesData'!F481)</f>
        <v>55</v>
      </c>
      <c r="G481" s="7">
        <f t="shared" si="7"/>
        <v>275</v>
      </c>
      <c r="H481" s="5" t="str">
        <f>IF('Raw RetailSalesData'!H481="","Unknown",'Raw RetailSalesData'!H481)</f>
        <v>EMEA</v>
      </c>
      <c r="I481" t="s">
        <v>38</v>
      </c>
      <c r="J481" t="s">
        <v>39</v>
      </c>
      <c r="K481" t="str">
        <f>TRIM('Raw RetailSalesData'!K481)</f>
        <v>Sales Rep 4</v>
      </c>
      <c r="L481" t="s">
        <v>21</v>
      </c>
    </row>
    <row r="482" spans="1:12" x14ac:dyDescent="0.3">
      <c r="A482" t="str">
        <f>IF(COUNTIF('Raw RetailSalesData'!$A:$L,'Raw RetailSalesData'!A482)=1,'Raw RetailSalesData'!A482,"")</f>
        <v>ORD-10528</v>
      </c>
      <c r="B482" t="str">
        <f>IF('Raw RetailSalesData'!B482="","UNKNOWN",'Raw RetailSalesData'!B482)</f>
        <v>2026-09-02</v>
      </c>
      <c r="C482" t="str">
        <f>IF('Raw RetailSalesData'!C482="","UNKNOW",'Raw RetailSalesData'!C482)</f>
        <v>CUST-1105</v>
      </c>
      <c r="D482" t="str">
        <f>IF('Raw RetailSalesData'!D482="","UNKNOW",'Raw RetailSalesData'!D482)</f>
        <v>P101</v>
      </c>
      <c r="E482" s="5">
        <f>IF('Raw RetailSalesData'!E482="",'Raw RetailSalesData'!F482/'Raw RetailSalesData'!G482,'Raw RetailSalesData'!E482)</f>
        <v>10</v>
      </c>
      <c r="F482" s="7">
        <f>IF('Raw RetailSalesData'!F482="",'Raw RetailSalesData'!G482/'Raw RetailSalesData'!E482,'Raw RetailSalesData'!F482)</f>
        <v>80</v>
      </c>
      <c r="G482" s="7">
        <f t="shared" si="7"/>
        <v>800</v>
      </c>
      <c r="H482" s="5" t="str">
        <f>IF('Raw RetailSalesData'!H482="","Unknown",'Raw RetailSalesData'!H482)</f>
        <v>LATAM</v>
      </c>
      <c r="I482" t="s">
        <v>18</v>
      </c>
      <c r="J482" t="s">
        <v>2197</v>
      </c>
      <c r="K482" t="str">
        <f>TRIM('Raw RetailSalesData'!K482)</f>
        <v>Sales Rep 1</v>
      </c>
      <c r="L482" t="s">
        <v>31</v>
      </c>
    </row>
    <row r="483" spans="1:12" x14ac:dyDescent="0.3">
      <c r="A483" t="str">
        <f>IF(COUNTIF('Raw RetailSalesData'!$A:$L,'Raw RetailSalesData'!A483)=1,'Raw RetailSalesData'!A483,"")</f>
        <v>ORD-10529</v>
      </c>
      <c r="B483" t="str">
        <f>IF('Raw RetailSalesData'!B483="","UNKNOWN",'Raw RetailSalesData'!B483)</f>
        <v>2026-06-05</v>
      </c>
      <c r="C483" t="str">
        <f>IF('Raw RetailSalesData'!C483="","UNKNOW",'Raw RetailSalesData'!C483)</f>
        <v>CUST-1188</v>
      </c>
      <c r="D483" t="str">
        <f>IF('Raw RetailSalesData'!D483="","UNKNOW",'Raw RetailSalesData'!D483)</f>
        <v>C303</v>
      </c>
      <c r="E483" s="5">
        <f>IF('Raw RetailSalesData'!E483="",'Raw RetailSalesData'!F483/'Raw RetailSalesData'!G483,'Raw RetailSalesData'!E483)</f>
        <v>20</v>
      </c>
      <c r="F483" s="7">
        <f>IF('Raw RetailSalesData'!F483="",'Raw RetailSalesData'!G483/'Raw RetailSalesData'!E483,'Raw RetailSalesData'!F483)</f>
        <v>55</v>
      </c>
      <c r="G483" s="7">
        <f t="shared" si="7"/>
        <v>1100</v>
      </c>
      <c r="H483" s="5" t="str">
        <f>IF('Raw RetailSalesData'!H483="","Unknown",'Raw RetailSalesData'!H483)</f>
        <v>LATAM</v>
      </c>
      <c r="I483" t="s">
        <v>90</v>
      </c>
      <c r="J483" t="s">
        <v>2190</v>
      </c>
      <c r="K483" t="str">
        <f>TRIM('Raw RetailSalesData'!K483)</f>
        <v>Sales Rep 5</v>
      </c>
      <c r="L483" t="s">
        <v>31</v>
      </c>
    </row>
    <row r="484" spans="1:12" x14ac:dyDescent="0.3">
      <c r="A484" t="str">
        <f>IF(COUNTIF('Raw RetailSalesData'!$A:$L,'Raw RetailSalesData'!A484)=1,'Raw RetailSalesData'!A484,"")</f>
        <v>ORD-10530</v>
      </c>
      <c r="B484" t="str">
        <f>IF('Raw RetailSalesData'!B484="","UNKNOWN",'Raw RetailSalesData'!B484)</f>
        <v>2026-06-05</v>
      </c>
      <c r="C484" t="str">
        <f>IF('Raw RetailSalesData'!C484="","UNKNOW",'Raw RetailSalesData'!C484)</f>
        <v>CUST-1188</v>
      </c>
      <c r="D484" t="str">
        <f>IF('Raw RetailSalesData'!D484="","UNKNOW",'Raw RetailSalesData'!D484)</f>
        <v>C303</v>
      </c>
      <c r="E484" s="5">
        <f>IF('Raw RetailSalesData'!E484="",'Raw RetailSalesData'!F484/'Raw RetailSalesData'!G484,'Raw RetailSalesData'!E484)</f>
        <v>20</v>
      </c>
      <c r="F484" s="7">
        <f>IF('Raw RetailSalesData'!F484="",'Raw RetailSalesData'!G484/'Raw RetailSalesData'!E484,'Raw RetailSalesData'!F484)</f>
        <v>55</v>
      </c>
      <c r="G484" s="7">
        <f t="shared" si="7"/>
        <v>1100</v>
      </c>
      <c r="H484" s="5" t="str">
        <f>IF('Raw RetailSalesData'!H484="","Unknown",'Raw RetailSalesData'!H484)</f>
        <v>LATAM</v>
      </c>
      <c r="I484" t="s">
        <v>90</v>
      </c>
      <c r="J484" t="s">
        <v>2198</v>
      </c>
      <c r="K484" t="str">
        <f>TRIM('Raw RetailSalesData'!K484)</f>
        <v>Sales Rep 5</v>
      </c>
      <c r="L484" t="s">
        <v>31</v>
      </c>
    </row>
    <row r="485" spans="1:12" x14ac:dyDescent="0.3">
      <c r="A485" t="str">
        <f>IF(COUNTIF('Raw RetailSalesData'!$A:$L,'Raw RetailSalesData'!A485)=1,'Raw RetailSalesData'!A485,"")</f>
        <v>ORD-10531</v>
      </c>
      <c r="B485" t="str">
        <f>IF('Raw RetailSalesData'!B485="","UNKNOWN",'Raw RetailSalesData'!B485)</f>
        <v>2022-02-10</v>
      </c>
      <c r="C485" t="str">
        <f>IF('Raw RetailSalesData'!C485="","UNKNOW",'Raw RetailSalesData'!C485)</f>
        <v>CUST-1034</v>
      </c>
      <c r="D485" t="str">
        <f>IF('Raw RetailSalesData'!D485="","UNKNOW",'Raw RetailSalesData'!D485)</f>
        <v>P101</v>
      </c>
      <c r="E485" s="5">
        <f>IF('Raw RetailSalesData'!E485="",'Raw RetailSalesData'!F485/'Raw RetailSalesData'!G485,'Raw RetailSalesData'!E485)</f>
        <v>1</v>
      </c>
      <c r="F485" s="7">
        <f>IF('Raw RetailSalesData'!F485="",'Raw RetailSalesData'!G485/'Raw RetailSalesData'!E485,'Raw RetailSalesData'!F485)</f>
        <v>90</v>
      </c>
      <c r="G485" s="7">
        <f t="shared" si="7"/>
        <v>90</v>
      </c>
      <c r="H485" s="5" t="str">
        <f>IF('Raw RetailSalesData'!H485="","Unknown",'Raw RetailSalesData'!H485)</f>
        <v>NA</v>
      </c>
      <c r="I485" t="s">
        <v>28</v>
      </c>
      <c r="J485" t="s">
        <v>2196</v>
      </c>
      <c r="K485" t="str">
        <f>TRIM('Raw RetailSalesData'!K485)</f>
        <v>Michael Johnson</v>
      </c>
      <c r="L485" t="s">
        <v>21</v>
      </c>
    </row>
    <row r="486" spans="1:12" x14ac:dyDescent="0.3">
      <c r="A486" t="str">
        <f>IF(COUNTIF('Raw RetailSalesData'!$A:$L,'Raw RetailSalesData'!A486)=1,'Raw RetailSalesData'!A486,"")</f>
        <v>ORD-10532</v>
      </c>
      <c r="B486" t="str">
        <f>IF('Raw RetailSalesData'!B486="","UNKNOWN",'Raw RetailSalesData'!B486)</f>
        <v>2025-05-02</v>
      </c>
      <c r="C486" t="str">
        <f>IF('Raw RetailSalesData'!C486="","UNKNOW",'Raw RetailSalesData'!C486)</f>
        <v>CUST-1008</v>
      </c>
      <c r="D486" t="str">
        <f>IF('Raw RetailSalesData'!D486="","UNKNOW",'Raw RetailSalesData'!D486)</f>
        <v xml:space="preserve"> P103 </v>
      </c>
      <c r="E486" s="5">
        <f>IF('Raw RetailSalesData'!E486="",'Raw RetailSalesData'!F486/'Raw RetailSalesData'!G486,'Raw RetailSalesData'!E486)</f>
        <v>19</v>
      </c>
      <c r="F486" s="7">
        <f>IF('Raw RetailSalesData'!F486="",'Raw RetailSalesData'!G486/'Raw RetailSalesData'!E486,'Raw RetailSalesData'!F486)</f>
        <v>95</v>
      </c>
      <c r="G486" s="7">
        <f t="shared" si="7"/>
        <v>1805</v>
      </c>
      <c r="H486" s="5" t="str">
        <f>IF('Raw RetailSalesData'!H486="","Unknown",'Raw RetailSalesData'!H486)</f>
        <v xml:space="preserve"> EMEA </v>
      </c>
      <c r="I486" t="s">
        <v>83</v>
      </c>
      <c r="J486" t="s">
        <v>84</v>
      </c>
      <c r="K486" t="str">
        <f>TRIM('Raw RetailSalesData'!K486)</f>
        <v>John Smith</v>
      </c>
      <c r="L486" t="s">
        <v>31</v>
      </c>
    </row>
    <row r="487" spans="1:12" x14ac:dyDescent="0.3">
      <c r="A487" t="str">
        <f>IF(COUNTIF('Raw RetailSalesData'!$A:$L,'Raw RetailSalesData'!A487)=1,'Raw RetailSalesData'!A487,"")</f>
        <v>ORD-10533</v>
      </c>
      <c r="B487" t="str">
        <f>IF('Raw RetailSalesData'!B487="","UNKNOWN",'Raw RetailSalesData'!B487)</f>
        <v>2024-10-31</v>
      </c>
      <c r="C487" t="str">
        <f>IF('Raw RetailSalesData'!C487="","UNKNOW",'Raw RetailSalesData'!C487)</f>
        <v>CUST-1091</v>
      </c>
      <c r="D487" t="str">
        <f>IF('Raw RetailSalesData'!D487="","UNKNOW",'Raw RetailSalesData'!D487)</f>
        <v>P202</v>
      </c>
      <c r="E487" s="5">
        <f>IF('Raw RetailSalesData'!E487="",'Raw RetailSalesData'!F487/'Raw RetailSalesData'!G487,'Raw RetailSalesData'!E487)</f>
        <v>6</v>
      </c>
      <c r="F487" s="7">
        <f>IF('Raw RetailSalesData'!F487="",'Raw RetailSalesData'!G487/'Raw RetailSalesData'!E487,'Raw RetailSalesData'!F487)</f>
        <v>60</v>
      </c>
      <c r="G487" s="7">
        <f t="shared" si="7"/>
        <v>360</v>
      </c>
      <c r="H487" s="5" t="str">
        <f>IF('Raw RetailSalesData'!H487="","Unknown",'Raw RetailSalesData'!H487)</f>
        <v>LATAM</v>
      </c>
      <c r="I487" t="s">
        <v>90</v>
      </c>
      <c r="J487" t="s">
        <v>2198</v>
      </c>
      <c r="K487" t="str">
        <f>TRIM('Raw RetailSalesData'!K487)</f>
        <v>Sales Rep 4</v>
      </c>
      <c r="L487" t="s">
        <v>31</v>
      </c>
    </row>
    <row r="488" spans="1:12" x14ac:dyDescent="0.3">
      <c r="A488" t="str">
        <f>IF(COUNTIF('Raw RetailSalesData'!$A:$L,'Raw RetailSalesData'!A488)=1,'Raw RetailSalesData'!A488,"")</f>
        <v>ORD-10535</v>
      </c>
      <c r="B488" t="str">
        <f>IF('Raw RetailSalesData'!B488="","UNKNOWN",'Raw RetailSalesData'!B488)</f>
        <v>2024-01-21</v>
      </c>
      <c r="C488" t="str">
        <f>IF('Raw RetailSalesData'!C488="","UNKNOW",'Raw RetailSalesData'!C488)</f>
        <v>CUST-1172</v>
      </c>
      <c r="D488" t="str">
        <f>IF('Raw RetailSalesData'!D488="","UNKNOW",'Raw RetailSalesData'!D488)</f>
        <v>P203</v>
      </c>
      <c r="E488" s="5">
        <f>IF('Raw RetailSalesData'!E488="",'Raw RetailSalesData'!F488/'Raw RetailSalesData'!G488,'Raw RetailSalesData'!E488)</f>
        <v>10</v>
      </c>
      <c r="F488" s="7">
        <f>IF('Raw RetailSalesData'!F488="",'Raw RetailSalesData'!G488/'Raw RetailSalesData'!E488,'Raw RetailSalesData'!F488)</f>
        <v>68</v>
      </c>
      <c r="G488" s="7">
        <f t="shared" si="7"/>
        <v>680</v>
      </c>
      <c r="H488" s="5" t="str">
        <f>IF('Raw RetailSalesData'!H488="","Unknown",'Raw RetailSalesData'!H488)</f>
        <v>APAC</v>
      </c>
      <c r="I488" t="s">
        <v>2190</v>
      </c>
      <c r="J488" t="s">
        <v>152</v>
      </c>
      <c r="K488" t="str">
        <f>TRIM('Raw RetailSalesData'!K488)</f>
        <v>Aarav Patel</v>
      </c>
      <c r="L488" t="s">
        <v>31</v>
      </c>
    </row>
    <row r="489" spans="1:12" x14ac:dyDescent="0.3">
      <c r="A489" t="str">
        <f>IF(COUNTIF('Raw RetailSalesData'!$A:$L,'Raw RetailSalesData'!A489)=1,'Raw RetailSalesData'!A489,"")</f>
        <v>ORD-10536</v>
      </c>
      <c r="B489" t="str">
        <f>IF('Raw RetailSalesData'!B489="","UNKNOWN",'Raw RetailSalesData'!B489)</f>
        <v>2025-05-23</v>
      </c>
      <c r="C489" t="str">
        <f>IF('Raw RetailSalesData'!C489="","UNKNOW",'Raw RetailSalesData'!C489)</f>
        <v>#N/A</v>
      </c>
      <c r="D489" t="str">
        <f>IF('Raw RetailSalesData'!D489="","UNKNOW",'Raw RetailSalesData'!D489)</f>
        <v>P201</v>
      </c>
      <c r="E489" s="5">
        <f>IF('Raw RetailSalesData'!E489="",'Raw RetailSalesData'!F489/'Raw RetailSalesData'!G489,'Raw RetailSalesData'!E489)</f>
        <v>7</v>
      </c>
      <c r="F489" s="7">
        <f>IF('Raw RetailSalesData'!F489="",'Raw RetailSalesData'!G489/'Raw RetailSalesData'!E489,'Raw RetailSalesData'!F489)</f>
        <v>75</v>
      </c>
      <c r="G489" s="7">
        <f t="shared" si="7"/>
        <v>525</v>
      </c>
      <c r="H489" s="5" t="str">
        <f>IF('Raw RetailSalesData'!H489="","Unknown",'Raw RetailSalesData'!H489)</f>
        <v>NA</v>
      </c>
      <c r="I489" t="s">
        <v>28</v>
      </c>
      <c r="J489" t="s">
        <v>29</v>
      </c>
      <c r="K489" t="str">
        <f>TRIM('Raw RetailSalesData'!K489)</f>
        <v>Sales Rep 5</v>
      </c>
      <c r="L489" t="s">
        <v>46</v>
      </c>
    </row>
    <row r="490" spans="1:12" x14ac:dyDescent="0.3">
      <c r="A490" t="str">
        <f>IF(COUNTIF('Raw RetailSalesData'!$A:$L,'Raw RetailSalesData'!A490)=1,'Raw RetailSalesData'!A490,"")</f>
        <v>ORD-10537</v>
      </c>
      <c r="B490" t="str">
        <f>IF('Raw RetailSalesData'!B490="","UNKNOWN",'Raw RetailSalesData'!B490)</f>
        <v>2022-11-01</v>
      </c>
      <c r="C490" t="str">
        <f>IF('Raw RetailSalesData'!C490="","UNKNOW",'Raw RetailSalesData'!C490)</f>
        <v>CUST-1115</v>
      </c>
      <c r="D490" t="str">
        <f>IF('Raw RetailSalesData'!D490="","UNKNOW",'Raw RetailSalesData'!D490)</f>
        <v>C304</v>
      </c>
      <c r="E490" s="5">
        <f>IF('Raw RetailSalesData'!E490="",'Raw RetailSalesData'!F490/'Raw RetailSalesData'!G490,'Raw RetailSalesData'!E490)</f>
        <v>5</v>
      </c>
      <c r="F490" s="7">
        <f>IF('Raw RetailSalesData'!F490="",'Raw RetailSalesData'!G490/'Raw RetailSalesData'!E490,'Raw RetailSalesData'!F490)</f>
        <v>58</v>
      </c>
      <c r="G490" s="7">
        <f t="shared" si="7"/>
        <v>290</v>
      </c>
      <c r="H490" s="5" t="str">
        <f>IF('Raw RetailSalesData'!H490="","Unknown",'Raw RetailSalesData'!H490)</f>
        <v>EMEA</v>
      </c>
      <c r="I490" t="s">
        <v>225</v>
      </c>
      <c r="J490" t="s">
        <v>226</v>
      </c>
      <c r="K490" t="str">
        <f>TRIM('Raw RetailSalesData'!K490)</f>
        <v>Sales Rep 5</v>
      </c>
      <c r="L490" t="s">
        <v>21</v>
      </c>
    </row>
    <row r="491" spans="1:12" x14ac:dyDescent="0.3">
      <c r="A491" t="str">
        <f>IF(COUNTIF('Raw RetailSalesData'!$A:$L,'Raw RetailSalesData'!A491)=1,'Raw RetailSalesData'!A491,"")</f>
        <v>ORD-10538</v>
      </c>
      <c r="B491" t="str">
        <f>IF('Raw RetailSalesData'!B491="","UNKNOWN",'Raw RetailSalesData'!B491)</f>
        <v xml:space="preserve"> 2022-03-01 </v>
      </c>
      <c r="C491" t="str">
        <f>IF('Raw RetailSalesData'!C491="","UNKNOW",'Raw RetailSalesData'!C491)</f>
        <v>CUST-1058</v>
      </c>
      <c r="D491" t="str">
        <f>IF('Raw RetailSalesData'!D491="","UNKNOW",'Raw RetailSalesData'!D491)</f>
        <v>P103</v>
      </c>
      <c r="E491" s="5">
        <f>IF('Raw RetailSalesData'!E491="",'Raw RetailSalesData'!F491/'Raw RetailSalesData'!G491,'Raw RetailSalesData'!E491)</f>
        <v>4</v>
      </c>
      <c r="F491" s="7">
        <f>IF('Raw RetailSalesData'!F491="",'Raw RetailSalesData'!G491/'Raw RetailSalesData'!E491,'Raw RetailSalesData'!F491)</f>
        <v>95</v>
      </c>
      <c r="G491" s="7">
        <f t="shared" si="7"/>
        <v>380</v>
      </c>
      <c r="H491" s="5" t="str">
        <f>IF('Raw RetailSalesData'!H491="","Unknown",'Raw RetailSalesData'!H491)</f>
        <v>EMEA</v>
      </c>
      <c r="I491" t="s">
        <v>38</v>
      </c>
      <c r="J491" t="s">
        <v>39</v>
      </c>
      <c r="K491" t="str">
        <f>TRIM('Raw RetailSalesData'!K491)</f>
        <v>Sales Rep 5</v>
      </c>
      <c r="L491" t="s">
        <v>46</v>
      </c>
    </row>
    <row r="492" spans="1:12" x14ac:dyDescent="0.3">
      <c r="A492" t="str">
        <f>IF(COUNTIF('Raw RetailSalesData'!$A:$L,'Raw RetailSalesData'!A492)=1,'Raw RetailSalesData'!A492,"")</f>
        <v>ORD-10539</v>
      </c>
      <c r="B492" t="str">
        <f>IF('Raw RetailSalesData'!B492="","UNKNOWN",'Raw RetailSalesData'!B492)</f>
        <v>2022-11-04</v>
      </c>
      <c r="C492" t="str">
        <f>IF('Raw RetailSalesData'!C492="","UNKNOW",'Raw RetailSalesData'!C492)</f>
        <v>CUST-1021</v>
      </c>
      <c r="D492" t="str">
        <f>IF('Raw RetailSalesData'!D492="","UNKNOW",'Raw RetailSalesData'!D492)</f>
        <v>C303</v>
      </c>
      <c r="E492" s="5">
        <f>IF('Raw RetailSalesData'!E492="",'Raw RetailSalesData'!F492/'Raw RetailSalesData'!G492,'Raw RetailSalesData'!E492)</f>
        <v>14</v>
      </c>
      <c r="F492" s="7">
        <f>IF('Raw RetailSalesData'!F492="",'Raw RetailSalesData'!G492/'Raw RetailSalesData'!E492,'Raw RetailSalesData'!F492)</f>
        <v>55</v>
      </c>
      <c r="G492" s="7">
        <f t="shared" si="7"/>
        <v>770</v>
      </c>
      <c r="H492" s="5" t="str">
        <f>IF('Raw RetailSalesData'!H492="","Unknown",'Raw RetailSalesData'!H492)</f>
        <v>LATAM</v>
      </c>
      <c r="I492" t="s">
        <v>18</v>
      </c>
      <c r="J492" t="s">
        <v>2197</v>
      </c>
      <c r="K492" t="str">
        <f>TRIM('Raw RetailSalesData'!K492)</f>
        <v>Sales Rep 2</v>
      </c>
      <c r="L492" t="s">
        <v>31</v>
      </c>
    </row>
    <row r="493" spans="1:12" x14ac:dyDescent="0.3">
      <c r="A493" t="str">
        <f>IF(COUNTIF('Raw RetailSalesData'!$A:$L,'Raw RetailSalesData'!A493)=1,'Raw RetailSalesData'!A493,"")</f>
        <v>ORD-10540</v>
      </c>
      <c r="B493" t="str">
        <f>IF('Raw RetailSalesData'!B493="","UNKNOWN",'Raw RetailSalesData'!B493)</f>
        <v>2025-07-15</v>
      </c>
      <c r="C493" t="str">
        <f>IF('Raw RetailSalesData'!C493="","UNKNOW",'Raw RetailSalesData'!C493)</f>
        <v>UNKNOW</v>
      </c>
      <c r="D493" t="str">
        <f>IF('Raw RetailSalesData'!D493="","UNKNOW",'Raw RetailSalesData'!D493)</f>
        <v>P103</v>
      </c>
      <c r="E493" s="5">
        <f>IF('Raw RetailSalesData'!E493="",'Raw RetailSalesData'!F493/'Raw RetailSalesData'!G493,'Raw RetailSalesData'!E493)</f>
        <v>10</v>
      </c>
      <c r="F493" s="7">
        <f>IF('Raw RetailSalesData'!F493="",'Raw RetailSalesData'!G493/'Raw RetailSalesData'!E493,'Raw RetailSalesData'!F493)</f>
        <v>100</v>
      </c>
      <c r="G493" s="7">
        <f t="shared" si="7"/>
        <v>1000</v>
      </c>
      <c r="H493" s="5" t="str">
        <f>IF('Raw RetailSalesData'!H493="","Unknown",'Raw RetailSalesData'!H493)</f>
        <v>NA</v>
      </c>
      <c r="I493" t="s">
        <v>28</v>
      </c>
      <c r="J493" t="s">
        <v>2196</v>
      </c>
      <c r="K493" t="str">
        <f>TRIM('Raw RetailSalesData'!K493)</f>
        <v>Michael Johnson</v>
      </c>
      <c r="L493" t="s">
        <v>31</v>
      </c>
    </row>
    <row r="494" spans="1:12" x14ac:dyDescent="0.3">
      <c r="A494" t="str">
        <f>IF(COUNTIF('Raw RetailSalesData'!$A:$L,'Raw RetailSalesData'!A494)=1,'Raw RetailSalesData'!A494,"")</f>
        <v>ORD-10541</v>
      </c>
      <c r="B494" t="str">
        <f>IF('Raw RetailSalesData'!B494="","UNKNOWN",'Raw RetailSalesData'!B494)</f>
        <v>2023-11-21</v>
      </c>
      <c r="C494" t="str">
        <f>IF('Raw RetailSalesData'!C494="","UNKNOW",'Raw RetailSalesData'!C494)</f>
        <v>CUST-1151</v>
      </c>
      <c r="D494" t="str">
        <f>IF('Raw RetailSalesData'!D494="","UNKNOW",'Raw RetailSalesData'!D494)</f>
        <v>P202</v>
      </c>
      <c r="E494" s="5">
        <f>IF('Raw RetailSalesData'!E494="",'Raw RetailSalesData'!F494/'Raw RetailSalesData'!G494,'Raw RetailSalesData'!E494)</f>
        <v>19</v>
      </c>
      <c r="F494" s="7">
        <f>IF('Raw RetailSalesData'!F494="",'Raw RetailSalesData'!G494/'Raw RetailSalesData'!E494,'Raw RetailSalesData'!F494)</f>
        <v>60</v>
      </c>
      <c r="G494" s="7">
        <f t="shared" si="7"/>
        <v>1140</v>
      </c>
      <c r="H494" s="5" t="str">
        <f>IF('Raw RetailSalesData'!H494="","Unknown",'Raw RetailSalesData'!H494)</f>
        <v>LATAM</v>
      </c>
      <c r="I494" t="s">
        <v>90</v>
      </c>
      <c r="J494" t="s">
        <v>2198</v>
      </c>
      <c r="K494" t="str">
        <f>TRIM('Raw RetailSalesData'!K494)</f>
        <v>Sales Rep 3</v>
      </c>
      <c r="L494" t="s">
        <v>21</v>
      </c>
    </row>
    <row r="495" spans="1:12" x14ac:dyDescent="0.3">
      <c r="A495" t="str">
        <f>IF(COUNTIF('Raw RetailSalesData'!$A:$L,'Raw RetailSalesData'!A495)=1,'Raw RetailSalesData'!A495,"")</f>
        <v>ORD-10542</v>
      </c>
      <c r="B495" t="str">
        <f>IF('Raw RetailSalesData'!B495="","UNKNOWN",'Raw RetailSalesData'!B495)</f>
        <v>2024-03-17</v>
      </c>
      <c r="C495" t="str">
        <f>IF('Raw RetailSalesData'!C495="","UNKNOW",'Raw RetailSalesData'!C495)</f>
        <v>CUST-1149</v>
      </c>
      <c r="D495" t="str">
        <f>IF('Raw RetailSalesData'!D495="","UNKNOW",'Raw RetailSalesData'!D495)</f>
        <v>P201</v>
      </c>
      <c r="E495" s="5">
        <f>IF('Raw RetailSalesData'!E495="",'Raw RetailSalesData'!F495/'Raw RetailSalesData'!G495,'Raw RetailSalesData'!E495)</f>
        <v>19</v>
      </c>
      <c r="F495" s="7">
        <f>IF('Raw RetailSalesData'!F495="",'Raw RetailSalesData'!G495/'Raw RetailSalesData'!E495,'Raw RetailSalesData'!F495)</f>
        <v>65</v>
      </c>
      <c r="G495" s="7">
        <f t="shared" si="7"/>
        <v>1235</v>
      </c>
      <c r="H495" s="5" t="str">
        <f>IF('Raw RetailSalesData'!H495="","Unknown",'Raw RetailSalesData'!H495)</f>
        <v>LATAM</v>
      </c>
      <c r="I495" t="s">
        <v>90</v>
      </c>
      <c r="J495" t="s">
        <v>2198</v>
      </c>
      <c r="K495" t="str">
        <f>TRIM('Raw RetailSalesData'!K495)</f>
        <v>Sales Rep 5</v>
      </c>
      <c r="L495" t="s">
        <v>46</v>
      </c>
    </row>
    <row r="496" spans="1:12" x14ac:dyDescent="0.3">
      <c r="A496" t="str">
        <f>IF(COUNTIF('Raw RetailSalesData'!$A:$L,'Raw RetailSalesData'!A496)=1,'Raw RetailSalesData'!A496,"")</f>
        <v>ORD-10543</v>
      </c>
      <c r="B496" t="str">
        <f>IF('Raw RetailSalesData'!B496="","UNKNOWN",'Raw RetailSalesData'!B496)</f>
        <v>2022-09-24</v>
      </c>
      <c r="C496" t="str">
        <f>IF('Raw RetailSalesData'!C496="","UNKNOW",'Raw RetailSalesData'!C496)</f>
        <v>CUST-1058</v>
      </c>
      <c r="D496" t="str">
        <f>IF('Raw RetailSalesData'!D496="","UNKNOW",'Raw RetailSalesData'!D496)</f>
        <v>P202</v>
      </c>
      <c r="E496" s="5">
        <f>IF('Raw RetailSalesData'!E496="",'Raw RetailSalesData'!F496/'Raw RetailSalesData'!G496,'Raw RetailSalesData'!E496)</f>
        <v>13</v>
      </c>
      <c r="F496" s="7">
        <f>IF('Raw RetailSalesData'!F496="",'Raw RetailSalesData'!G496/'Raw RetailSalesData'!E496,'Raw RetailSalesData'!F496)</f>
        <v>65</v>
      </c>
      <c r="G496" s="7">
        <f t="shared" si="7"/>
        <v>845</v>
      </c>
      <c r="H496" s="5" t="str">
        <f>IF('Raw RetailSalesData'!H496="","Unknown",'Raw RetailSalesData'!H496)</f>
        <v>APAC</v>
      </c>
      <c r="I496" t="s">
        <v>71</v>
      </c>
      <c r="J496" t="s">
        <v>72</v>
      </c>
      <c r="K496" t="str">
        <f>TRIM('Raw RetailSalesData'!K496)</f>
        <v>Hiroshi Tanaka</v>
      </c>
      <c r="L496" t="s">
        <v>46</v>
      </c>
    </row>
    <row r="497" spans="1:12" x14ac:dyDescent="0.3">
      <c r="A497" t="str">
        <f>IF(COUNTIF('Raw RetailSalesData'!$A:$L,'Raw RetailSalesData'!A497)=1,'Raw RetailSalesData'!A497,"")</f>
        <v>ORD-10544</v>
      </c>
      <c r="B497" t="str">
        <f>IF('Raw RetailSalesData'!B497="","UNKNOWN",'Raw RetailSalesData'!B497)</f>
        <v>2026-05-25</v>
      </c>
      <c r="C497" t="str">
        <f>IF('Raw RetailSalesData'!C497="","UNKNOW",'Raw RetailSalesData'!C497)</f>
        <v>CUST-1072</v>
      </c>
      <c r="D497" t="str">
        <f>IF('Raw RetailSalesData'!D497="","UNKNOW",'Raw RetailSalesData'!D497)</f>
        <v>C302</v>
      </c>
      <c r="E497" s="5">
        <f>IF('Raw RetailSalesData'!E497="",'Raw RetailSalesData'!F497/'Raw RetailSalesData'!G497,'Raw RetailSalesData'!E497)</f>
        <v>3</v>
      </c>
      <c r="F497" s="7">
        <f>IF('Raw RetailSalesData'!F497="",'Raw RetailSalesData'!G497/'Raw RetailSalesData'!E497,'Raw RetailSalesData'!F497)</f>
        <v>45</v>
      </c>
      <c r="G497" s="7">
        <f t="shared" si="7"/>
        <v>135</v>
      </c>
      <c r="H497" s="5" t="str">
        <f>IF('Raw RetailSalesData'!H497="","Unknown",'Raw RetailSalesData'!H497)</f>
        <v>LATAM</v>
      </c>
      <c r="I497" t="s">
        <v>90</v>
      </c>
      <c r="J497" t="s">
        <v>2198</v>
      </c>
      <c r="K497" t="str">
        <f>TRIM('Raw RetailSalesData'!K497)</f>
        <v>Sales Rep 5</v>
      </c>
      <c r="L497" t="s">
        <v>21</v>
      </c>
    </row>
    <row r="498" spans="1:12" x14ac:dyDescent="0.3">
      <c r="A498" t="str">
        <f>IF(COUNTIF('Raw RetailSalesData'!$A:$L,'Raw RetailSalesData'!A498)=1,'Raw RetailSalesData'!A498,"")</f>
        <v>ORD-10545</v>
      </c>
      <c r="B498" t="str">
        <f>IF('Raw RetailSalesData'!B498="","UNKNOWN",'Raw RetailSalesData'!B498)</f>
        <v>2022-08-06</v>
      </c>
      <c r="C498" t="str">
        <f>IF('Raw RetailSalesData'!C498="","UNKNOW",'Raw RetailSalesData'!C498)</f>
        <v>CUST-1157</v>
      </c>
      <c r="D498" t="str">
        <f>IF('Raw RetailSalesData'!D498="","UNKNOW",'Raw RetailSalesData'!D498)</f>
        <v>P103</v>
      </c>
      <c r="E498" s="5">
        <f>IF('Raw RetailSalesData'!E498="",'Raw RetailSalesData'!F498/'Raw RetailSalesData'!G498,'Raw RetailSalesData'!E498)</f>
        <v>12</v>
      </c>
      <c r="F498" s="7">
        <f>IF('Raw RetailSalesData'!F498="",'Raw RetailSalesData'!G498/'Raw RetailSalesData'!E498,'Raw RetailSalesData'!F498)</f>
        <v>100</v>
      </c>
      <c r="G498" s="7">
        <f t="shared" si="7"/>
        <v>1200</v>
      </c>
      <c r="H498" s="5" t="str">
        <f>IF('Raw RetailSalesData'!H498="","Unknown",'Raw RetailSalesData'!H498)</f>
        <v>NA</v>
      </c>
      <c r="I498" t="s">
        <v>100</v>
      </c>
      <c r="J498" t="s">
        <v>101</v>
      </c>
      <c r="K498" t="str">
        <f>TRIM('Raw RetailSalesData'!K498)</f>
        <v>Sales Rep 1</v>
      </c>
      <c r="L498" t="s">
        <v>21</v>
      </c>
    </row>
    <row r="499" spans="1:12" x14ac:dyDescent="0.3">
      <c r="A499" t="str">
        <f>IF(COUNTIF('Raw RetailSalesData'!$A:$L,'Raw RetailSalesData'!A499)=1,'Raw RetailSalesData'!A499,"")</f>
        <v>ORD-10546</v>
      </c>
      <c r="B499" t="str">
        <f>IF('Raw RetailSalesData'!B499="","UNKNOWN",'Raw RetailSalesData'!B499)</f>
        <v>2025-11-20</v>
      </c>
      <c r="C499" t="str">
        <f>IF('Raw RetailSalesData'!C499="","UNKNOW",'Raw RetailSalesData'!C499)</f>
        <v>CUST-1058</v>
      </c>
      <c r="D499" t="str">
        <f>IF('Raw RetailSalesData'!D499="","UNKNOW",'Raw RetailSalesData'!D499)</f>
        <v>C304</v>
      </c>
      <c r="E499" s="5">
        <f>IF('Raw RetailSalesData'!E499="",'Raw RetailSalesData'!F499/'Raw RetailSalesData'!G499,'Raw RetailSalesData'!E499)</f>
        <v>5</v>
      </c>
      <c r="F499" s="7">
        <f>IF('Raw RetailSalesData'!F499="",'Raw RetailSalesData'!G499/'Raw RetailSalesData'!E499,'Raw RetailSalesData'!F499)</f>
        <v>58</v>
      </c>
      <c r="G499" s="7">
        <f t="shared" si="7"/>
        <v>290</v>
      </c>
      <c r="H499" s="5" t="str">
        <f>IF('Raw RetailSalesData'!H499="","Unknown",'Raw RetailSalesData'!H499)</f>
        <v>Unknown</v>
      </c>
      <c r="I499" t="s">
        <v>83</v>
      </c>
      <c r="J499" t="s">
        <v>84</v>
      </c>
      <c r="K499" t="str">
        <f>TRIM('Raw RetailSalesData'!K499)</f>
        <v>John Smith</v>
      </c>
      <c r="L499" t="s">
        <v>21</v>
      </c>
    </row>
    <row r="500" spans="1:12" x14ac:dyDescent="0.3">
      <c r="A500" t="str">
        <f>IF(COUNTIF('Raw RetailSalesData'!$A:$L,'Raw RetailSalesData'!A500)=1,'Raw RetailSalesData'!A500,"")</f>
        <v>ORD-10547</v>
      </c>
      <c r="B500" t="str">
        <f>IF('Raw RetailSalesData'!B500="","UNKNOWN",'Raw RetailSalesData'!B500)</f>
        <v>2024-01-14</v>
      </c>
      <c r="C500" t="str">
        <f>IF('Raw RetailSalesData'!C500="","UNKNOW",'Raw RetailSalesData'!C500)</f>
        <v>CUST-1005</v>
      </c>
      <c r="D500" t="str">
        <f>IF('Raw RetailSalesData'!D500="","UNKNOW",'Raw RetailSalesData'!D500)</f>
        <v>C303</v>
      </c>
      <c r="E500" s="5">
        <f>IF('Raw RetailSalesData'!E500="",'Raw RetailSalesData'!F500/'Raw RetailSalesData'!G500,'Raw RetailSalesData'!E500)</f>
        <v>18</v>
      </c>
      <c r="F500" s="7">
        <f>IF('Raw RetailSalesData'!F500="",'Raw RetailSalesData'!G500/'Raw RetailSalesData'!E500,'Raw RetailSalesData'!F500)</f>
        <v>60</v>
      </c>
      <c r="G500" s="7">
        <f t="shared" si="7"/>
        <v>1080</v>
      </c>
      <c r="H500" s="5" t="str">
        <f>IF('Raw RetailSalesData'!H500="","Unknown",'Raw RetailSalesData'!H500)</f>
        <v xml:space="preserve"> APAC </v>
      </c>
      <c r="I500" t="s">
        <v>151</v>
      </c>
      <c r="J500" t="s">
        <v>152</v>
      </c>
      <c r="K500" t="str">
        <f>TRIM('Raw RetailSalesData'!K500)</f>
        <v>Aarav Patel</v>
      </c>
      <c r="L500" t="s">
        <v>31</v>
      </c>
    </row>
    <row r="501" spans="1:12" x14ac:dyDescent="0.3">
      <c r="A501" t="str">
        <f>IF(COUNTIF('Raw RetailSalesData'!$A:$L,'Raw RetailSalesData'!A501)=1,'Raw RetailSalesData'!A501,"")</f>
        <v>ORD-10548</v>
      </c>
      <c r="B501" t="str">
        <f>IF('Raw RetailSalesData'!B501="","UNKNOWN",'Raw RetailSalesData'!B501)</f>
        <v>2025-04-24</v>
      </c>
      <c r="C501" t="str">
        <f>IF('Raw RetailSalesData'!C501="","UNKNOW",'Raw RetailSalesData'!C501)</f>
        <v>CUST-1199</v>
      </c>
      <c r="D501" t="str">
        <f>IF('Raw RetailSalesData'!D501="","UNKNOW",'Raw RetailSalesData'!D501)</f>
        <v>P203</v>
      </c>
      <c r="E501" s="5">
        <f>IF('Raw RetailSalesData'!E501="",'Raw RetailSalesData'!F501/'Raw RetailSalesData'!G501,'Raw RetailSalesData'!E501)</f>
        <v>10</v>
      </c>
      <c r="F501" s="7">
        <f>IF('Raw RetailSalesData'!F501="",'Raw RetailSalesData'!G501/'Raw RetailSalesData'!E501,'Raw RetailSalesData'!F501)</f>
        <v>68</v>
      </c>
      <c r="G501" s="7">
        <f t="shared" si="7"/>
        <v>680</v>
      </c>
      <c r="H501" s="5" t="str">
        <f>IF('Raw RetailSalesData'!H501="","Unknown",'Raw RetailSalesData'!H501)</f>
        <v>EMEA</v>
      </c>
      <c r="I501" t="s">
        <v>2190</v>
      </c>
      <c r="J501" t="s">
        <v>2190</v>
      </c>
      <c r="K501" t="str">
        <f>TRIM('Raw RetailSalesData'!K501)</f>
        <v>John Smith</v>
      </c>
      <c r="L501" t="s">
        <v>21</v>
      </c>
    </row>
    <row r="502" spans="1:12" x14ac:dyDescent="0.3">
      <c r="A502" t="str">
        <f>IF(COUNTIF('Raw RetailSalesData'!$A:$L,'Raw RetailSalesData'!A502)=1,'Raw RetailSalesData'!A502,"")</f>
        <v>ORD-10549</v>
      </c>
      <c r="B502" t="str">
        <f>IF('Raw RetailSalesData'!B502="","UNKNOWN",'Raw RetailSalesData'!B502)</f>
        <v>2024-12-31</v>
      </c>
      <c r="C502" t="str">
        <f>IF('Raw RetailSalesData'!C502="","UNKNOW",'Raw RetailSalesData'!C502)</f>
        <v>CUST-1095</v>
      </c>
      <c r="D502" t="str">
        <f>IF('Raw RetailSalesData'!D502="","UNKNOW",'Raw RetailSalesData'!D502)</f>
        <v>P102</v>
      </c>
      <c r="E502" s="5">
        <f>IF('Raw RetailSalesData'!E502="",'Raw RetailSalesData'!F502/'Raw RetailSalesData'!G502,'Raw RetailSalesData'!E502)</f>
        <v>20</v>
      </c>
      <c r="F502" s="7">
        <f>IF('Raw RetailSalesData'!F502="",'Raw RetailSalesData'!G502/'Raw RetailSalesData'!E502,'Raw RetailSalesData'!F502)</f>
        <v>85</v>
      </c>
      <c r="G502" s="7">
        <f t="shared" si="7"/>
        <v>1700</v>
      </c>
      <c r="H502" s="5" t="str">
        <f>IF('Raw RetailSalesData'!H502="","Unknown",'Raw RetailSalesData'!H502)</f>
        <v>NA</v>
      </c>
      <c r="I502" t="s">
        <v>100</v>
      </c>
      <c r="J502" t="s">
        <v>101</v>
      </c>
      <c r="K502" t="str">
        <f>TRIM('Raw RetailSalesData'!K502)</f>
        <v>Sales Rep 2</v>
      </c>
      <c r="L502" t="s">
        <v>31</v>
      </c>
    </row>
    <row r="503" spans="1:12" x14ac:dyDescent="0.3">
      <c r="A503" t="str">
        <f>IF(COUNTIF('Raw RetailSalesData'!$A:$L,'Raw RetailSalesData'!A503)=1,'Raw RetailSalesData'!A503,"")</f>
        <v>ORD-10550</v>
      </c>
      <c r="B503" t="str">
        <f>IF('Raw RetailSalesData'!B503="","UNKNOWN",'Raw RetailSalesData'!B503)</f>
        <v>2026-04-20</v>
      </c>
      <c r="C503" t="str">
        <f>IF('Raw RetailSalesData'!C503="","UNKNOW",'Raw RetailSalesData'!C503)</f>
        <v>CUST-1111</v>
      </c>
      <c r="D503" t="str">
        <f>IF('Raw RetailSalesData'!D503="","UNKNOW",'Raw RetailSalesData'!D503)</f>
        <v>P203</v>
      </c>
      <c r="E503" s="5">
        <f>IF('Raw RetailSalesData'!E503="",'Raw RetailSalesData'!F503/'Raw RetailSalesData'!G503,'Raw RetailSalesData'!E503)</f>
        <v>1</v>
      </c>
      <c r="F503" s="7">
        <f>IF('Raw RetailSalesData'!F503="",'Raw RetailSalesData'!G503/'Raw RetailSalesData'!E503,'Raw RetailSalesData'!F503)</f>
        <v>68</v>
      </c>
      <c r="G503" s="7">
        <f t="shared" si="7"/>
        <v>68</v>
      </c>
      <c r="H503" s="5" t="str">
        <f>IF('Raw RetailSalesData'!H503="","Unknown",'Raw RetailSalesData'!H503)</f>
        <v>APAC</v>
      </c>
      <c r="I503" t="s">
        <v>151</v>
      </c>
      <c r="J503" t="s">
        <v>152</v>
      </c>
      <c r="K503" t="str">
        <f>TRIM('Raw RetailSalesData'!K503)</f>
        <v>Aarav Patel</v>
      </c>
      <c r="L503" t="s">
        <v>31</v>
      </c>
    </row>
    <row r="504" spans="1:12" x14ac:dyDescent="0.3">
      <c r="A504" t="str">
        <f>IF(COUNTIF('Raw RetailSalesData'!$A:$L,'Raw RetailSalesData'!A504)=1,'Raw RetailSalesData'!A504,"")</f>
        <v>ORD-10551</v>
      </c>
      <c r="B504" t="str">
        <f>IF('Raw RetailSalesData'!B504="","UNKNOWN",'Raw RetailSalesData'!B504)</f>
        <v>2024-08-06</v>
      </c>
      <c r="C504" t="str">
        <f>IF('Raw RetailSalesData'!C504="","UNKNOW",'Raw RetailSalesData'!C504)</f>
        <v>CUST-1043</v>
      </c>
      <c r="D504" t="str">
        <f>IF('Raw RetailSalesData'!D504="","UNKNOW",'Raw RetailSalesData'!D504)</f>
        <v>C301</v>
      </c>
      <c r="E504" s="5">
        <f>IF('Raw RetailSalesData'!E504="",'Raw RetailSalesData'!F504/'Raw RetailSalesData'!G504,'Raw RetailSalesData'!E504)</f>
        <v>12</v>
      </c>
      <c r="F504" s="7">
        <f>IF('Raw RetailSalesData'!F504="",'Raw RetailSalesData'!G504/'Raw RetailSalesData'!E504,'Raw RetailSalesData'!F504)</f>
        <v>60</v>
      </c>
      <c r="G504" s="7">
        <f t="shared" si="7"/>
        <v>720</v>
      </c>
      <c r="H504" s="5" t="str">
        <f>IF('Raw RetailSalesData'!H504="","Unknown",'Raw RetailSalesData'!H504)</f>
        <v xml:space="preserve"> NA </v>
      </c>
      <c r="I504" t="s">
        <v>28</v>
      </c>
      <c r="J504" t="s">
        <v>29</v>
      </c>
      <c r="K504" t="str">
        <f>TRIM('Raw RetailSalesData'!K504)</f>
        <v>Sales Rep 5</v>
      </c>
      <c r="L504" t="s">
        <v>31</v>
      </c>
    </row>
    <row r="505" spans="1:12" x14ac:dyDescent="0.3">
      <c r="A505" t="str">
        <f>IF(COUNTIF('Raw RetailSalesData'!$A:$L,'Raw RetailSalesData'!A505)=1,'Raw RetailSalesData'!A505,"")</f>
        <v>ORD-10552</v>
      </c>
      <c r="B505" t="str">
        <f>IF('Raw RetailSalesData'!B505="","UNKNOWN",'Raw RetailSalesData'!B505)</f>
        <v xml:space="preserve"> 2022-11-14 </v>
      </c>
      <c r="C505" t="str">
        <f>IF('Raw RetailSalesData'!C505="","UNKNOW",'Raw RetailSalesData'!C505)</f>
        <v>CUST-1023</v>
      </c>
      <c r="D505" t="str">
        <f>IF('Raw RetailSalesData'!D505="","UNKNOW",'Raw RetailSalesData'!D505)</f>
        <v>P103</v>
      </c>
      <c r="E505" s="5">
        <f>IF('Raw RetailSalesData'!E505="",'Raw RetailSalesData'!F505/'Raw RetailSalesData'!G505,'Raw RetailSalesData'!E505)</f>
        <v>8</v>
      </c>
      <c r="F505" s="7">
        <f>IF('Raw RetailSalesData'!F505="",'Raw RetailSalesData'!G505/'Raw RetailSalesData'!E505,'Raw RetailSalesData'!F505)</f>
        <v>90</v>
      </c>
      <c r="G505" s="7">
        <f t="shared" si="7"/>
        <v>720</v>
      </c>
      <c r="H505" s="5" t="str">
        <f>IF('Raw RetailSalesData'!H505="","Unknown",'Raw RetailSalesData'!H505)</f>
        <v>LATAM</v>
      </c>
      <c r="I505" t="s">
        <v>18</v>
      </c>
      <c r="J505" t="s">
        <v>2197</v>
      </c>
      <c r="K505" t="str">
        <f>TRIM('Raw RetailSalesData'!K505)</f>
        <v>Sales Rep 5</v>
      </c>
      <c r="L505" t="s">
        <v>21</v>
      </c>
    </row>
    <row r="506" spans="1:12" x14ac:dyDescent="0.3">
      <c r="A506" t="str">
        <f>IF(COUNTIF('Raw RetailSalesData'!$A:$L,'Raw RetailSalesData'!A506)=1,'Raw RetailSalesData'!A506,"")</f>
        <v>ORD-10553</v>
      </c>
      <c r="B506" t="str">
        <f>IF('Raw RetailSalesData'!B506="","UNKNOWN",'Raw RetailSalesData'!B506)</f>
        <v>2022-10-06</v>
      </c>
      <c r="C506" t="str">
        <f>IF('Raw RetailSalesData'!C506="","UNKNOW",'Raw RetailSalesData'!C506)</f>
        <v>CUST-1029</v>
      </c>
      <c r="D506" t="str">
        <f>IF('Raw RetailSalesData'!D506="","UNKNOW",'Raw RetailSalesData'!D506)</f>
        <v>P101</v>
      </c>
      <c r="E506" s="5">
        <f>IF('Raw RetailSalesData'!E506="",'Raw RetailSalesData'!F506/'Raw RetailSalesData'!G506,'Raw RetailSalesData'!E506)</f>
        <v>11</v>
      </c>
      <c r="F506" s="7">
        <f>IF('Raw RetailSalesData'!F506="",'Raw RetailSalesData'!G506/'Raw RetailSalesData'!E506,'Raw RetailSalesData'!F506)</f>
        <v>85</v>
      </c>
      <c r="G506" s="7">
        <f t="shared" si="7"/>
        <v>935</v>
      </c>
      <c r="H506" s="5" t="str">
        <f>IF('Raw RetailSalesData'!H506="","Unknown",'Raw RetailSalesData'!H506)</f>
        <v>APAC</v>
      </c>
      <c r="I506" t="s">
        <v>71</v>
      </c>
      <c r="J506" t="s">
        <v>72</v>
      </c>
      <c r="K506" t="str">
        <f>TRIM('Raw RetailSalesData'!K506)</f>
        <v>Hiroshi Tanaka</v>
      </c>
      <c r="L506" t="s">
        <v>21</v>
      </c>
    </row>
    <row r="507" spans="1:12" x14ac:dyDescent="0.3">
      <c r="A507" t="str">
        <f>IF(COUNTIF('Raw RetailSalesData'!$A:$L,'Raw RetailSalesData'!A507)=1,'Raw RetailSalesData'!A507,"")</f>
        <v>ORD-10554</v>
      </c>
      <c r="B507" t="str">
        <f>IF('Raw RetailSalesData'!B507="","UNKNOWN",'Raw RetailSalesData'!B507)</f>
        <v>2025-03-24</v>
      </c>
      <c r="C507" t="str">
        <f>IF('Raw RetailSalesData'!C507="","UNKNOW",'Raw RetailSalesData'!C507)</f>
        <v>CUST-1163</v>
      </c>
      <c r="D507" t="str">
        <f>IF('Raw RetailSalesData'!D507="","UNKNOW",'Raw RetailSalesData'!D507)</f>
        <v>C303</v>
      </c>
      <c r="E507" s="5">
        <f>IF('Raw RetailSalesData'!E507="",'Raw RetailSalesData'!F507/'Raw RetailSalesData'!G507,'Raw RetailSalesData'!E507)</f>
        <v>3</v>
      </c>
      <c r="F507" s="7">
        <f>IF('Raw RetailSalesData'!F507="",'Raw RetailSalesData'!G507/'Raw RetailSalesData'!E507,'Raw RetailSalesData'!F507)</f>
        <v>60</v>
      </c>
      <c r="G507" s="7">
        <f t="shared" si="7"/>
        <v>180</v>
      </c>
      <c r="H507" s="5" t="str">
        <f>IF('Raw RetailSalesData'!H507="","Unknown",'Raw RetailSalesData'!H507)</f>
        <v>EMEA</v>
      </c>
      <c r="I507" t="s">
        <v>83</v>
      </c>
      <c r="J507" t="s">
        <v>84</v>
      </c>
      <c r="K507" t="str">
        <f>TRIM('Raw RetailSalesData'!K507)</f>
        <v>John Smith</v>
      </c>
      <c r="L507" t="s">
        <v>21</v>
      </c>
    </row>
    <row r="508" spans="1:12" x14ac:dyDescent="0.3">
      <c r="A508" t="str">
        <f>IF(COUNTIF('Raw RetailSalesData'!$A:$L,'Raw RetailSalesData'!A508)=1,'Raw RetailSalesData'!A508,"")</f>
        <v>ORD-10555</v>
      </c>
      <c r="B508" t="str">
        <f>IF('Raw RetailSalesData'!B508="","UNKNOWN",'Raw RetailSalesData'!B508)</f>
        <v>2023-05-26</v>
      </c>
      <c r="C508" t="str">
        <f>IF('Raw RetailSalesData'!C508="","UNKNOW",'Raw RetailSalesData'!C508)</f>
        <v>CUST-1070</v>
      </c>
      <c r="D508" t="str">
        <f>IF('Raw RetailSalesData'!D508="","UNKNOW",'Raw RetailSalesData'!D508)</f>
        <v>P102</v>
      </c>
      <c r="E508" s="5">
        <f>IF('Raw RetailSalesData'!E508="",'Raw RetailSalesData'!F508/'Raw RetailSalesData'!G508,'Raw RetailSalesData'!E508)</f>
        <v>4</v>
      </c>
      <c r="F508" s="7">
        <f>IF('Raw RetailSalesData'!F508="",'Raw RetailSalesData'!G508/'Raw RetailSalesData'!E508,'Raw RetailSalesData'!F508)</f>
        <v>75</v>
      </c>
      <c r="G508" s="7">
        <f t="shared" si="7"/>
        <v>300</v>
      </c>
      <c r="H508" s="5" t="str">
        <f>IF('Raw RetailSalesData'!H508="","Unknown",'Raw RetailSalesData'!H508)</f>
        <v>LATAM</v>
      </c>
      <c r="I508" t="s">
        <v>18</v>
      </c>
      <c r="J508" t="s">
        <v>2197</v>
      </c>
      <c r="K508" t="str">
        <f>TRIM('Raw RetailSalesData'!K508)</f>
        <v>Sales Rep 3</v>
      </c>
      <c r="L508" t="s">
        <v>31</v>
      </c>
    </row>
    <row r="509" spans="1:12" x14ac:dyDescent="0.3">
      <c r="A509" t="str">
        <f>IF(COUNTIF('Raw RetailSalesData'!$A:$L,'Raw RetailSalesData'!A509)=1,'Raw RetailSalesData'!A509,"")</f>
        <v>ORD-10556</v>
      </c>
      <c r="B509" t="str">
        <f>IF('Raw RetailSalesData'!B509="","UNKNOWN",'Raw RetailSalesData'!B509)</f>
        <v>2024-10-01</v>
      </c>
      <c r="C509" t="str">
        <f>IF('Raw RetailSalesData'!C509="","UNKNOW",'Raw RetailSalesData'!C509)</f>
        <v>CUST-1039</v>
      </c>
      <c r="D509" t="str">
        <f>IF('Raw RetailSalesData'!D509="","UNKNOW",'Raw RetailSalesData'!D509)</f>
        <v>P203</v>
      </c>
      <c r="E509" s="5">
        <f>IF('Raw RetailSalesData'!E509="",'Raw RetailSalesData'!F509/'Raw RetailSalesData'!G509,'Raw RetailSalesData'!E509)</f>
        <v>0.5</v>
      </c>
      <c r="F509" s="7">
        <f>IF('Raw RetailSalesData'!F509="",'Raw RetailSalesData'!G509/'Raw RetailSalesData'!E509,'Raw RetailSalesData'!F509)</f>
        <v>73</v>
      </c>
      <c r="G509" s="7">
        <f t="shared" si="7"/>
        <v>36.5</v>
      </c>
      <c r="H509" s="5" t="str">
        <f>IF('Raw RetailSalesData'!H509="","Unknown",'Raw RetailSalesData'!H509)</f>
        <v>NA</v>
      </c>
      <c r="I509" t="s">
        <v>28</v>
      </c>
      <c r="J509" t="s">
        <v>29</v>
      </c>
      <c r="K509" t="str">
        <f>TRIM('Raw RetailSalesData'!K509)</f>
        <v>Sales Rep 1</v>
      </c>
      <c r="L509" t="s">
        <v>31</v>
      </c>
    </row>
    <row r="510" spans="1:12" x14ac:dyDescent="0.3">
      <c r="A510" t="str">
        <f>IF(COUNTIF('Raw RetailSalesData'!$A:$L,'Raw RetailSalesData'!A510)=1,'Raw RetailSalesData'!A510,"")</f>
        <v>ORD-10557</v>
      </c>
      <c r="B510" t="str">
        <f>IF('Raw RetailSalesData'!B510="","UNKNOWN",'Raw RetailSalesData'!B510)</f>
        <v>2024-02-09</v>
      </c>
      <c r="C510" t="str">
        <f>IF('Raw RetailSalesData'!C510="","UNKNOW",'Raw RetailSalesData'!C510)</f>
        <v>CUST-1072</v>
      </c>
      <c r="D510" t="str">
        <f>IF('Raw RetailSalesData'!D510="","UNKNOW",'Raw RetailSalesData'!D510)</f>
        <v>P102</v>
      </c>
      <c r="E510" s="5">
        <f>IF('Raw RetailSalesData'!E510="",'Raw RetailSalesData'!F510/'Raw RetailSalesData'!G510,'Raw RetailSalesData'!E510)</f>
        <v>7.6923076923076927E-2</v>
      </c>
      <c r="F510" s="7">
        <f>IF('Raw RetailSalesData'!F510="",'Raw RetailSalesData'!G510/'Raw RetailSalesData'!E510,'Raw RetailSalesData'!F510)</f>
        <v>80</v>
      </c>
      <c r="G510" s="7">
        <f t="shared" si="7"/>
        <v>6.1538461538461542</v>
      </c>
      <c r="H510" s="5" t="str">
        <f>IF('Raw RetailSalesData'!H510="","Unknown",'Raw RetailSalesData'!H510)</f>
        <v xml:space="preserve"> APAC </v>
      </c>
      <c r="I510" t="s">
        <v>151</v>
      </c>
      <c r="J510" t="s">
        <v>152</v>
      </c>
      <c r="K510" t="str">
        <f>TRIM('Raw RetailSalesData'!K510)</f>
        <v>Aarav Patel</v>
      </c>
      <c r="L510" t="s">
        <v>21</v>
      </c>
    </row>
    <row r="511" spans="1:12" x14ac:dyDescent="0.3">
      <c r="A511" t="str">
        <f>IF(COUNTIF('Raw RetailSalesData'!$A:$L,'Raw RetailSalesData'!A511)=1,'Raw RetailSalesData'!A511,"")</f>
        <v>ORD-10558</v>
      </c>
      <c r="B511" t="str">
        <f>IF('Raw RetailSalesData'!B511="","UNKNOWN",'Raw RetailSalesData'!B511)</f>
        <v>2022-11-03</v>
      </c>
      <c r="C511" t="str">
        <f>IF('Raw RetailSalesData'!C511="","UNKNOW",'Raw RetailSalesData'!C511)</f>
        <v>CUST-1149</v>
      </c>
      <c r="D511" t="str">
        <f>IF('Raw RetailSalesData'!D511="","UNKNOW",'Raw RetailSalesData'!D511)</f>
        <v>P202</v>
      </c>
      <c r="E511" s="5">
        <f>IF('Raw RetailSalesData'!E511="",'Raw RetailSalesData'!F511/'Raw RetailSalesData'!G511,'Raw RetailSalesData'!E511)</f>
        <v>13</v>
      </c>
      <c r="F511" s="7">
        <f>IF('Raw RetailSalesData'!F511="",'Raw RetailSalesData'!G511/'Raw RetailSalesData'!E511,'Raw RetailSalesData'!F511)</f>
        <v>70</v>
      </c>
      <c r="G511" s="7">
        <f t="shared" si="7"/>
        <v>910</v>
      </c>
      <c r="H511" s="5" t="str">
        <f>IF('Raw RetailSalesData'!H511="","Unknown",'Raw RetailSalesData'!H511)</f>
        <v>NA</v>
      </c>
      <c r="I511" t="s">
        <v>28</v>
      </c>
      <c r="J511" t="s">
        <v>29</v>
      </c>
      <c r="K511" t="str">
        <f>TRIM('Raw RetailSalesData'!K511)</f>
        <v>Sales Rep 2</v>
      </c>
      <c r="L511" t="s">
        <v>21</v>
      </c>
    </row>
    <row r="512" spans="1:12" x14ac:dyDescent="0.3">
      <c r="A512" t="str">
        <f>IF(COUNTIF('Raw RetailSalesData'!$A:$L,'Raw RetailSalesData'!A512)=1,'Raw RetailSalesData'!A512,"")</f>
        <v>ORD-10560</v>
      </c>
      <c r="B512" t="str">
        <f>IF('Raw RetailSalesData'!B512="","UNKNOWN",'Raw RetailSalesData'!B512)</f>
        <v>2024-08-09</v>
      </c>
      <c r="C512" t="str">
        <f>IF('Raw RetailSalesData'!C512="","UNKNOW",'Raw RetailSalesData'!C512)</f>
        <v>CUST-1131</v>
      </c>
      <c r="D512" t="str">
        <f>IF('Raw RetailSalesData'!D512="","UNKNOW",'Raw RetailSalesData'!D512)</f>
        <v>UNKNOW</v>
      </c>
      <c r="E512" s="5">
        <f>IF('Raw RetailSalesData'!E512="",'Raw RetailSalesData'!F512/'Raw RetailSalesData'!G512,'Raw RetailSalesData'!E512)</f>
        <v>14</v>
      </c>
      <c r="F512" s="7">
        <f>IF('Raw RetailSalesData'!F512="",'Raw RetailSalesData'!G512/'Raw RetailSalesData'!E512,'Raw RetailSalesData'!F512)</f>
        <v>60</v>
      </c>
      <c r="G512" s="7">
        <f t="shared" si="7"/>
        <v>840</v>
      </c>
      <c r="H512" s="5" t="str">
        <f>IF('Raw RetailSalesData'!H512="","Unknown",'Raw RetailSalesData'!H512)</f>
        <v>EMEA</v>
      </c>
      <c r="I512" t="s">
        <v>83</v>
      </c>
      <c r="J512" t="s">
        <v>84</v>
      </c>
      <c r="K512" t="str">
        <f>TRIM('Raw RetailSalesData'!K512)</f>
        <v>John Smith</v>
      </c>
      <c r="L512" t="s">
        <v>46</v>
      </c>
    </row>
    <row r="513" spans="1:12" x14ac:dyDescent="0.3">
      <c r="A513" t="str">
        <f>IF(COUNTIF('Raw RetailSalesData'!$A:$L,'Raw RetailSalesData'!A513)=1,'Raw RetailSalesData'!A513,"")</f>
        <v>ORD-10561</v>
      </c>
      <c r="B513" t="str">
        <f>IF('Raw RetailSalesData'!B513="","UNKNOWN",'Raw RetailSalesData'!B513)</f>
        <v>2026-04-25</v>
      </c>
      <c r="C513" t="str">
        <f>IF('Raw RetailSalesData'!C513="","UNKNOW",'Raw RetailSalesData'!C513)</f>
        <v>CUST-1132</v>
      </c>
      <c r="D513" t="str">
        <f>IF('Raw RetailSalesData'!D513="","UNKNOW",'Raw RetailSalesData'!D513)</f>
        <v>C302</v>
      </c>
      <c r="E513" s="5">
        <f>IF('Raw RetailSalesData'!E513="",'Raw RetailSalesData'!F513/'Raw RetailSalesData'!G513,'Raw RetailSalesData'!E513)</f>
        <v>4</v>
      </c>
      <c r="F513" s="7">
        <f>IF('Raw RetailSalesData'!F513="",'Raw RetailSalesData'!G513/'Raw RetailSalesData'!E513,'Raw RetailSalesData'!F513)</f>
        <v>55</v>
      </c>
      <c r="G513" s="7">
        <f t="shared" si="7"/>
        <v>220</v>
      </c>
      <c r="H513" s="5" t="str">
        <f>IF('Raw RetailSalesData'!H513="","Unknown",'Raw RetailSalesData'!H513)</f>
        <v>NA</v>
      </c>
      <c r="I513" t="s">
        <v>28</v>
      </c>
      <c r="J513" t="s">
        <v>2196</v>
      </c>
      <c r="K513" t="str">
        <f>TRIM('Raw RetailSalesData'!K513)</f>
        <v>Michael Johnson</v>
      </c>
      <c r="L513" t="s">
        <v>21</v>
      </c>
    </row>
    <row r="514" spans="1:12" x14ac:dyDescent="0.3">
      <c r="A514" t="str">
        <f>IF(COUNTIF('Raw RetailSalesData'!$A:$L,'Raw RetailSalesData'!A514)=1,'Raw RetailSalesData'!A514,"")</f>
        <v>ORD-10562</v>
      </c>
      <c r="B514" t="str">
        <f>IF('Raw RetailSalesData'!B514="","UNKNOWN",'Raw RetailSalesData'!B514)</f>
        <v>2024-10-10</v>
      </c>
      <c r="C514" t="str">
        <f>IF('Raw RetailSalesData'!C514="","UNKNOW",'Raw RetailSalesData'!C514)</f>
        <v>CUST-1048</v>
      </c>
      <c r="D514" t="str">
        <f>IF('Raw RetailSalesData'!D514="","UNKNOW",'Raw RetailSalesData'!D514)</f>
        <v>C301</v>
      </c>
      <c r="E514" s="5">
        <f>IF('Raw RetailSalesData'!E514="",'Raw RetailSalesData'!F514/'Raw RetailSalesData'!G514,'Raw RetailSalesData'!E514)</f>
        <v>5</v>
      </c>
      <c r="F514" s="7">
        <f>IF('Raw RetailSalesData'!F514="",'Raw RetailSalesData'!G514/'Raw RetailSalesData'!E514,'Raw RetailSalesData'!F514)</f>
        <v>50</v>
      </c>
      <c r="G514" s="7">
        <f t="shared" si="7"/>
        <v>250</v>
      </c>
      <c r="H514" s="5" t="str">
        <f>IF('Raw RetailSalesData'!H514="","Unknown",'Raw RetailSalesData'!H514)</f>
        <v>LATAM</v>
      </c>
      <c r="I514" t="s">
        <v>90</v>
      </c>
      <c r="J514" t="s">
        <v>2198</v>
      </c>
      <c r="K514" t="str">
        <f>TRIM('Raw RetailSalesData'!K514)</f>
        <v>Sales Rep 1</v>
      </c>
      <c r="L514" t="s">
        <v>21</v>
      </c>
    </row>
    <row r="515" spans="1:12" x14ac:dyDescent="0.3">
      <c r="A515" t="str">
        <f>IF(COUNTIF('Raw RetailSalesData'!$A:$L,'Raw RetailSalesData'!A515)=1,'Raw RetailSalesData'!A515,"")</f>
        <v>ORD-10563</v>
      </c>
      <c r="B515" t="str">
        <f>IF('Raw RetailSalesData'!B515="","UNKNOWN",'Raw RetailSalesData'!B515)</f>
        <v>2022-04-18</v>
      </c>
      <c r="C515" t="str">
        <f>IF('Raw RetailSalesData'!C515="","UNKNOW",'Raw RetailSalesData'!C515)</f>
        <v>CUST-1101</v>
      </c>
      <c r="D515" t="str">
        <f>IF('Raw RetailSalesData'!D515="","UNKNOW",'Raw RetailSalesData'!D515)</f>
        <v>C302</v>
      </c>
      <c r="E515" s="5">
        <f>IF('Raw RetailSalesData'!E515="",'Raw RetailSalesData'!F515/'Raw RetailSalesData'!G515,'Raw RetailSalesData'!E515)</f>
        <v>4</v>
      </c>
      <c r="F515" s="7">
        <f>IF('Raw RetailSalesData'!F515="",'Raw RetailSalesData'!G515/'Raw RetailSalesData'!E515,'Raw RetailSalesData'!F515)</f>
        <v>50</v>
      </c>
      <c r="G515" s="7">
        <f t="shared" ref="G515:G578" si="8">F515*E515</f>
        <v>200</v>
      </c>
      <c r="H515" s="5" t="str">
        <f>IF('Raw RetailSalesData'!H515="","Unknown",'Raw RetailSalesData'!H515)</f>
        <v>EMEA</v>
      </c>
      <c r="I515" t="s">
        <v>83</v>
      </c>
      <c r="J515" t="s">
        <v>84</v>
      </c>
      <c r="K515" t="str">
        <f>TRIM('Raw RetailSalesData'!K515)</f>
        <v>John Smith</v>
      </c>
      <c r="L515" t="s">
        <v>21</v>
      </c>
    </row>
    <row r="516" spans="1:12" x14ac:dyDescent="0.3">
      <c r="A516" t="str">
        <f>IF(COUNTIF('Raw RetailSalesData'!$A:$L,'Raw RetailSalesData'!A516)=1,'Raw RetailSalesData'!A516,"")</f>
        <v>ORD-10564</v>
      </c>
      <c r="B516" t="str">
        <f>IF('Raw RetailSalesData'!B516="","UNKNOWN",'Raw RetailSalesData'!B516)</f>
        <v>2025-08-15</v>
      </c>
      <c r="C516" t="str">
        <f>IF('Raw RetailSalesData'!C516="","UNKNOW",'Raw RetailSalesData'!C516)</f>
        <v>CUST-1094</v>
      </c>
      <c r="D516" t="str">
        <f>IF('Raw RetailSalesData'!D516="","UNKNOW",'Raw RetailSalesData'!D516)</f>
        <v>P101</v>
      </c>
      <c r="E516" s="5">
        <f>IF('Raw RetailSalesData'!E516="",'Raw RetailSalesData'!F516/'Raw RetailSalesData'!G516,'Raw RetailSalesData'!E516)</f>
        <v>9</v>
      </c>
      <c r="F516" s="7">
        <f>IF('Raw RetailSalesData'!F516="",'Raw RetailSalesData'!G516/'Raw RetailSalesData'!E516,'Raw RetailSalesData'!F516)</f>
        <v>85</v>
      </c>
      <c r="G516" s="7">
        <f t="shared" si="8"/>
        <v>765</v>
      </c>
      <c r="H516" s="5" t="str">
        <f>IF('Raw RetailSalesData'!H516="","Unknown",'Raw RetailSalesData'!H516)</f>
        <v>APAC</v>
      </c>
      <c r="I516" t="s">
        <v>183</v>
      </c>
      <c r="J516" t="s">
        <v>184</v>
      </c>
      <c r="K516" t="str">
        <f>TRIM('Raw RetailSalesData'!K516)</f>
        <v>Sales Rep 1</v>
      </c>
      <c r="L516" t="s">
        <v>21</v>
      </c>
    </row>
    <row r="517" spans="1:12" x14ac:dyDescent="0.3">
      <c r="A517" t="str">
        <f>IF(COUNTIF('Raw RetailSalesData'!$A:$L,'Raw RetailSalesData'!A517)=1,'Raw RetailSalesData'!A517,"")</f>
        <v>ORD-10565</v>
      </c>
      <c r="B517" t="str">
        <f>IF('Raw RetailSalesData'!B517="","UNKNOWN",'Raw RetailSalesData'!B517)</f>
        <v>2025-08-15</v>
      </c>
      <c r="C517" t="str">
        <f>IF('Raw RetailSalesData'!C517="","UNKNOW",'Raw RetailSalesData'!C517)</f>
        <v>CUST-1094</v>
      </c>
      <c r="D517" t="str">
        <f>IF('Raw RetailSalesData'!D517="","UNKNOW",'Raw RetailSalesData'!D517)</f>
        <v>P101</v>
      </c>
      <c r="E517" s="5">
        <f>IF('Raw RetailSalesData'!E517="",'Raw RetailSalesData'!F517/'Raw RetailSalesData'!G517,'Raw RetailSalesData'!E517)</f>
        <v>9</v>
      </c>
      <c r="F517" s="7">
        <f>IF('Raw RetailSalesData'!F517="",'Raw RetailSalesData'!G517/'Raw RetailSalesData'!E517,'Raw RetailSalesData'!F517)</f>
        <v>85</v>
      </c>
      <c r="G517" s="7">
        <f t="shared" si="8"/>
        <v>765</v>
      </c>
      <c r="H517" s="5" t="str">
        <f>IF('Raw RetailSalesData'!H517="","Unknown",'Raw RetailSalesData'!H517)</f>
        <v>APAC</v>
      </c>
      <c r="I517" t="s">
        <v>183</v>
      </c>
      <c r="J517" t="s">
        <v>184</v>
      </c>
      <c r="K517" t="str">
        <f>TRIM('Raw RetailSalesData'!K517)</f>
        <v>Sales Rep 1</v>
      </c>
      <c r="L517" t="s">
        <v>21</v>
      </c>
    </row>
    <row r="518" spans="1:12" x14ac:dyDescent="0.3">
      <c r="A518" t="str">
        <f>IF(COUNTIF('Raw RetailSalesData'!$A:$L,'Raw RetailSalesData'!A518)=1,'Raw RetailSalesData'!A518,"")</f>
        <v>ORD-10566</v>
      </c>
      <c r="B518" t="str">
        <f>IF('Raw RetailSalesData'!B518="","UNKNOWN",'Raw RetailSalesData'!B518)</f>
        <v>2023-01-19</v>
      </c>
      <c r="C518" t="str">
        <f>IF('Raw RetailSalesData'!C518="","UNKNOW",'Raw RetailSalesData'!C518)</f>
        <v>CUST-1147</v>
      </c>
      <c r="D518" t="str">
        <f>IF('Raw RetailSalesData'!D518="","UNKNOW",'Raw RetailSalesData'!D518)</f>
        <v>C304</v>
      </c>
      <c r="E518" s="5">
        <f>IF('Raw RetailSalesData'!E518="",'Raw RetailSalesData'!F518/'Raw RetailSalesData'!G518,'Raw RetailSalesData'!E518)</f>
        <v>1</v>
      </c>
      <c r="F518" s="7">
        <f>IF('Raw RetailSalesData'!F518="",'Raw RetailSalesData'!G518/'Raw RetailSalesData'!E518,'Raw RetailSalesData'!F518)</f>
        <v>58</v>
      </c>
      <c r="G518" s="7">
        <f t="shared" si="8"/>
        <v>58</v>
      </c>
      <c r="H518" s="5" t="str">
        <f>IF('Raw RetailSalesData'!H518="","Unknown",'Raw RetailSalesData'!H518)</f>
        <v>Unknown</v>
      </c>
      <c r="I518" t="s">
        <v>183</v>
      </c>
      <c r="J518" t="s">
        <v>184</v>
      </c>
      <c r="K518" t="str">
        <f>TRIM('Raw RetailSalesData'!K518)</f>
        <v>Sales Rep 1</v>
      </c>
      <c r="L518" t="s">
        <v>31</v>
      </c>
    </row>
    <row r="519" spans="1:12" x14ac:dyDescent="0.3">
      <c r="A519" t="str">
        <f>IF(COUNTIF('Raw RetailSalesData'!$A:$L,'Raw RetailSalesData'!A519)=1,'Raw RetailSalesData'!A519,"")</f>
        <v>ORD-10567</v>
      </c>
      <c r="B519" t="str">
        <f>IF('Raw RetailSalesData'!B519="","UNKNOWN",'Raw RetailSalesData'!B519)</f>
        <v xml:space="preserve"> 2024-07-08 </v>
      </c>
      <c r="C519" t="str">
        <f>IF('Raw RetailSalesData'!C519="","UNKNOW",'Raw RetailSalesData'!C519)</f>
        <v>CUST-1016</v>
      </c>
      <c r="D519" t="str">
        <f>IF('Raw RetailSalesData'!D519="","UNKNOW",'Raw RetailSalesData'!D519)</f>
        <v>C304</v>
      </c>
      <c r="E519" s="5">
        <f>IF('Raw RetailSalesData'!E519="",'Raw RetailSalesData'!F519/'Raw RetailSalesData'!G519,'Raw RetailSalesData'!E519)</f>
        <v>19</v>
      </c>
      <c r="F519" s="7">
        <f>IF('Raw RetailSalesData'!F519="",'Raw RetailSalesData'!G519/'Raw RetailSalesData'!E519,'Raw RetailSalesData'!F519)</f>
        <v>58</v>
      </c>
      <c r="G519" s="7">
        <f t="shared" si="8"/>
        <v>1102</v>
      </c>
      <c r="H519" s="5" t="str">
        <f>IF('Raw RetailSalesData'!H519="","Unknown",'Raw RetailSalesData'!H519)</f>
        <v>APAC</v>
      </c>
      <c r="I519" t="s">
        <v>183</v>
      </c>
      <c r="J519" t="s">
        <v>2190</v>
      </c>
      <c r="K519" t="str">
        <f>TRIM('Raw RetailSalesData'!K519)</f>
        <v>Unknown</v>
      </c>
      <c r="L519" t="s">
        <v>31</v>
      </c>
    </row>
    <row r="520" spans="1:12" x14ac:dyDescent="0.3">
      <c r="A520" t="str">
        <f>IF(COUNTIF('Raw RetailSalesData'!$A:$L,'Raw RetailSalesData'!A520)=1,'Raw RetailSalesData'!A520,"")</f>
        <v>ORD-10568</v>
      </c>
      <c r="B520" t="str">
        <f>IF('Raw RetailSalesData'!B520="","UNKNOWN",'Raw RetailSalesData'!B520)</f>
        <v>2023-05-04</v>
      </c>
      <c r="C520" t="str">
        <f>IF('Raw RetailSalesData'!C520="","UNKNOW",'Raw RetailSalesData'!C520)</f>
        <v>CUST-1008</v>
      </c>
      <c r="D520" t="str">
        <f>IF('Raw RetailSalesData'!D520="","UNKNOW",'Raw RetailSalesData'!D520)</f>
        <v>P202</v>
      </c>
      <c r="E520" s="5">
        <f>IF('Raw RetailSalesData'!E520="",'Raw RetailSalesData'!F520/'Raw RetailSalesData'!G520,'Raw RetailSalesData'!E520)</f>
        <v>11</v>
      </c>
      <c r="F520" s="7">
        <f>IF('Raw RetailSalesData'!F520="",'Raw RetailSalesData'!G520/'Raw RetailSalesData'!E520,'Raw RetailSalesData'!F520)</f>
        <v>70</v>
      </c>
      <c r="G520" s="7">
        <f t="shared" si="8"/>
        <v>770</v>
      </c>
      <c r="H520" s="5" t="str">
        <f>IF('Raw RetailSalesData'!H520="","Unknown",'Raw RetailSalesData'!H520)</f>
        <v>NA</v>
      </c>
      <c r="I520" t="s">
        <v>28</v>
      </c>
      <c r="J520" t="s">
        <v>2196</v>
      </c>
      <c r="K520" t="str">
        <f>TRIM('Raw RetailSalesData'!K520)</f>
        <v>Michael Johnson</v>
      </c>
      <c r="L520" t="s">
        <v>46</v>
      </c>
    </row>
    <row r="521" spans="1:12" x14ac:dyDescent="0.3">
      <c r="A521" t="str">
        <f>IF(COUNTIF('Raw RetailSalesData'!$A:$L,'Raw RetailSalesData'!A521)=1,'Raw RetailSalesData'!A521,"")</f>
        <v>ORD-10569</v>
      </c>
      <c r="B521" t="str">
        <f>IF('Raw RetailSalesData'!B521="","UNKNOWN",'Raw RetailSalesData'!B521)</f>
        <v>2025-07-14</v>
      </c>
      <c r="C521" t="str">
        <f>IF('Raw RetailSalesData'!C521="","UNKNOW",'Raw RetailSalesData'!C521)</f>
        <v>CUST-1122</v>
      </c>
      <c r="D521" t="str">
        <f>IF('Raw RetailSalesData'!D521="","UNKNOW",'Raw RetailSalesData'!D521)</f>
        <v>C302</v>
      </c>
      <c r="E521" s="5">
        <f>IF('Raw RetailSalesData'!E521="",'Raw RetailSalesData'!F521/'Raw RetailSalesData'!G521,'Raw RetailSalesData'!E521)</f>
        <v>4</v>
      </c>
      <c r="F521" s="7">
        <f>IF('Raw RetailSalesData'!F521="",'Raw RetailSalesData'!G521/'Raw RetailSalesData'!E521,'Raw RetailSalesData'!F521)</f>
        <v>55</v>
      </c>
      <c r="G521" s="7">
        <f t="shared" si="8"/>
        <v>220</v>
      </c>
      <c r="H521" s="5" t="str">
        <f>IF('Raw RetailSalesData'!H521="","Unknown",'Raw RetailSalesData'!H521)</f>
        <v>NA</v>
      </c>
      <c r="I521" t="s">
        <v>28</v>
      </c>
      <c r="J521" t="s">
        <v>29</v>
      </c>
      <c r="K521" t="str">
        <f>TRIM('Raw RetailSalesData'!K521)</f>
        <v>Sales Rep 5</v>
      </c>
      <c r="L521" t="s">
        <v>2190</v>
      </c>
    </row>
    <row r="522" spans="1:12" x14ac:dyDescent="0.3">
      <c r="A522" t="str">
        <f>IF(COUNTIF('Raw RetailSalesData'!$A:$L,'Raw RetailSalesData'!A522)=1,'Raw RetailSalesData'!A522,"")</f>
        <v>ORD-10570</v>
      </c>
      <c r="B522" t="str">
        <f>IF('Raw RetailSalesData'!B522="","UNKNOWN",'Raw RetailSalesData'!B522)</f>
        <v>2022-05-27</v>
      </c>
      <c r="C522" t="str">
        <f>IF('Raw RetailSalesData'!C522="","UNKNOW",'Raw RetailSalesData'!C522)</f>
        <v>CUST-1094</v>
      </c>
      <c r="D522" t="str">
        <f>IF('Raw RetailSalesData'!D522="","UNKNOW",'Raw RetailSalesData'!D522)</f>
        <v>P102</v>
      </c>
      <c r="E522" s="5">
        <f>IF('Raw RetailSalesData'!E522="",'Raw RetailSalesData'!F522/'Raw RetailSalesData'!G522,'Raw RetailSalesData'!E522)</f>
        <v>3</v>
      </c>
      <c r="F522" s="7">
        <f>IF('Raw RetailSalesData'!F522="",'Raw RetailSalesData'!G522/'Raw RetailSalesData'!E522,'Raw RetailSalesData'!F522)</f>
        <v>75</v>
      </c>
      <c r="G522" s="7">
        <f t="shared" si="8"/>
        <v>225</v>
      </c>
      <c r="H522" s="5" t="str">
        <f>IF('Raw RetailSalesData'!H522="","Unknown",'Raw RetailSalesData'!H522)</f>
        <v>LATAM</v>
      </c>
      <c r="I522" t="s">
        <v>18</v>
      </c>
      <c r="J522" t="s">
        <v>2197</v>
      </c>
      <c r="K522" t="str">
        <f>TRIM('Raw RetailSalesData'!K522)</f>
        <v>Sales Rep 5</v>
      </c>
      <c r="L522" t="s">
        <v>21</v>
      </c>
    </row>
    <row r="523" spans="1:12" x14ac:dyDescent="0.3">
      <c r="A523" t="str">
        <f>IF(COUNTIF('Raw RetailSalesData'!$A:$L,'Raw RetailSalesData'!A523)=1,'Raw RetailSalesData'!A523,"")</f>
        <v>ORD-10571</v>
      </c>
      <c r="B523" t="str">
        <f>IF('Raw RetailSalesData'!B523="","UNKNOWN",'Raw RetailSalesData'!B523)</f>
        <v>2024-04-22</v>
      </c>
      <c r="C523" t="str">
        <f>IF('Raw RetailSalesData'!C523="","UNKNOW",'Raw RetailSalesData'!C523)</f>
        <v>CUST-1069</v>
      </c>
      <c r="D523" t="str">
        <f>IF('Raw RetailSalesData'!D523="","UNKNOW",'Raw RetailSalesData'!D523)</f>
        <v>UNKNOW</v>
      </c>
      <c r="E523" s="5">
        <f>IF('Raw RetailSalesData'!E523="",'Raw RetailSalesData'!F523/'Raw RetailSalesData'!G523,'Raw RetailSalesData'!E523)</f>
        <v>14</v>
      </c>
      <c r="F523" s="7">
        <f>IF('Raw RetailSalesData'!F523="",'Raw RetailSalesData'!G523/'Raw RetailSalesData'!E523,'Raw RetailSalesData'!F523)</f>
        <v>95</v>
      </c>
      <c r="G523" s="7">
        <f t="shared" si="8"/>
        <v>1330</v>
      </c>
      <c r="H523" s="5" t="str">
        <f>IF('Raw RetailSalesData'!H523="","Unknown",'Raw RetailSalesData'!H523)</f>
        <v>EMEA</v>
      </c>
      <c r="I523" t="s">
        <v>38</v>
      </c>
      <c r="J523" t="s">
        <v>39</v>
      </c>
      <c r="K523" t="str">
        <f>TRIM('Raw RetailSalesData'!K523)</f>
        <v>Sales Rep 5</v>
      </c>
      <c r="L523" t="s">
        <v>46</v>
      </c>
    </row>
    <row r="524" spans="1:12" x14ac:dyDescent="0.3">
      <c r="A524" t="str">
        <f>IF(COUNTIF('Raw RetailSalesData'!$A:$L,'Raw RetailSalesData'!A524)=1,'Raw RetailSalesData'!A524,"")</f>
        <v>ORD-10573</v>
      </c>
      <c r="B524" t="str">
        <f>IF('Raw RetailSalesData'!B524="","UNKNOWN",'Raw RetailSalesData'!B524)</f>
        <v>2024-02-08</v>
      </c>
      <c r="C524" t="str">
        <f>IF('Raw RetailSalesData'!C524="","UNKNOW",'Raw RetailSalesData'!C524)</f>
        <v>CUST-1024</v>
      </c>
      <c r="D524" t="str">
        <f>IF('Raw RetailSalesData'!D524="","UNKNOW",'Raw RetailSalesData'!D524)</f>
        <v>C301</v>
      </c>
      <c r="E524" s="5">
        <f>IF('Raw RetailSalesData'!E524="",'Raw RetailSalesData'!F524/'Raw RetailSalesData'!G524,'Raw RetailSalesData'!E524)</f>
        <v>14</v>
      </c>
      <c r="F524" s="7">
        <f>IF('Raw RetailSalesData'!F524="",'Raw RetailSalesData'!G524/'Raw RetailSalesData'!E524,'Raw RetailSalesData'!F524)</f>
        <v>55</v>
      </c>
      <c r="G524" s="7">
        <f t="shared" si="8"/>
        <v>770</v>
      </c>
      <c r="H524" s="5" t="str">
        <f>IF('Raw RetailSalesData'!H524="","Unknown",'Raw RetailSalesData'!H524)</f>
        <v>EMEA</v>
      </c>
      <c r="I524" t="s">
        <v>225</v>
      </c>
      <c r="J524" t="s">
        <v>226</v>
      </c>
      <c r="K524" t="str">
        <f>TRIM('Raw RetailSalesData'!K524)</f>
        <v>Sales Rep 1</v>
      </c>
      <c r="L524" t="s">
        <v>21</v>
      </c>
    </row>
    <row r="525" spans="1:12" x14ac:dyDescent="0.3">
      <c r="A525" t="str">
        <f>IF(COUNTIF('Raw RetailSalesData'!$A:$L,'Raw RetailSalesData'!A525)=1,'Raw RetailSalesData'!A525,"")</f>
        <v>ORD-10574</v>
      </c>
      <c r="B525" t="str">
        <f>IF('Raw RetailSalesData'!B525="","UNKNOWN",'Raw RetailSalesData'!B525)</f>
        <v>2023-07-25</v>
      </c>
      <c r="C525" t="str">
        <f>IF('Raw RetailSalesData'!C525="","UNKNOW",'Raw RetailSalesData'!C525)</f>
        <v>CUST-1178</v>
      </c>
      <c r="D525" t="str">
        <f>IF('Raw RetailSalesData'!D525="","UNKNOW",'Raw RetailSalesData'!D525)</f>
        <v>C301</v>
      </c>
      <c r="E525" s="5">
        <f>IF('Raw RetailSalesData'!E525="",'Raw RetailSalesData'!F525/'Raw RetailSalesData'!G525,'Raw RetailSalesData'!E525)</f>
        <v>10</v>
      </c>
      <c r="F525" s="7">
        <f>IF('Raw RetailSalesData'!F525="",'Raw RetailSalesData'!G525/'Raw RetailSalesData'!E525,'Raw RetailSalesData'!F525)</f>
        <v>55</v>
      </c>
      <c r="G525" s="7">
        <f t="shared" si="8"/>
        <v>550</v>
      </c>
      <c r="H525" s="5" t="str">
        <f>IF('Raw RetailSalesData'!H525="","Unknown",'Raw RetailSalesData'!H525)</f>
        <v>APAC</v>
      </c>
      <c r="I525" t="s">
        <v>183</v>
      </c>
      <c r="J525" t="s">
        <v>184</v>
      </c>
      <c r="K525" t="str">
        <f>TRIM('Raw RetailSalesData'!K525)</f>
        <v>Sales Rep 3</v>
      </c>
      <c r="L525" t="s">
        <v>46</v>
      </c>
    </row>
    <row r="526" spans="1:12" x14ac:dyDescent="0.3">
      <c r="A526" t="str">
        <f>IF(COUNTIF('Raw RetailSalesData'!$A:$L,'Raw RetailSalesData'!A526)=1,'Raw RetailSalesData'!A526,"")</f>
        <v>ORD-10575</v>
      </c>
      <c r="B526" t="str">
        <f>IF('Raw RetailSalesData'!B526="","UNKNOWN",'Raw RetailSalesData'!B526)</f>
        <v>2026-02-21</v>
      </c>
      <c r="C526" t="str">
        <f>IF('Raw RetailSalesData'!C526="","UNKNOW",'Raw RetailSalesData'!C526)</f>
        <v>CUST-1128</v>
      </c>
      <c r="D526" t="str">
        <f>IF('Raw RetailSalesData'!D526="","UNKNOW",'Raw RetailSalesData'!D526)</f>
        <v>P203</v>
      </c>
      <c r="E526" s="5">
        <f>IF('Raw RetailSalesData'!E526="",'Raw RetailSalesData'!F526/'Raw RetailSalesData'!G526,'Raw RetailSalesData'!E526)</f>
        <v>8</v>
      </c>
      <c r="F526" s="7">
        <f>IF('Raw RetailSalesData'!F526="",'Raw RetailSalesData'!G526/'Raw RetailSalesData'!E526,'Raw RetailSalesData'!F526)</f>
        <v>63</v>
      </c>
      <c r="G526" s="7">
        <f t="shared" si="8"/>
        <v>504</v>
      </c>
      <c r="H526" s="5" t="str">
        <f>IF('Raw RetailSalesData'!H526="","Unknown",'Raw RetailSalesData'!H526)</f>
        <v>LATAM</v>
      </c>
      <c r="I526" t="s">
        <v>18</v>
      </c>
      <c r="J526" t="s">
        <v>2197</v>
      </c>
      <c r="K526" t="str">
        <f>TRIM('Raw RetailSalesData'!K526)</f>
        <v>Sales Rep 5</v>
      </c>
      <c r="L526" t="s">
        <v>31</v>
      </c>
    </row>
    <row r="527" spans="1:12" x14ac:dyDescent="0.3">
      <c r="A527" t="str">
        <f>IF(COUNTIF('Raw RetailSalesData'!$A:$L,'Raw RetailSalesData'!A527)=1,'Raw RetailSalesData'!A527,"")</f>
        <v>ORD-10576</v>
      </c>
      <c r="B527" t="str">
        <f>IF('Raw RetailSalesData'!B527="","UNKNOWN",'Raw RetailSalesData'!B527)</f>
        <v>2024-12-27</v>
      </c>
      <c r="C527" t="str">
        <f>IF('Raw RetailSalesData'!C527="","UNKNOW",'Raw RetailSalesData'!C527)</f>
        <v>CUST-1189</v>
      </c>
      <c r="D527" t="str">
        <f>IF('Raw RetailSalesData'!D527="","UNKNOW",'Raw RetailSalesData'!D527)</f>
        <v>C302</v>
      </c>
      <c r="E527" s="5">
        <f>IF('Raw RetailSalesData'!E527="",'Raw RetailSalesData'!F527/'Raw RetailSalesData'!G527,'Raw RetailSalesData'!E527)</f>
        <v>5</v>
      </c>
      <c r="F527" s="7">
        <f>IF('Raw RetailSalesData'!F527="",'Raw RetailSalesData'!G527/'Raw RetailSalesData'!E527,'Raw RetailSalesData'!F527)</f>
        <v>50</v>
      </c>
      <c r="G527" s="7">
        <f t="shared" si="8"/>
        <v>250</v>
      </c>
      <c r="H527" s="5" t="str">
        <f>IF('Raw RetailSalesData'!H527="","Unknown",'Raw RetailSalesData'!H527)</f>
        <v>APAC</v>
      </c>
      <c r="I527" t="s">
        <v>183</v>
      </c>
      <c r="J527" t="s">
        <v>2190</v>
      </c>
      <c r="K527" t="str">
        <f>TRIM('Raw RetailSalesData'!K527)</f>
        <v>Sales Rep 1</v>
      </c>
      <c r="L527" t="s">
        <v>21</v>
      </c>
    </row>
    <row r="528" spans="1:12" x14ac:dyDescent="0.3">
      <c r="A528" t="str">
        <f>IF(COUNTIF('Raw RetailSalesData'!$A:$L,'Raw RetailSalesData'!A528)=1,'Raw RetailSalesData'!A528,"")</f>
        <v>ORD-10577</v>
      </c>
      <c r="B528" t="str">
        <f>IF('Raw RetailSalesData'!B528="","UNKNOWN",'Raw RetailSalesData'!B528)</f>
        <v>2025-12-03</v>
      </c>
      <c r="C528" t="str">
        <f>IF('Raw RetailSalesData'!C528="","UNKNOW",'Raw RetailSalesData'!C528)</f>
        <v>CUST-1029</v>
      </c>
      <c r="D528" t="str">
        <f>IF('Raw RetailSalesData'!D528="","UNKNOW",'Raw RetailSalesData'!D528)</f>
        <v>P203</v>
      </c>
      <c r="E528" s="5">
        <f>IF('Raw RetailSalesData'!E528="",'Raw RetailSalesData'!F528/'Raw RetailSalesData'!G528,'Raw RetailSalesData'!E528)</f>
        <v>16</v>
      </c>
      <c r="F528" s="7">
        <f>IF('Raw RetailSalesData'!F528="",'Raw RetailSalesData'!G528/'Raw RetailSalesData'!E528,'Raw RetailSalesData'!F528)</f>
        <v>73</v>
      </c>
      <c r="G528" s="7">
        <f t="shared" si="8"/>
        <v>1168</v>
      </c>
      <c r="H528" s="5" t="str">
        <f>IF('Raw RetailSalesData'!H528="","Unknown",'Raw RetailSalesData'!H528)</f>
        <v xml:space="preserve"> NA </v>
      </c>
      <c r="I528" t="s">
        <v>100</v>
      </c>
      <c r="J528" t="s">
        <v>2190</v>
      </c>
      <c r="K528" t="str">
        <f>TRIM('Raw RetailSalesData'!K528)</f>
        <v>Sales Rep 4</v>
      </c>
      <c r="L528" t="s">
        <v>31</v>
      </c>
    </row>
    <row r="529" spans="1:12" x14ac:dyDescent="0.3">
      <c r="A529" t="str">
        <f>IF(COUNTIF('Raw RetailSalesData'!$A:$L,'Raw RetailSalesData'!A529)=1,'Raw RetailSalesData'!A529,"")</f>
        <v>ORD-10578</v>
      </c>
      <c r="B529" t="str">
        <f>IF('Raw RetailSalesData'!B529="","UNKNOWN",'Raw RetailSalesData'!B529)</f>
        <v>2022-12-27</v>
      </c>
      <c r="C529" t="str">
        <f>IF('Raw RetailSalesData'!C529="","UNKNOW",'Raw RetailSalesData'!C529)</f>
        <v>CUST-1195</v>
      </c>
      <c r="D529" t="str">
        <f>IF('Raw RetailSalesData'!D529="","UNKNOW",'Raw RetailSalesData'!D529)</f>
        <v>P101</v>
      </c>
      <c r="E529" s="5">
        <f>IF('Raw RetailSalesData'!E529="",'Raw RetailSalesData'!F529/'Raw RetailSalesData'!G529,'Raw RetailSalesData'!E529)</f>
        <v>9</v>
      </c>
      <c r="F529" s="7">
        <f>IF('Raw RetailSalesData'!F529="",'Raw RetailSalesData'!G529/'Raw RetailSalesData'!E529,'Raw RetailSalesData'!F529)</f>
        <v>85</v>
      </c>
      <c r="G529" s="7">
        <f t="shared" si="8"/>
        <v>765</v>
      </c>
      <c r="H529" s="5" t="str">
        <f>IF('Raw RetailSalesData'!H529="","Unknown",'Raw RetailSalesData'!H529)</f>
        <v>EMEA</v>
      </c>
      <c r="I529" t="s">
        <v>225</v>
      </c>
      <c r="J529" t="s">
        <v>226</v>
      </c>
      <c r="K529" t="str">
        <f>TRIM('Raw RetailSalesData'!K529)</f>
        <v>Sales Rep 2</v>
      </c>
      <c r="L529" t="s">
        <v>31</v>
      </c>
    </row>
    <row r="530" spans="1:12" x14ac:dyDescent="0.3">
      <c r="A530" t="str">
        <f>IF(COUNTIF('Raw RetailSalesData'!$A:$L,'Raw RetailSalesData'!A530)=1,'Raw RetailSalesData'!A530,"")</f>
        <v>ORD-10579</v>
      </c>
      <c r="B530" t="str">
        <f>IF('Raw RetailSalesData'!B530="","UNKNOWN",'Raw RetailSalesData'!B530)</f>
        <v xml:space="preserve"> 2022-09-04 </v>
      </c>
      <c r="C530" t="str">
        <f>IF('Raw RetailSalesData'!C530="","UNKNOW",'Raw RetailSalesData'!C530)</f>
        <v>CUST-1020</v>
      </c>
      <c r="D530" t="str">
        <f>IF('Raw RetailSalesData'!D530="","UNKNOW",'Raw RetailSalesData'!D530)</f>
        <v>P101</v>
      </c>
      <c r="E530" s="5">
        <f>IF('Raw RetailSalesData'!E530="",'Raw RetailSalesData'!F530/'Raw RetailSalesData'!G530,'Raw RetailSalesData'!E530)</f>
        <v>2</v>
      </c>
      <c r="F530" s="7">
        <f>IF('Raw RetailSalesData'!F530="",'Raw RetailSalesData'!G530/'Raw RetailSalesData'!E530,'Raw RetailSalesData'!F530)</f>
        <v>80</v>
      </c>
      <c r="G530" s="7">
        <f t="shared" si="8"/>
        <v>160</v>
      </c>
      <c r="H530" s="5" t="str">
        <f>IF('Raw RetailSalesData'!H530="","Unknown",'Raw RetailSalesData'!H530)</f>
        <v>LATAM</v>
      </c>
      <c r="I530" t="s">
        <v>90</v>
      </c>
      <c r="J530" t="s">
        <v>2198</v>
      </c>
      <c r="K530" t="str">
        <f>TRIM('Raw RetailSalesData'!K530)</f>
        <v>Sales Rep 4</v>
      </c>
      <c r="L530" t="s">
        <v>31</v>
      </c>
    </row>
    <row r="531" spans="1:12" x14ac:dyDescent="0.3">
      <c r="A531" t="str">
        <f>IF(COUNTIF('Raw RetailSalesData'!$A:$L,'Raw RetailSalesData'!A531)=1,'Raw RetailSalesData'!A531,"")</f>
        <v>ORD-10580</v>
      </c>
      <c r="B531" t="str">
        <f>IF('Raw RetailSalesData'!B531="","UNKNOWN",'Raw RetailSalesData'!B531)</f>
        <v>2022-11-28</v>
      </c>
      <c r="C531" t="str">
        <f>IF('Raw RetailSalesData'!C531="","UNKNOW",'Raw RetailSalesData'!C531)</f>
        <v>CUST-1094</v>
      </c>
      <c r="D531" t="str">
        <f>IF('Raw RetailSalesData'!D531="","UNKNOW",'Raw RetailSalesData'!D531)</f>
        <v>C302</v>
      </c>
      <c r="E531" s="5">
        <f>IF('Raw RetailSalesData'!E531="",'Raw RetailSalesData'!F531/'Raw RetailSalesData'!G531,'Raw RetailSalesData'!E531)</f>
        <v>16</v>
      </c>
      <c r="F531" s="7">
        <f>IF('Raw RetailSalesData'!F531="",'Raw RetailSalesData'!G531/'Raw RetailSalesData'!E531,'Raw RetailSalesData'!F531)</f>
        <v>50</v>
      </c>
      <c r="G531" s="7">
        <f t="shared" si="8"/>
        <v>800</v>
      </c>
      <c r="H531" s="5" t="str">
        <f>IF('Raw RetailSalesData'!H531="","Unknown",'Raw RetailSalesData'!H531)</f>
        <v>APAC</v>
      </c>
      <c r="I531" t="s">
        <v>71</v>
      </c>
      <c r="J531" t="s">
        <v>72</v>
      </c>
      <c r="K531" t="str">
        <f>TRIM('Raw RetailSalesData'!K531)</f>
        <v>Unknown</v>
      </c>
      <c r="L531" t="s">
        <v>31</v>
      </c>
    </row>
    <row r="532" spans="1:12" x14ac:dyDescent="0.3">
      <c r="A532" t="str">
        <f>IF(COUNTIF('Raw RetailSalesData'!$A:$L,'Raw RetailSalesData'!A532)=1,'Raw RetailSalesData'!A532,"")</f>
        <v>ORD-10581</v>
      </c>
      <c r="B532" t="str">
        <f>IF('Raw RetailSalesData'!B532="","UNKNOWN",'Raw RetailSalesData'!B532)</f>
        <v>2023-11-18</v>
      </c>
      <c r="C532" t="str">
        <f>IF('Raw RetailSalesData'!C532="","UNKNOW",'Raw RetailSalesData'!C532)</f>
        <v>CUST-1184</v>
      </c>
      <c r="D532" t="str">
        <f>IF('Raw RetailSalesData'!D532="","UNKNOW",'Raw RetailSalesData'!D532)</f>
        <v>P102</v>
      </c>
      <c r="E532" s="5">
        <f>IF('Raw RetailSalesData'!E532="",'Raw RetailSalesData'!F532/'Raw RetailSalesData'!G532,'Raw RetailSalesData'!E532)</f>
        <v>1</v>
      </c>
      <c r="F532" s="7">
        <f>IF('Raw RetailSalesData'!F532="",'Raw RetailSalesData'!G532/'Raw RetailSalesData'!E532,'Raw RetailSalesData'!F532)</f>
        <v>75</v>
      </c>
      <c r="G532" s="7">
        <f t="shared" si="8"/>
        <v>75</v>
      </c>
      <c r="H532" s="5" t="str">
        <f>IF('Raw RetailSalesData'!H532="","Unknown",'Raw RetailSalesData'!H532)</f>
        <v>LATAM</v>
      </c>
      <c r="I532" t="s">
        <v>90</v>
      </c>
      <c r="J532" t="s">
        <v>2198</v>
      </c>
      <c r="K532" t="str">
        <f>TRIM('Raw RetailSalesData'!K532)</f>
        <v>Sales Rep 1</v>
      </c>
      <c r="L532" t="s">
        <v>21</v>
      </c>
    </row>
    <row r="533" spans="1:12" x14ac:dyDescent="0.3">
      <c r="A533" t="str">
        <f>IF(COUNTIF('Raw RetailSalesData'!$A:$L,'Raw RetailSalesData'!A533)=1,'Raw RetailSalesData'!A533,"")</f>
        <v>ORD-10582</v>
      </c>
      <c r="B533" t="str">
        <f>IF('Raw RetailSalesData'!B533="","UNKNOWN",'Raw RetailSalesData'!B533)</f>
        <v>2025-11-27</v>
      </c>
      <c r="C533" t="str">
        <f>IF('Raw RetailSalesData'!C533="","UNKNOW",'Raw RetailSalesData'!C533)</f>
        <v>CUST-1014</v>
      </c>
      <c r="D533" t="str">
        <f>IF('Raw RetailSalesData'!D533="","UNKNOW",'Raw RetailSalesData'!D533)</f>
        <v>P101</v>
      </c>
      <c r="E533" s="5">
        <f>IF('Raw RetailSalesData'!E533="",'Raw RetailSalesData'!F533/'Raw RetailSalesData'!G533,'Raw RetailSalesData'!E533)</f>
        <v>19</v>
      </c>
      <c r="F533" s="7">
        <f>IF('Raw RetailSalesData'!F533="",'Raw RetailSalesData'!G533/'Raw RetailSalesData'!E533,'Raw RetailSalesData'!F533)</f>
        <v>90</v>
      </c>
      <c r="G533" s="7">
        <f t="shared" si="8"/>
        <v>1710</v>
      </c>
      <c r="H533" s="5" t="str">
        <f>IF('Raw RetailSalesData'!H533="","Unknown",'Raw RetailSalesData'!H533)</f>
        <v>NA</v>
      </c>
      <c r="I533" t="s">
        <v>28</v>
      </c>
      <c r="J533" t="s">
        <v>2196</v>
      </c>
      <c r="K533" t="str">
        <f>TRIM('Raw RetailSalesData'!K533)</f>
        <v>Michael Johnson</v>
      </c>
      <c r="L533" t="s">
        <v>21</v>
      </c>
    </row>
    <row r="534" spans="1:12" x14ac:dyDescent="0.3">
      <c r="A534" t="str">
        <f>IF(COUNTIF('Raw RetailSalesData'!$A:$L,'Raw RetailSalesData'!A534)=1,'Raw RetailSalesData'!A534,"")</f>
        <v>ORD-10583</v>
      </c>
      <c r="B534" t="str">
        <f>IF('Raw RetailSalesData'!B534="","UNKNOWN",'Raw RetailSalesData'!B534)</f>
        <v>2024-05-13</v>
      </c>
      <c r="C534" t="str">
        <f>IF('Raw RetailSalesData'!C534="","UNKNOW",'Raw RetailSalesData'!C534)</f>
        <v>CUST-1137</v>
      </c>
      <c r="D534" t="str">
        <f>IF('Raw RetailSalesData'!D534="","UNKNOW",'Raw RetailSalesData'!D534)</f>
        <v>P203</v>
      </c>
      <c r="E534" s="5">
        <f>IF('Raw RetailSalesData'!E534="",'Raw RetailSalesData'!F534/'Raw RetailSalesData'!G534,'Raw RetailSalesData'!E534)</f>
        <v>16</v>
      </c>
      <c r="F534" s="7">
        <f>IF('Raw RetailSalesData'!F534="",'Raw RetailSalesData'!G534/'Raw RetailSalesData'!E534,'Raw RetailSalesData'!F534)</f>
        <v>73</v>
      </c>
      <c r="G534" s="7">
        <f t="shared" si="8"/>
        <v>1168</v>
      </c>
      <c r="H534" s="5" t="str">
        <f>IF('Raw RetailSalesData'!H534="","Unknown",'Raw RetailSalesData'!H534)</f>
        <v>NA</v>
      </c>
      <c r="I534" t="s">
        <v>28</v>
      </c>
      <c r="J534" t="s">
        <v>2196</v>
      </c>
      <c r="K534" t="str">
        <f>TRIM('Raw RetailSalesData'!K534)</f>
        <v>Michael Johnson</v>
      </c>
      <c r="L534" t="s">
        <v>21</v>
      </c>
    </row>
    <row r="535" spans="1:12" x14ac:dyDescent="0.3">
      <c r="A535" t="str">
        <f>IF(COUNTIF('Raw RetailSalesData'!$A:$L,'Raw RetailSalesData'!A535)=1,'Raw RetailSalesData'!A535,"")</f>
        <v>ORD-10585</v>
      </c>
      <c r="B535" t="str">
        <f>IF('Raw RetailSalesData'!B535="","UNKNOWN",'Raw RetailSalesData'!B535)</f>
        <v>2024-05-13</v>
      </c>
      <c r="C535" t="str">
        <f>IF('Raw RetailSalesData'!C535="","UNKNOW",'Raw RetailSalesData'!C535)</f>
        <v>CUST-1137</v>
      </c>
      <c r="D535" t="str">
        <f>IF('Raw RetailSalesData'!D535="","UNKNOW",'Raw RetailSalesData'!D535)</f>
        <v>P203</v>
      </c>
      <c r="E535" s="5">
        <f>IF('Raw RetailSalesData'!E535="",'Raw RetailSalesData'!F535/'Raw RetailSalesData'!G535,'Raw RetailSalesData'!E535)</f>
        <v>16</v>
      </c>
      <c r="F535" s="7">
        <f>IF('Raw RetailSalesData'!F535="",'Raw RetailSalesData'!G535/'Raw RetailSalesData'!E535,'Raw RetailSalesData'!F535)</f>
        <v>73</v>
      </c>
      <c r="G535" s="7">
        <f t="shared" si="8"/>
        <v>1168</v>
      </c>
      <c r="H535" s="5" t="str">
        <f>IF('Raw RetailSalesData'!H535="","Unknown",'Raw RetailSalesData'!H535)</f>
        <v>NA</v>
      </c>
      <c r="I535" t="s">
        <v>28</v>
      </c>
      <c r="J535" t="s">
        <v>2196</v>
      </c>
      <c r="K535" t="str">
        <f>TRIM('Raw RetailSalesData'!K535)</f>
        <v>Michael Johnson</v>
      </c>
      <c r="L535" t="s">
        <v>21</v>
      </c>
    </row>
    <row r="536" spans="1:12" x14ac:dyDescent="0.3">
      <c r="A536" t="str">
        <f>IF(COUNTIF('Raw RetailSalesData'!$A:$L,'Raw RetailSalesData'!A536)=1,'Raw RetailSalesData'!A536,"")</f>
        <v>ORD-10586</v>
      </c>
      <c r="B536" t="str">
        <f>IF('Raw RetailSalesData'!B536="","UNKNOWN",'Raw RetailSalesData'!B536)</f>
        <v>2022-09-13</v>
      </c>
      <c r="C536" t="str">
        <f>IF('Raw RetailSalesData'!C536="","UNKNOW",'Raw RetailSalesData'!C536)</f>
        <v>CUST-1089</v>
      </c>
      <c r="D536" t="str">
        <f>IF('Raw RetailSalesData'!D536="","UNKNOW",'Raw RetailSalesData'!D536)</f>
        <v>P202</v>
      </c>
      <c r="E536" s="5">
        <f>IF('Raw RetailSalesData'!E536="",'Raw RetailSalesData'!F536/'Raw RetailSalesData'!G536,'Raw RetailSalesData'!E536)</f>
        <v>15</v>
      </c>
      <c r="F536" s="7">
        <f>IF('Raw RetailSalesData'!F536="",'Raw RetailSalesData'!G536/'Raw RetailSalesData'!E536,'Raw RetailSalesData'!F536)</f>
        <v>65</v>
      </c>
      <c r="G536" s="7">
        <f t="shared" si="8"/>
        <v>975</v>
      </c>
      <c r="H536" s="5" t="str">
        <f>IF('Raw RetailSalesData'!H536="","Unknown",'Raw RetailSalesData'!H536)</f>
        <v>EMEA</v>
      </c>
      <c r="I536" t="s">
        <v>83</v>
      </c>
      <c r="J536" t="s">
        <v>84</v>
      </c>
      <c r="K536" t="str">
        <f>TRIM('Raw RetailSalesData'!K536)</f>
        <v>John Smith</v>
      </c>
      <c r="L536" t="s">
        <v>31</v>
      </c>
    </row>
    <row r="537" spans="1:12" x14ac:dyDescent="0.3">
      <c r="A537" t="str">
        <f>IF(COUNTIF('Raw RetailSalesData'!$A:$L,'Raw RetailSalesData'!A537)=1,'Raw RetailSalesData'!A537,"")</f>
        <v>ORD-10587</v>
      </c>
      <c r="B537" t="str">
        <f>IF('Raw RetailSalesData'!B537="","UNKNOWN",'Raw RetailSalesData'!B537)</f>
        <v>2023-03-15</v>
      </c>
      <c r="C537" t="str">
        <f>IF('Raw RetailSalesData'!C537="","UNKNOW",'Raw RetailSalesData'!C537)</f>
        <v>CUST-1162</v>
      </c>
      <c r="D537" t="str">
        <f>IF('Raw RetailSalesData'!D537="","UNKNOW",'Raw RetailSalesData'!D537)</f>
        <v>P101</v>
      </c>
      <c r="E537" s="5">
        <f>IF('Raw RetailSalesData'!E537="",'Raw RetailSalesData'!F537/'Raw RetailSalesData'!G537,'Raw RetailSalesData'!E537)</f>
        <v>6</v>
      </c>
      <c r="F537" s="7">
        <f>IF('Raw RetailSalesData'!F537="",'Raw RetailSalesData'!G537/'Raw RetailSalesData'!E537,'Raw RetailSalesData'!F537)</f>
        <v>85</v>
      </c>
      <c r="G537" s="7">
        <f t="shared" si="8"/>
        <v>510</v>
      </c>
      <c r="H537" s="5" t="str">
        <f>IF('Raw RetailSalesData'!H537="","Unknown",'Raw RetailSalesData'!H537)</f>
        <v>APAC</v>
      </c>
      <c r="I537" t="s">
        <v>183</v>
      </c>
      <c r="J537" t="s">
        <v>184</v>
      </c>
      <c r="K537" t="str">
        <f>TRIM('Raw RetailSalesData'!K537)</f>
        <v>Sales Rep 3</v>
      </c>
      <c r="L537" t="s">
        <v>46</v>
      </c>
    </row>
    <row r="538" spans="1:12" x14ac:dyDescent="0.3">
      <c r="A538" t="str">
        <f>IF(COUNTIF('Raw RetailSalesData'!$A:$L,'Raw RetailSalesData'!A538)=1,'Raw RetailSalesData'!A538,"")</f>
        <v>ORD-10588</v>
      </c>
      <c r="B538" t="str">
        <f>IF('Raw RetailSalesData'!B538="","UNKNOWN",'Raw RetailSalesData'!B538)</f>
        <v>2025-12-20</v>
      </c>
      <c r="C538" t="str">
        <f>IF('Raw RetailSalesData'!C538="","UNKNOW",'Raw RetailSalesData'!C538)</f>
        <v>CUST-1062</v>
      </c>
      <c r="D538" t="str">
        <f>IF('Raw RetailSalesData'!D538="","UNKNOW",'Raw RetailSalesData'!D538)</f>
        <v>C303</v>
      </c>
      <c r="E538" s="5">
        <f>IF('Raw RetailSalesData'!E538="",'Raw RetailSalesData'!F538/'Raw RetailSalesData'!G538,'Raw RetailSalesData'!E538)</f>
        <v>20</v>
      </c>
      <c r="F538" s="7">
        <f>IF('Raw RetailSalesData'!F538="",'Raw RetailSalesData'!G538/'Raw RetailSalesData'!E538,'Raw RetailSalesData'!F538)</f>
        <v>65</v>
      </c>
      <c r="G538" s="7">
        <f t="shared" si="8"/>
        <v>1300</v>
      </c>
      <c r="H538" s="5" t="str">
        <f>IF('Raw RetailSalesData'!H538="","Unknown",'Raw RetailSalesData'!H538)</f>
        <v>NA</v>
      </c>
      <c r="I538" t="s">
        <v>28</v>
      </c>
      <c r="J538" t="s">
        <v>2196</v>
      </c>
      <c r="K538" t="str">
        <f>TRIM('Raw RetailSalesData'!K538)</f>
        <v>Michael Johnson</v>
      </c>
      <c r="L538" t="s">
        <v>21</v>
      </c>
    </row>
    <row r="539" spans="1:12" x14ac:dyDescent="0.3">
      <c r="A539" t="str">
        <f>IF(COUNTIF('Raw RetailSalesData'!$A:$L,'Raw RetailSalesData'!A539)=1,'Raw RetailSalesData'!A539,"")</f>
        <v>ORD-10589</v>
      </c>
      <c r="B539" t="str">
        <f>IF('Raw RetailSalesData'!B539="","UNKNOWN",'Raw RetailSalesData'!B539)</f>
        <v>2023-04-19</v>
      </c>
      <c r="C539" t="str">
        <f>IF('Raw RetailSalesData'!C539="","UNKNOW",'Raw RetailSalesData'!C539)</f>
        <v>CUST-1164</v>
      </c>
      <c r="D539" t="str">
        <f>IF('Raw RetailSalesData'!D539="","UNKNOW",'Raw RetailSalesData'!D539)</f>
        <v>C304</v>
      </c>
      <c r="E539" s="5">
        <f>IF('Raw RetailSalesData'!E539="",'Raw RetailSalesData'!F539/'Raw RetailSalesData'!G539,'Raw RetailSalesData'!E539)</f>
        <v>3</v>
      </c>
      <c r="F539" s="7">
        <f>IF('Raw RetailSalesData'!F539="",'Raw RetailSalesData'!G539/'Raw RetailSalesData'!E539,'Raw RetailSalesData'!F539)</f>
        <v>58</v>
      </c>
      <c r="G539" s="7">
        <f t="shared" si="8"/>
        <v>174</v>
      </c>
      <c r="H539" s="5" t="str">
        <f>IF('Raw RetailSalesData'!H539="","Unknown",'Raw RetailSalesData'!H539)</f>
        <v>APAC</v>
      </c>
      <c r="I539" t="s">
        <v>183</v>
      </c>
      <c r="J539" t="s">
        <v>184</v>
      </c>
      <c r="K539" t="str">
        <f>TRIM('Raw RetailSalesData'!K539)</f>
        <v>Sales Rep 4</v>
      </c>
      <c r="L539" t="s">
        <v>46</v>
      </c>
    </row>
    <row r="540" spans="1:12" x14ac:dyDescent="0.3">
      <c r="A540" t="str">
        <f>IF(COUNTIF('Raw RetailSalesData'!$A:$L,'Raw RetailSalesData'!A540)=1,'Raw RetailSalesData'!A540,"")</f>
        <v>ORD-10590</v>
      </c>
      <c r="B540" t="str">
        <f>IF('Raw RetailSalesData'!B540="","UNKNOWN",'Raw RetailSalesData'!B540)</f>
        <v>2026-07-30</v>
      </c>
      <c r="C540" t="str">
        <f>IF('Raw RetailSalesData'!C540="","UNKNOW",'Raw RetailSalesData'!C540)</f>
        <v>CUST-1047</v>
      </c>
      <c r="D540" t="str">
        <f>IF('Raw RetailSalesData'!D540="","UNKNOW",'Raw RetailSalesData'!D540)</f>
        <v>P101</v>
      </c>
      <c r="E540" s="5">
        <f>IF('Raw RetailSalesData'!E540="",'Raw RetailSalesData'!F540/'Raw RetailSalesData'!G540,'Raw RetailSalesData'!E540)</f>
        <v>2</v>
      </c>
      <c r="F540" s="7">
        <f>IF('Raw RetailSalesData'!F540="",'Raw RetailSalesData'!G540/'Raw RetailSalesData'!E540,'Raw RetailSalesData'!F540)</f>
        <v>85</v>
      </c>
      <c r="G540" s="7">
        <f t="shared" si="8"/>
        <v>170</v>
      </c>
      <c r="H540" s="5" t="str">
        <f>IF('Raw RetailSalesData'!H540="","Unknown",'Raw RetailSalesData'!H540)</f>
        <v>EMEA</v>
      </c>
      <c r="I540" t="s">
        <v>225</v>
      </c>
      <c r="J540" t="s">
        <v>226</v>
      </c>
      <c r="K540" t="str">
        <f>TRIM('Raw RetailSalesData'!K540)</f>
        <v>Sales Rep 2</v>
      </c>
      <c r="L540" t="s">
        <v>46</v>
      </c>
    </row>
    <row r="541" spans="1:12" x14ac:dyDescent="0.3">
      <c r="A541" t="str">
        <f>IF(COUNTIF('Raw RetailSalesData'!$A:$L,'Raw RetailSalesData'!A541)=1,'Raw RetailSalesData'!A541,"")</f>
        <v>ORD-10591</v>
      </c>
      <c r="B541" t="str">
        <f>IF('Raw RetailSalesData'!B541="","UNKNOWN",'Raw RetailSalesData'!B541)</f>
        <v>2024-11-24</v>
      </c>
      <c r="C541" t="str">
        <f>IF('Raw RetailSalesData'!C541="","UNKNOW",'Raw RetailSalesData'!C541)</f>
        <v>CUST-1009</v>
      </c>
      <c r="D541" t="str">
        <f>IF('Raw RetailSalesData'!D541="","UNKNOW",'Raw RetailSalesData'!D541)</f>
        <v>P103</v>
      </c>
      <c r="E541" s="5">
        <f>IF('Raw RetailSalesData'!E541="",'Raw RetailSalesData'!F541/'Raw RetailSalesData'!G541,'Raw RetailSalesData'!E541)</f>
        <v>1</v>
      </c>
      <c r="F541" s="7">
        <f>IF('Raw RetailSalesData'!F541="",'Raw RetailSalesData'!G541/'Raw RetailSalesData'!E541,'Raw RetailSalesData'!F541)</f>
        <v>100</v>
      </c>
      <c r="G541" s="7">
        <f t="shared" si="8"/>
        <v>100</v>
      </c>
      <c r="H541" s="5" t="str">
        <f>IF('Raw RetailSalesData'!H541="","Unknown",'Raw RetailSalesData'!H541)</f>
        <v>NA</v>
      </c>
      <c r="I541" t="s">
        <v>28</v>
      </c>
      <c r="J541" t="s">
        <v>2196</v>
      </c>
      <c r="K541" t="str">
        <f>TRIM('Raw RetailSalesData'!K541)</f>
        <v>Michael Johnson</v>
      </c>
      <c r="L541" t="s">
        <v>46</v>
      </c>
    </row>
    <row r="542" spans="1:12" x14ac:dyDescent="0.3">
      <c r="A542" t="str">
        <f>IF(COUNTIF('Raw RetailSalesData'!$A:$L,'Raw RetailSalesData'!A542)=1,'Raw RetailSalesData'!A542,"")</f>
        <v>ORD-10592</v>
      </c>
      <c r="B542" t="str">
        <f>IF('Raw RetailSalesData'!B542="","UNKNOWN",'Raw RetailSalesData'!B542)</f>
        <v>2023-03-14</v>
      </c>
      <c r="C542" t="str">
        <f>IF('Raw RetailSalesData'!C542="","UNKNOW",'Raw RetailSalesData'!C542)</f>
        <v xml:space="preserve"> CUST-1160 </v>
      </c>
      <c r="D542" t="str">
        <f>IF('Raw RetailSalesData'!D542="","UNKNOW",'Raw RetailSalesData'!D542)</f>
        <v>P201</v>
      </c>
      <c r="E542" s="5">
        <f>IF('Raw RetailSalesData'!E542="",'Raw RetailSalesData'!F542/'Raw RetailSalesData'!G542,'Raw RetailSalesData'!E542)</f>
        <v>15</v>
      </c>
      <c r="F542" s="7">
        <f>IF('Raw RetailSalesData'!F542="",'Raw RetailSalesData'!G542/'Raw RetailSalesData'!E542,'Raw RetailSalesData'!F542)</f>
        <v>65</v>
      </c>
      <c r="G542" s="7">
        <f t="shared" si="8"/>
        <v>975</v>
      </c>
      <c r="H542" s="5" t="str">
        <f>IF('Raw RetailSalesData'!H542="","Unknown",'Raw RetailSalesData'!H542)</f>
        <v>LATAM</v>
      </c>
      <c r="I542" t="s">
        <v>90</v>
      </c>
      <c r="J542" t="s">
        <v>2198</v>
      </c>
      <c r="K542" t="str">
        <f>TRIM('Raw RetailSalesData'!K542)</f>
        <v>Sales Rep 1</v>
      </c>
      <c r="L542" t="s">
        <v>21</v>
      </c>
    </row>
    <row r="543" spans="1:12" x14ac:dyDescent="0.3">
      <c r="A543" t="str">
        <f>IF(COUNTIF('Raw RetailSalesData'!$A:$L,'Raw RetailSalesData'!A543)=1,'Raw RetailSalesData'!A543,"")</f>
        <v>ORD-10593</v>
      </c>
      <c r="B543" t="str">
        <f>IF('Raw RetailSalesData'!B543="","UNKNOWN",'Raw RetailSalesData'!B543)</f>
        <v>2025-07-07</v>
      </c>
      <c r="C543" t="str">
        <f>IF('Raw RetailSalesData'!C543="","UNKNOW",'Raw RetailSalesData'!C543)</f>
        <v>CUST-1008</v>
      </c>
      <c r="D543" t="str">
        <f>IF('Raw RetailSalesData'!D543="","UNKNOW",'Raw RetailSalesData'!D543)</f>
        <v>C302</v>
      </c>
      <c r="E543" s="5">
        <f>IF('Raw RetailSalesData'!E543="",'Raw RetailSalesData'!F543/'Raw RetailSalesData'!G543,'Raw RetailSalesData'!E543)</f>
        <v>7</v>
      </c>
      <c r="F543" s="7">
        <f>IF('Raw RetailSalesData'!F543="",'Raw RetailSalesData'!G543/'Raw RetailSalesData'!E543,'Raw RetailSalesData'!F543)</f>
        <v>45</v>
      </c>
      <c r="G543" s="7">
        <f t="shared" si="8"/>
        <v>315</v>
      </c>
      <c r="H543" s="5" t="str">
        <f>IF('Raw RetailSalesData'!H543="","Unknown",'Raw RetailSalesData'!H543)</f>
        <v>LATAM</v>
      </c>
      <c r="I543" t="s">
        <v>90</v>
      </c>
      <c r="J543" t="s">
        <v>2198</v>
      </c>
      <c r="K543" t="str">
        <f>TRIM('Raw RetailSalesData'!K543)</f>
        <v>Sales Rep 1</v>
      </c>
      <c r="L543" t="s">
        <v>21</v>
      </c>
    </row>
    <row r="544" spans="1:12" x14ac:dyDescent="0.3">
      <c r="A544" t="str">
        <f>IF(COUNTIF('Raw RetailSalesData'!$A:$L,'Raw RetailSalesData'!A544)=1,'Raw RetailSalesData'!A544,"")</f>
        <v>ORD-10594</v>
      </c>
      <c r="B544" t="str">
        <f>IF('Raw RetailSalesData'!B544="","UNKNOWN",'Raw RetailSalesData'!B544)</f>
        <v>2026-08-13</v>
      </c>
      <c r="C544" t="str">
        <f>IF('Raw RetailSalesData'!C544="","UNKNOW",'Raw RetailSalesData'!C544)</f>
        <v>CUST-1160</v>
      </c>
      <c r="D544" t="str">
        <f>IF('Raw RetailSalesData'!D544="","UNKNOW",'Raw RetailSalesData'!D544)</f>
        <v>C303</v>
      </c>
      <c r="E544" s="5">
        <f>IF('Raw RetailSalesData'!E544="",'Raw RetailSalesData'!F544/'Raw RetailSalesData'!G544,'Raw RetailSalesData'!E544)</f>
        <v>1</v>
      </c>
      <c r="F544" s="7">
        <f>IF('Raw RetailSalesData'!F544="",'Raw RetailSalesData'!G544/'Raw RetailSalesData'!E544,'Raw RetailSalesData'!F544)</f>
        <v>55</v>
      </c>
      <c r="G544" s="7">
        <f t="shared" si="8"/>
        <v>55</v>
      </c>
      <c r="H544" s="5" t="str">
        <f>IF('Raw RetailSalesData'!H544="","Unknown",'Raw RetailSalesData'!H544)</f>
        <v>LATAM</v>
      </c>
      <c r="I544" t="s">
        <v>18</v>
      </c>
      <c r="J544" t="s">
        <v>2197</v>
      </c>
      <c r="K544" t="str">
        <f>TRIM('Raw RetailSalesData'!K544)</f>
        <v>Sales Rep 2</v>
      </c>
      <c r="L544" t="s">
        <v>46</v>
      </c>
    </row>
    <row r="545" spans="1:12" x14ac:dyDescent="0.3">
      <c r="A545" t="str">
        <f>IF(COUNTIF('Raw RetailSalesData'!$A:$L,'Raw RetailSalesData'!A545)=1,'Raw RetailSalesData'!A545,"")</f>
        <v>ORD-10595</v>
      </c>
      <c r="B545" t="str">
        <f>IF('Raw RetailSalesData'!B545="","UNKNOWN",'Raw RetailSalesData'!B545)</f>
        <v>2024-03-02</v>
      </c>
      <c r="C545" t="str">
        <f>IF('Raw RetailSalesData'!C545="","UNKNOW",'Raw RetailSalesData'!C545)</f>
        <v>CUST-1033</v>
      </c>
      <c r="D545" t="str">
        <f>IF('Raw RetailSalesData'!D545="","UNKNOW",'Raw RetailSalesData'!D545)</f>
        <v>C301</v>
      </c>
      <c r="E545" s="5">
        <f>IF('Raw RetailSalesData'!E545="",'Raw RetailSalesData'!F545/'Raw RetailSalesData'!G545,'Raw RetailSalesData'!E545)</f>
        <v>20</v>
      </c>
      <c r="F545" s="7">
        <f>IF('Raw RetailSalesData'!F545="",'Raw RetailSalesData'!G545/'Raw RetailSalesData'!E545,'Raw RetailSalesData'!F545)</f>
        <v>50</v>
      </c>
      <c r="G545" s="7">
        <f t="shared" si="8"/>
        <v>1000</v>
      </c>
      <c r="H545" s="5" t="str">
        <f>IF('Raw RetailSalesData'!H545="","Unknown",'Raw RetailSalesData'!H545)</f>
        <v>LATAM</v>
      </c>
      <c r="I545" t="s">
        <v>90</v>
      </c>
      <c r="J545" t="s">
        <v>2198</v>
      </c>
      <c r="K545" t="str">
        <f>TRIM('Raw RetailSalesData'!K545)</f>
        <v>Sales Rep 1</v>
      </c>
      <c r="L545" t="s">
        <v>46</v>
      </c>
    </row>
    <row r="546" spans="1:12" x14ac:dyDescent="0.3">
      <c r="A546" t="str">
        <f>IF(COUNTIF('Raw RetailSalesData'!$A:$L,'Raw RetailSalesData'!A546)=1,'Raw RetailSalesData'!A546,"")</f>
        <v>ORD-10596</v>
      </c>
      <c r="B546" t="str">
        <f>IF('Raw RetailSalesData'!B546="","UNKNOWN",'Raw RetailSalesData'!B546)</f>
        <v>2024-09-30</v>
      </c>
      <c r="C546" t="str">
        <f>IF('Raw RetailSalesData'!C546="","UNKNOW",'Raw RetailSalesData'!C546)</f>
        <v>CUST-1058</v>
      </c>
      <c r="D546" t="str">
        <f>IF('Raw RetailSalesData'!D546="","UNKNOW",'Raw RetailSalesData'!D546)</f>
        <v>C302</v>
      </c>
      <c r="E546" s="5">
        <f>IF('Raw RetailSalesData'!E546="",'Raw RetailSalesData'!F546/'Raw RetailSalesData'!G546,'Raw RetailSalesData'!E546)</f>
        <v>4</v>
      </c>
      <c r="F546" s="7">
        <f>IF('Raw RetailSalesData'!F546="",'Raw RetailSalesData'!G546/'Raw RetailSalesData'!E546,'Raw RetailSalesData'!F546)</f>
        <v>55</v>
      </c>
      <c r="G546" s="7">
        <f t="shared" si="8"/>
        <v>220</v>
      </c>
      <c r="H546" s="5" t="str">
        <f>IF('Raw RetailSalesData'!H546="","Unknown",'Raw RetailSalesData'!H546)</f>
        <v>NA</v>
      </c>
      <c r="I546" t="s">
        <v>100</v>
      </c>
      <c r="J546" t="s">
        <v>101</v>
      </c>
      <c r="K546" t="str">
        <f>TRIM('Raw RetailSalesData'!K546)</f>
        <v>Sales Rep 1</v>
      </c>
      <c r="L546" t="s">
        <v>31</v>
      </c>
    </row>
    <row r="547" spans="1:12" x14ac:dyDescent="0.3">
      <c r="A547" t="str">
        <f>IF(COUNTIF('Raw RetailSalesData'!$A:$L,'Raw RetailSalesData'!A547)=1,'Raw RetailSalesData'!A547,"")</f>
        <v>ORD-10597</v>
      </c>
      <c r="B547" t="str">
        <f>IF('Raw RetailSalesData'!B547="","UNKNOWN",'Raw RetailSalesData'!B547)</f>
        <v>2024-11-18</v>
      </c>
      <c r="C547" t="str">
        <f>IF('Raw RetailSalesData'!C547="","UNKNOW",'Raw RetailSalesData'!C547)</f>
        <v>CUST-1181</v>
      </c>
      <c r="D547" t="str">
        <f>IF('Raw RetailSalesData'!D547="","UNKNOW",'Raw RetailSalesData'!D547)</f>
        <v>P103</v>
      </c>
      <c r="E547" s="5">
        <f>IF('Raw RetailSalesData'!E547="",'Raw RetailSalesData'!F547/'Raw RetailSalesData'!G547,'Raw RetailSalesData'!E547)</f>
        <v>6</v>
      </c>
      <c r="F547" s="7">
        <f>IF('Raw RetailSalesData'!F547="",'Raw RetailSalesData'!G547/'Raw RetailSalesData'!E547,'Raw RetailSalesData'!F547)</f>
        <v>95</v>
      </c>
      <c r="G547" s="7">
        <f t="shared" si="8"/>
        <v>570</v>
      </c>
      <c r="H547" s="5" t="str">
        <f>IF('Raw RetailSalesData'!H547="","Unknown",'Raw RetailSalesData'!H547)</f>
        <v>EMEA</v>
      </c>
      <c r="I547" t="s">
        <v>83</v>
      </c>
      <c r="J547" t="s">
        <v>84</v>
      </c>
      <c r="K547" t="str">
        <f>TRIM('Raw RetailSalesData'!K547)</f>
        <v>John Smith</v>
      </c>
      <c r="L547" t="s">
        <v>21</v>
      </c>
    </row>
    <row r="548" spans="1:12" x14ac:dyDescent="0.3">
      <c r="A548" t="str">
        <f>IF(COUNTIF('Raw RetailSalesData'!$A:$L,'Raw RetailSalesData'!A548)=1,'Raw RetailSalesData'!A548,"")</f>
        <v>ORD-10598</v>
      </c>
      <c r="B548" t="str">
        <f>IF('Raw RetailSalesData'!B548="","UNKNOWN",'Raw RetailSalesData'!B548)</f>
        <v>2023-03-31</v>
      </c>
      <c r="C548" t="str">
        <f>IF('Raw RetailSalesData'!C548="","UNKNOW",'Raw RetailSalesData'!C548)</f>
        <v>CUST-1031</v>
      </c>
      <c r="D548" t="str">
        <f>IF('Raw RetailSalesData'!D548="","UNKNOW",'Raw RetailSalesData'!D548)</f>
        <v>P102</v>
      </c>
      <c r="E548" s="5">
        <f>IF('Raw RetailSalesData'!E548="",'Raw RetailSalesData'!F548/'Raw RetailSalesData'!G548,'Raw RetailSalesData'!E548)</f>
        <v>18</v>
      </c>
      <c r="F548" s="7">
        <f>IF('Raw RetailSalesData'!F548="",'Raw RetailSalesData'!G548/'Raw RetailSalesData'!E548,'Raw RetailSalesData'!F548)</f>
        <v>75</v>
      </c>
      <c r="G548" s="7">
        <f t="shared" si="8"/>
        <v>1350</v>
      </c>
      <c r="H548" s="5" t="str">
        <f>IF('Raw RetailSalesData'!H548="","Unknown",'Raw RetailSalesData'!H548)</f>
        <v>LATAM</v>
      </c>
      <c r="I548" t="s">
        <v>90</v>
      </c>
      <c r="J548" t="s">
        <v>2198</v>
      </c>
      <c r="K548" t="str">
        <f>TRIM('Raw RetailSalesData'!K548)</f>
        <v>Unknown</v>
      </c>
      <c r="L548" t="s">
        <v>46</v>
      </c>
    </row>
    <row r="549" spans="1:12" x14ac:dyDescent="0.3">
      <c r="A549" t="str">
        <f>IF(COUNTIF('Raw RetailSalesData'!$A:$L,'Raw RetailSalesData'!A549)=1,'Raw RetailSalesData'!A549,"")</f>
        <v>ORD-10599</v>
      </c>
      <c r="B549" t="str">
        <f>IF('Raw RetailSalesData'!B549="","UNKNOWN",'Raw RetailSalesData'!B549)</f>
        <v>UNKNOWN</v>
      </c>
      <c r="C549" t="str">
        <f>IF('Raw RetailSalesData'!C549="","UNKNOW",'Raw RetailSalesData'!C549)</f>
        <v>CUST-1050</v>
      </c>
      <c r="D549" t="str">
        <f>IF('Raw RetailSalesData'!D549="","UNKNOW",'Raw RetailSalesData'!D549)</f>
        <v>C303</v>
      </c>
      <c r="E549" s="5">
        <f>IF('Raw RetailSalesData'!E549="",'Raw RetailSalesData'!F549/'Raw RetailSalesData'!G549,'Raw RetailSalesData'!E549)</f>
        <v>12</v>
      </c>
      <c r="F549" s="7">
        <f>IF('Raw RetailSalesData'!F549="",'Raw RetailSalesData'!G549/'Raw RetailSalesData'!E549,'Raw RetailSalesData'!F549)</f>
        <v>65</v>
      </c>
      <c r="G549" s="7">
        <f t="shared" si="8"/>
        <v>780</v>
      </c>
      <c r="H549" s="5" t="str">
        <f>IF('Raw RetailSalesData'!H549="","Unknown",'Raw RetailSalesData'!H549)</f>
        <v>NA</v>
      </c>
      <c r="I549" t="s">
        <v>100</v>
      </c>
      <c r="J549" t="s">
        <v>101</v>
      </c>
      <c r="K549" t="str">
        <f>TRIM('Raw RetailSalesData'!K549)</f>
        <v>Sales Rep 3</v>
      </c>
      <c r="L549" t="s">
        <v>31</v>
      </c>
    </row>
    <row r="550" spans="1:12" x14ac:dyDescent="0.3">
      <c r="A550" t="str">
        <f>IF(COUNTIF('Raw RetailSalesData'!$A:$L,'Raw RetailSalesData'!A550)=1,'Raw RetailSalesData'!A550,"")</f>
        <v>ORD-10600</v>
      </c>
      <c r="B550" t="str">
        <f>IF('Raw RetailSalesData'!B550="","UNKNOWN",'Raw RetailSalesData'!B550)</f>
        <v>2024-11-17</v>
      </c>
      <c r="C550" t="str">
        <f>IF('Raw RetailSalesData'!C550="","UNKNOW",'Raw RetailSalesData'!C550)</f>
        <v>CUST-1057</v>
      </c>
      <c r="D550" t="str">
        <f>IF('Raw RetailSalesData'!D550="","UNKNOW",'Raw RetailSalesData'!D550)</f>
        <v>P102</v>
      </c>
      <c r="E550" s="5">
        <f>IF('Raw RetailSalesData'!E550="",'Raw RetailSalesData'!F550/'Raw RetailSalesData'!G550,'Raw RetailSalesData'!E550)</f>
        <v>2</v>
      </c>
      <c r="F550" s="7">
        <f>IF('Raw RetailSalesData'!F550="",'Raw RetailSalesData'!G550/'Raw RetailSalesData'!E550,'Raw RetailSalesData'!F550)</f>
        <v>85</v>
      </c>
      <c r="G550" s="7">
        <f t="shared" si="8"/>
        <v>170</v>
      </c>
      <c r="H550" s="5" t="str">
        <f>IF('Raw RetailSalesData'!H550="","Unknown",'Raw RetailSalesData'!H550)</f>
        <v>Unknown</v>
      </c>
      <c r="I550" t="s">
        <v>100</v>
      </c>
      <c r="J550" t="s">
        <v>101</v>
      </c>
      <c r="K550" t="str">
        <f>TRIM('Raw RetailSalesData'!K550)</f>
        <v>Sales Rep 4</v>
      </c>
      <c r="L550" t="s">
        <v>46</v>
      </c>
    </row>
    <row r="551" spans="1:12" x14ac:dyDescent="0.3">
      <c r="A551" t="str">
        <f>IF(COUNTIF('Raw RetailSalesData'!$A:$L,'Raw RetailSalesData'!A551)=1,'Raw RetailSalesData'!A551,"")</f>
        <v>ORD-10601</v>
      </c>
      <c r="B551" t="str">
        <f>IF('Raw RetailSalesData'!B551="","UNKNOWN",'Raw RetailSalesData'!B551)</f>
        <v>2025-03-12</v>
      </c>
      <c r="C551" t="str">
        <f>IF('Raw RetailSalesData'!C551="","UNKNOW",'Raw RetailSalesData'!C551)</f>
        <v>CUST-1080</v>
      </c>
      <c r="D551" t="str">
        <f>IF('Raw RetailSalesData'!D551="","UNKNOW",'Raw RetailSalesData'!D551)</f>
        <v>P102</v>
      </c>
      <c r="E551" s="5">
        <f>IF('Raw RetailSalesData'!E551="",'Raw RetailSalesData'!F551/'Raw RetailSalesData'!G551,'Raw RetailSalesData'!E551)</f>
        <v>17</v>
      </c>
      <c r="F551" s="7">
        <f>IF('Raw RetailSalesData'!F551="",'Raw RetailSalesData'!G551/'Raw RetailSalesData'!E551,'Raw RetailSalesData'!F551)</f>
        <v>80</v>
      </c>
      <c r="G551" s="7">
        <f t="shared" si="8"/>
        <v>1360</v>
      </c>
      <c r="H551" s="5" t="str">
        <f>IF('Raw RetailSalesData'!H551="","Unknown",'Raw RetailSalesData'!H551)</f>
        <v>APAC</v>
      </c>
      <c r="I551" t="s">
        <v>71</v>
      </c>
      <c r="J551" t="s">
        <v>72</v>
      </c>
      <c r="K551" t="str">
        <f>TRIM('Raw RetailSalesData'!K551)</f>
        <v>Hiroshi Tanaka</v>
      </c>
      <c r="L551" t="s">
        <v>31</v>
      </c>
    </row>
    <row r="552" spans="1:12" x14ac:dyDescent="0.3">
      <c r="A552" t="str">
        <f>IF(COUNTIF('Raw RetailSalesData'!$A:$L,'Raw RetailSalesData'!A552)=1,'Raw RetailSalesData'!A552,"")</f>
        <v>ORD-10602</v>
      </c>
      <c r="B552" t="str">
        <f>IF('Raw RetailSalesData'!B552="","UNKNOWN",'Raw RetailSalesData'!B552)</f>
        <v>2024-12-10</v>
      </c>
      <c r="C552" t="str">
        <f>IF('Raw RetailSalesData'!C552="","UNKNOW",'Raw RetailSalesData'!C552)</f>
        <v>CUST-1018</v>
      </c>
      <c r="D552" t="str">
        <f>IF('Raw RetailSalesData'!D552="","UNKNOW",'Raw RetailSalesData'!D552)</f>
        <v>P103</v>
      </c>
      <c r="E552" s="5">
        <f>IF('Raw RetailSalesData'!E552="",'Raw RetailSalesData'!F552/'Raw RetailSalesData'!G552,'Raw RetailSalesData'!E552)</f>
        <v>3</v>
      </c>
      <c r="F552" s="7">
        <f>IF('Raw RetailSalesData'!F552="",'Raw RetailSalesData'!G552/'Raw RetailSalesData'!E552,'Raw RetailSalesData'!F552)</f>
        <v>90</v>
      </c>
      <c r="G552" s="7">
        <f t="shared" si="8"/>
        <v>270</v>
      </c>
      <c r="H552" s="5" t="str">
        <f>IF('Raw RetailSalesData'!H552="","Unknown",'Raw RetailSalesData'!H552)</f>
        <v>LATAM</v>
      </c>
      <c r="I552" t="s">
        <v>18</v>
      </c>
      <c r="J552" t="s">
        <v>2197</v>
      </c>
      <c r="K552" t="str">
        <f>TRIM('Raw RetailSalesData'!K552)</f>
        <v>Sales Rep 5</v>
      </c>
      <c r="L552" t="s">
        <v>46</v>
      </c>
    </row>
    <row r="553" spans="1:12" x14ac:dyDescent="0.3">
      <c r="A553" t="str">
        <f>IF(COUNTIF('Raw RetailSalesData'!$A:$L,'Raw RetailSalesData'!A553)=1,'Raw RetailSalesData'!A553,"")</f>
        <v>ORD-10603</v>
      </c>
      <c r="B553" t="str">
        <f>IF('Raw RetailSalesData'!B553="","UNKNOWN",'Raw RetailSalesData'!B553)</f>
        <v>2022-12-16</v>
      </c>
      <c r="C553" t="str">
        <f>IF('Raw RetailSalesData'!C553="","UNKNOW",'Raw RetailSalesData'!C553)</f>
        <v>CUST-1131</v>
      </c>
      <c r="D553" t="str">
        <f>IF('Raw RetailSalesData'!D553="","UNKNOW",'Raw RetailSalesData'!D553)</f>
        <v>P101</v>
      </c>
      <c r="E553" s="5">
        <f>IF('Raw RetailSalesData'!E553="",'Raw RetailSalesData'!F553/'Raw RetailSalesData'!G553,'Raw RetailSalesData'!E553)</f>
        <v>9</v>
      </c>
      <c r="F553" s="7">
        <f>IF('Raw RetailSalesData'!F553="",'Raw RetailSalesData'!G553/'Raw RetailSalesData'!E553,'Raw RetailSalesData'!F553)</f>
        <v>90</v>
      </c>
      <c r="G553" s="7">
        <f t="shared" si="8"/>
        <v>810</v>
      </c>
      <c r="H553" s="5" t="str">
        <f>IF('Raw RetailSalesData'!H553="","Unknown",'Raw RetailSalesData'!H553)</f>
        <v>NA</v>
      </c>
      <c r="I553" t="s">
        <v>28</v>
      </c>
      <c r="J553" t="s">
        <v>2196</v>
      </c>
      <c r="K553" t="str">
        <f>TRIM('Raw RetailSalesData'!K553)</f>
        <v>Michael Johnson</v>
      </c>
      <c r="L553" t="s">
        <v>31</v>
      </c>
    </row>
    <row r="554" spans="1:12" x14ac:dyDescent="0.3">
      <c r="A554" t="str">
        <f>IF(COUNTIF('Raw RetailSalesData'!$A:$L,'Raw RetailSalesData'!A554)=1,'Raw RetailSalesData'!A554,"")</f>
        <v>ORD-10606</v>
      </c>
      <c r="B554" t="str">
        <f>IF('Raw RetailSalesData'!B554="","UNKNOWN",'Raw RetailSalesData'!B554)</f>
        <v>2022-01-27</v>
      </c>
      <c r="C554" t="str">
        <f>IF('Raw RetailSalesData'!C554="","UNKNOW",'Raw RetailSalesData'!C554)</f>
        <v>CUST-1092</v>
      </c>
      <c r="D554" t="str">
        <f>IF('Raw RetailSalesData'!D554="","UNKNOW",'Raw RetailSalesData'!D554)</f>
        <v>P203</v>
      </c>
      <c r="E554" s="5">
        <f>IF('Raw RetailSalesData'!E554="",'Raw RetailSalesData'!F554/'Raw RetailSalesData'!G554,'Raw RetailSalesData'!E554)</f>
        <v>20</v>
      </c>
      <c r="F554" s="7">
        <f>IF('Raw RetailSalesData'!F554="",'Raw RetailSalesData'!G554/'Raw RetailSalesData'!E554,'Raw RetailSalesData'!F554)</f>
        <v>68</v>
      </c>
      <c r="G554" s="7">
        <f t="shared" si="8"/>
        <v>1360</v>
      </c>
      <c r="H554" s="5" t="str">
        <f>IF('Raw RetailSalesData'!H554="","Unknown",'Raw RetailSalesData'!H554)</f>
        <v>EMEA</v>
      </c>
      <c r="I554" t="s">
        <v>83</v>
      </c>
      <c r="J554" t="s">
        <v>84</v>
      </c>
      <c r="K554" t="str">
        <f>TRIM('Raw RetailSalesData'!K554)</f>
        <v>John Smith</v>
      </c>
      <c r="L554" t="s">
        <v>46</v>
      </c>
    </row>
    <row r="555" spans="1:12" x14ac:dyDescent="0.3">
      <c r="A555" t="str">
        <f>IF(COUNTIF('Raw RetailSalesData'!$A:$L,'Raw RetailSalesData'!A555)=1,'Raw RetailSalesData'!A555,"")</f>
        <v>ORD-10607</v>
      </c>
      <c r="B555" t="str">
        <f>IF('Raw RetailSalesData'!B555="","UNKNOWN",'Raw RetailSalesData'!B555)</f>
        <v>2022-11-21</v>
      </c>
      <c r="C555" t="str">
        <f>IF('Raw RetailSalesData'!C555="","UNKNOW",'Raw RetailSalesData'!C555)</f>
        <v>CUST-1161</v>
      </c>
      <c r="D555" t="str">
        <f>IF('Raw RetailSalesData'!D555="","UNKNOW",'Raw RetailSalesData'!D555)</f>
        <v>C303</v>
      </c>
      <c r="E555" s="5">
        <f>IF('Raw RetailSalesData'!E555="",'Raw RetailSalesData'!F555/'Raw RetailSalesData'!G555,'Raw RetailSalesData'!E555)</f>
        <v>5</v>
      </c>
      <c r="F555" s="7">
        <f>IF('Raw RetailSalesData'!F555="",'Raw RetailSalesData'!G555/'Raw RetailSalesData'!E555,'Raw RetailSalesData'!F555)</f>
        <v>60</v>
      </c>
      <c r="G555" s="7">
        <f t="shared" si="8"/>
        <v>300</v>
      </c>
      <c r="H555" s="5" t="str">
        <f>IF('Raw RetailSalesData'!H555="","Unknown",'Raw RetailSalesData'!H555)</f>
        <v>APAC</v>
      </c>
      <c r="I555" t="s">
        <v>151</v>
      </c>
      <c r="J555" t="s">
        <v>188</v>
      </c>
      <c r="K555" t="str">
        <f>TRIM('Raw RetailSalesData'!K555)</f>
        <v>Sales Rep 5</v>
      </c>
      <c r="L555" t="s">
        <v>46</v>
      </c>
    </row>
    <row r="556" spans="1:12" x14ac:dyDescent="0.3">
      <c r="A556" t="str">
        <f>IF(COUNTIF('Raw RetailSalesData'!$A:$L,'Raw RetailSalesData'!A556)=1,'Raw RetailSalesData'!A556,"")</f>
        <v>ORD-10610</v>
      </c>
      <c r="B556" t="str">
        <f>IF('Raw RetailSalesData'!B556="","UNKNOWN",'Raw RetailSalesData'!B556)</f>
        <v>2024-10-17</v>
      </c>
      <c r="C556" t="str">
        <f>IF('Raw RetailSalesData'!C556="","UNKNOW",'Raw RetailSalesData'!C556)</f>
        <v>CUST-1089</v>
      </c>
      <c r="D556" t="str">
        <f>IF('Raw RetailSalesData'!D556="","UNKNOW",'Raw RetailSalesData'!D556)</f>
        <v>C304</v>
      </c>
      <c r="E556" s="5">
        <f>IF('Raw RetailSalesData'!E556="",'Raw RetailSalesData'!F556/'Raw RetailSalesData'!G556,'Raw RetailSalesData'!E556)</f>
        <v>8</v>
      </c>
      <c r="F556" s="7">
        <f>IF('Raw RetailSalesData'!F556="",'Raw RetailSalesData'!G556/'Raw RetailSalesData'!E556,'Raw RetailSalesData'!F556)</f>
        <v>63</v>
      </c>
      <c r="G556" s="7">
        <f t="shared" si="8"/>
        <v>504</v>
      </c>
      <c r="H556" s="5" t="str">
        <f>IF('Raw RetailSalesData'!H556="","Unknown",'Raw RetailSalesData'!H556)</f>
        <v>NA</v>
      </c>
      <c r="I556" t="s">
        <v>28</v>
      </c>
      <c r="J556" t="s">
        <v>2196</v>
      </c>
      <c r="K556" t="str">
        <f>TRIM('Raw RetailSalesData'!K556)</f>
        <v>Michael Johnson</v>
      </c>
      <c r="L556" t="s">
        <v>46</v>
      </c>
    </row>
    <row r="557" spans="1:12" x14ac:dyDescent="0.3">
      <c r="A557" t="str">
        <f>IF(COUNTIF('Raw RetailSalesData'!$A:$L,'Raw RetailSalesData'!A557)=1,'Raw RetailSalesData'!A557,"")</f>
        <v>ORD-10611</v>
      </c>
      <c r="B557" t="str">
        <f>IF('Raw RetailSalesData'!B557="","UNKNOWN",'Raw RetailSalesData'!B557)</f>
        <v>2025-04-17</v>
      </c>
      <c r="C557" t="str">
        <f>IF('Raw RetailSalesData'!C557="","UNKNOW",'Raw RetailSalesData'!C557)</f>
        <v>CUST-1191</v>
      </c>
      <c r="D557" t="str">
        <f>IF('Raw RetailSalesData'!D557="","UNKNOW",'Raw RetailSalesData'!D557)</f>
        <v>C302</v>
      </c>
      <c r="E557" s="5">
        <f>IF('Raw RetailSalesData'!E557="",'Raw RetailSalesData'!F557/'Raw RetailSalesData'!G557,'Raw RetailSalesData'!E557)</f>
        <v>17</v>
      </c>
      <c r="F557" s="7">
        <f>IF('Raw RetailSalesData'!F557="",'Raw RetailSalesData'!G557/'Raw RetailSalesData'!E557,'Raw RetailSalesData'!F557)</f>
        <v>55</v>
      </c>
      <c r="G557" s="7">
        <f t="shared" si="8"/>
        <v>935</v>
      </c>
      <c r="H557" s="5" t="str">
        <f>IF('Raw RetailSalesData'!H557="","Unknown",'Raw RetailSalesData'!H557)</f>
        <v>NA</v>
      </c>
      <c r="I557" t="s">
        <v>28</v>
      </c>
      <c r="J557" t="s">
        <v>29</v>
      </c>
      <c r="K557" t="str">
        <f>TRIM('Raw RetailSalesData'!K557)</f>
        <v>Sales Rep 3</v>
      </c>
      <c r="L557" t="s">
        <v>21</v>
      </c>
    </row>
    <row r="558" spans="1:12" x14ac:dyDescent="0.3">
      <c r="A558" t="str">
        <f>IF(COUNTIF('Raw RetailSalesData'!$A:$L,'Raw RetailSalesData'!A558)=1,'Raw RetailSalesData'!A558,"")</f>
        <v>ORD-10612</v>
      </c>
      <c r="B558" t="str">
        <f>IF('Raw RetailSalesData'!B558="","UNKNOWN",'Raw RetailSalesData'!B558)</f>
        <v>2023-09-05</v>
      </c>
      <c r="C558" t="str">
        <f>IF('Raw RetailSalesData'!C558="","UNKNOW",'Raw RetailSalesData'!C558)</f>
        <v>CUST-1065</v>
      </c>
      <c r="D558" t="str">
        <f>IF('Raw RetailSalesData'!D558="","UNKNOW",'Raw RetailSalesData'!D558)</f>
        <v>C302</v>
      </c>
      <c r="E558" s="5">
        <f>IF('Raw RetailSalesData'!E558="",'Raw RetailSalesData'!F558/'Raw RetailSalesData'!G558,'Raw RetailSalesData'!E558)</f>
        <v>7.1428571428571425E-2</v>
      </c>
      <c r="F558" s="7">
        <f>IF('Raw RetailSalesData'!F558="",'Raw RetailSalesData'!G558/'Raw RetailSalesData'!E558,'Raw RetailSalesData'!F558)</f>
        <v>55</v>
      </c>
      <c r="G558" s="7">
        <f t="shared" si="8"/>
        <v>3.9285714285714284</v>
      </c>
      <c r="H558" s="5" t="str">
        <f>IF('Raw RetailSalesData'!H558="","Unknown",'Raw RetailSalesData'!H558)</f>
        <v>NA</v>
      </c>
      <c r="I558" t="s">
        <v>28</v>
      </c>
      <c r="J558" t="s">
        <v>2196</v>
      </c>
      <c r="K558" t="str">
        <f>TRIM('Raw RetailSalesData'!K558)</f>
        <v>Michael Johnson</v>
      </c>
      <c r="L558" t="s">
        <v>46</v>
      </c>
    </row>
    <row r="559" spans="1:12" x14ac:dyDescent="0.3">
      <c r="A559" t="str">
        <f>IF(COUNTIF('Raw RetailSalesData'!$A:$L,'Raw RetailSalesData'!A559)=1,'Raw RetailSalesData'!A559,"")</f>
        <v>ORD-10613</v>
      </c>
      <c r="B559" t="str">
        <f>IF('Raw RetailSalesData'!B559="","UNKNOWN",'Raw RetailSalesData'!B559)</f>
        <v>2025-08-19</v>
      </c>
      <c r="C559" t="str">
        <f>IF('Raw RetailSalesData'!C559="","UNKNOW",'Raw RetailSalesData'!C559)</f>
        <v>CUST-1057</v>
      </c>
      <c r="D559" t="str">
        <f>IF('Raw RetailSalesData'!D559="","UNKNOW",'Raw RetailSalesData'!D559)</f>
        <v>C302</v>
      </c>
      <c r="E559" s="5">
        <f>IF('Raw RetailSalesData'!E559="",'Raw RetailSalesData'!F559/'Raw RetailSalesData'!G559,'Raw RetailSalesData'!E559)</f>
        <v>12</v>
      </c>
      <c r="F559" s="7">
        <f>IF('Raw RetailSalesData'!F559="",'Raw RetailSalesData'!G559/'Raw RetailSalesData'!E559,'Raw RetailSalesData'!F559)</f>
        <v>50</v>
      </c>
      <c r="G559" s="7">
        <f t="shared" si="8"/>
        <v>600</v>
      </c>
      <c r="H559" s="5" t="str">
        <f>IF('Raw RetailSalesData'!H559="","Unknown",'Raw RetailSalesData'!H559)</f>
        <v>APAC</v>
      </c>
      <c r="I559" t="s">
        <v>151</v>
      </c>
      <c r="J559" t="s">
        <v>188</v>
      </c>
      <c r="K559" t="str">
        <f>TRIM('Raw RetailSalesData'!K559)</f>
        <v>Sales Rep 2</v>
      </c>
      <c r="L559" t="s">
        <v>31</v>
      </c>
    </row>
    <row r="560" spans="1:12" x14ac:dyDescent="0.3">
      <c r="A560" t="str">
        <f>IF(COUNTIF('Raw RetailSalesData'!$A:$L,'Raw RetailSalesData'!A560)=1,'Raw RetailSalesData'!A560,"")</f>
        <v>ORD-10614</v>
      </c>
      <c r="B560" t="str">
        <f>IF('Raw RetailSalesData'!B560="","UNKNOWN",'Raw RetailSalesData'!B560)</f>
        <v>UNKNOWN</v>
      </c>
      <c r="C560" t="str">
        <f>IF('Raw RetailSalesData'!C560="","UNKNOW",'Raw RetailSalesData'!C560)</f>
        <v>CUST-1172</v>
      </c>
      <c r="D560" t="str">
        <f>IF('Raw RetailSalesData'!D560="","UNKNOW",'Raw RetailSalesData'!D560)</f>
        <v>P102</v>
      </c>
      <c r="E560" s="5">
        <f>IF('Raw RetailSalesData'!E560="",'Raw RetailSalesData'!F560/'Raw RetailSalesData'!G560,'Raw RetailSalesData'!E560)</f>
        <v>1</v>
      </c>
      <c r="F560" s="7">
        <f>IF('Raw RetailSalesData'!F560="",'Raw RetailSalesData'!G560/'Raw RetailSalesData'!E560,'Raw RetailSalesData'!F560)</f>
        <v>80</v>
      </c>
      <c r="G560" s="7">
        <f t="shared" si="8"/>
        <v>80</v>
      </c>
      <c r="H560" s="5" t="str">
        <f>IF('Raw RetailSalesData'!H560="","Unknown",'Raw RetailSalesData'!H560)</f>
        <v>EMEA</v>
      </c>
      <c r="I560" t="s">
        <v>225</v>
      </c>
      <c r="J560" t="s">
        <v>226</v>
      </c>
      <c r="K560" t="str">
        <f>TRIM('Raw RetailSalesData'!K560)</f>
        <v>Sales Rep 4</v>
      </c>
      <c r="L560" t="s">
        <v>31</v>
      </c>
    </row>
    <row r="561" spans="1:12" x14ac:dyDescent="0.3">
      <c r="A561" t="str">
        <f>IF(COUNTIF('Raw RetailSalesData'!$A:$L,'Raw RetailSalesData'!A561)=1,'Raw RetailSalesData'!A561,"")</f>
        <v>ORD-10615</v>
      </c>
      <c r="B561" t="str">
        <f>IF('Raw RetailSalesData'!B561="","UNKNOWN",'Raw RetailSalesData'!B561)</f>
        <v>2022-04-14</v>
      </c>
      <c r="C561" t="str">
        <f>IF('Raw RetailSalesData'!C561="","UNKNOW",'Raw RetailSalesData'!C561)</f>
        <v>CUST-1022</v>
      </c>
      <c r="D561" t="str">
        <f>IF('Raw RetailSalesData'!D561="","UNKNOW",'Raw RetailSalesData'!D561)</f>
        <v>C303</v>
      </c>
      <c r="E561" s="5">
        <f>IF('Raw RetailSalesData'!E561="",'Raw RetailSalesData'!F561/'Raw RetailSalesData'!G561,'Raw RetailSalesData'!E561)</f>
        <v>5</v>
      </c>
      <c r="F561" s="7">
        <f>IF('Raw RetailSalesData'!F561="",'Raw RetailSalesData'!G561/'Raw RetailSalesData'!E561,'Raw RetailSalesData'!F561)</f>
        <v>55</v>
      </c>
      <c r="G561" s="7">
        <f t="shared" si="8"/>
        <v>275</v>
      </c>
      <c r="H561" s="5" t="str">
        <f>IF('Raw RetailSalesData'!H561="","Unknown",'Raw RetailSalesData'!H561)</f>
        <v>LATAM</v>
      </c>
      <c r="I561" t="s">
        <v>90</v>
      </c>
      <c r="J561" t="s">
        <v>2198</v>
      </c>
      <c r="K561" t="str">
        <f>TRIM('Raw RetailSalesData'!K561)</f>
        <v>Sales Rep 1</v>
      </c>
      <c r="L561" t="s">
        <v>31</v>
      </c>
    </row>
    <row r="562" spans="1:12" x14ac:dyDescent="0.3">
      <c r="A562" t="str">
        <f>IF(COUNTIF('Raw RetailSalesData'!$A:$L,'Raw RetailSalesData'!A562)=1,'Raw RetailSalesData'!A562,"")</f>
        <v>ORD-10616</v>
      </c>
      <c r="B562" t="str">
        <f>IF('Raw RetailSalesData'!B562="","UNKNOWN",'Raw RetailSalesData'!B562)</f>
        <v>2026-02-15</v>
      </c>
      <c r="C562" t="str">
        <f>IF('Raw RetailSalesData'!C562="","UNKNOW",'Raw RetailSalesData'!C562)</f>
        <v>CUST-1176</v>
      </c>
      <c r="D562" t="str">
        <f>IF('Raw RetailSalesData'!D562="","UNKNOW",'Raw RetailSalesData'!D562)</f>
        <v>P203</v>
      </c>
      <c r="E562" s="5">
        <f>IF('Raw RetailSalesData'!E562="",'Raw RetailSalesData'!F562/'Raw RetailSalesData'!G562,'Raw RetailSalesData'!E562)</f>
        <v>14</v>
      </c>
      <c r="F562" s="7">
        <f>IF('Raw RetailSalesData'!F562="",'Raw RetailSalesData'!G562/'Raw RetailSalesData'!E562,'Raw RetailSalesData'!F562)</f>
        <v>73</v>
      </c>
      <c r="G562" s="7">
        <f t="shared" si="8"/>
        <v>1022</v>
      </c>
      <c r="H562" s="5" t="str">
        <f>IF('Raw RetailSalesData'!H562="","Unknown",'Raw RetailSalesData'!H562)</f>
        <v>NA</v>
      </c>
      <c r="I562" t="s">
        <v>100</v>
      </c>
      <c r="J562" t="s">
        <v>101</v>
      </c>
      <c r="K562" t="str">
        <f>TRIM('Raw RetailSalesData'!K562)</f>
        <v>Sales Rep 1</v>
      </c>
      <c r="L562" t="s">
        <v>46</v>
      </c>
    </row>
    <row r="563" spans="1:12" x14ac:dyDescent="0.3">
      <c r="A563" t="str">
        <f>IF(COUNTIF('Raw RetailSalesData'!$A:$L,'Raw RetailSalesData'!A563)=1,'Raw RetailSalesData'!A563,"")</f>
        <v>ORD-10617</v>
      </c>
      <c r="B563" t="str">
        <f>IF('Raw RetailSalesData'!B563="","UNKNOWN",'Raw RetailSalesData'!B563)</f>
        <v>2025-02-16</v>
      </c>
      <c r="C563" t="str">
        <f>IF('Raw RetailSalesData'!C563="","UNKNOW",'Raw RetailSalesData'!C563)</f>
        <v>CUST-1113</v>
      </c>
      <c r="D563" t="str">
        <f>IF('Raw RetailSalesData'!D563="","UNKNOW",'Raw RetailSalesData'!D563)</f>
        <v>P102</v>
      </c>
      <c r="E563" s="5">
        <f>IF('Raw RetailSalesData'!E563="",'Raw RetailSalesData'!F563/'Raw RetailSalesData'!G563,'Raw RetailSalesData'!E563)</f>
        <v>19</v>
      </c>
      <c r="F563" s="7">
        <f>IF('Raw RetailSalesData'!F563="",'Raw RetailSalesData'!G563/'Raw RetailSalesData'!E563,'Raw RetailSalesData'!F563)</f>
        <v>80</v>
      </c>
      <c r="G563" s="7">
        <f t="shared" si="8"/>
        <v>1520</v>
      </c>
      <c r="H563" s="5" t="str">
        <f>IF('Raw RetailSalesData'!H563="","Unknown",'Raw RetailSalesData'!H563)</f>
        <v>Unknown</v>
      </c>
      <c r="I563" t="s">
        <v>225</v>
      </c>
      <c r="J563" t="s">
        <v>226</v>
      </c>
      <c r="K563" t="str">
        <f>TRIM('Raw RetailSalesData'!K563)</f>
        <v>Sales Rep 2</v>
      </c>
      <c r="L563" t="s">
        <v>31</v>
      </c>
    </row>
    <row r="564" spans="1:12" x14ac:dyDescent="0.3">
      <c r="A564" t="str">
        <f>IF(COUNTIF('Raw RetailSalesData'!$A:$L,'Raw RetailSalesData'!A564)=1,'Raw RetailSalesData'!A564,"")</f>
        <v>ORD-10618</v>
      </c>
      <c r="B564" t="str">
        <f>IF('Raw RetailSalesData'!B564="","UNKNOWN",'Raw RetailSalesData'!B564)</f>
        <v>2026-07-30</v>
      </c>
      <c r="C564" t="str">
        <f>IF('Raw RetailSalesData'!C564="","UNKNOW",'Raw RetailSalesData'!C564)</f>
        <v>CUST-1136</v>
      </c>
      <c r="D564" t="str">
        <f>IF('Raw RetailSalesData'!D564="","UNKNOW",'Raw RetailSalesData'!D564)</f>
        <v>C304</v>
      </c>
      <c r="E564" s="5">
        <f>IF('Raw RetailSalesData'!E564="",'Raw RetailSalesData'!F564/'Raw RetailSalesData'!G564,'Raw RetailSalesData'!E564)</f>
        <v>18</v>
      </c>
      <c r="F564" s="7">
        <f>IF('Raw RetailSalesData'!F564="",'Raw RetailSalesData'!G564/'Raw RetailSalesData'!E564,'Raw RetailSalesData'!F564)</f>
        <v>58</v>
      </c>
      <c r="G564" s="7">
        <f t="shared" si="8"/>
        <v>1044</v>
      </c>
      <c r="H564" s="5" t="str">
        <f>IF('Raw RetailSalesData'!H564="","Unknown",'Raw RetailSalesData'!H564)</f>
        <v>EMEA</v>
      </c>
      <c r="I564" t="s">
        <v>225</v>
      </c>
      <c r="J564" t="s">
        <v>226</v>
      </c>
      <c r="K564" t="str">
        <f>TRIM('Raw RetailSalesData'!K564)</f>
        <v>Sales Rep 4</v>
      </c>
      <c r="L564" t="s">
        <v>31</v>
      </c>
    </row>
    <row r="565" spans="1:12" x14ac:dyDescent="0.3">
      <c r="A565" t="str">
        <f>IF(COUNTIF('Raw RetailSalesData'!$A:$L,'Raw RetailSalesData'!A565)=1,'Raw RetailSalesData'!A565,"")</f>
        <v>ORD-10619</v>
      </c>
      <c r="B565" t="str">
        <f>IF('Raw RetailSalesData'!B565="","UNKNOWN",'Raw RetailSalesData'!B565)</f>
        <v>#N/A</v>
      </c>
      <c r="C565" t="str">
        <f>IF('Raw RetailSalesData'!C565="","UNKNOW",'Raw RetailSalesData'!C565)</f>
        <v>UNKNOW</v>
      </c>
      <c r="D565" t="str">
        <f>IF('Raw RetailSalesData'!D565="","UNKNOW",'Raw RetailSalesData'!D565)</f>
        <v>C301</v>
      </c>
      <c r="E565" s="5">
        <f>IF('Raw RetailSalesData'!E565="",'Raw RetailSalesData'!F565/'Raw RetailSalesData'!G565,'Raw RetailSalesData'!E565)</f>
        <v>7</v>
      </c>
      <c r="F565" s="7">
        <f>IF('Raw RetailSalesData'!F565="",'Raw RetailSalesData'!G565/'Raw RetailSalesData'!E565,'Raw RetailSalesData'!F565)</f>
        <v>55</v>
      </c>
      <c r="G565" s="7">
        <f t="shared" si="8"/>
        <v>385</v>
      </c>
      <c r="H565" s="5" t="str">
        <f>IF('Raw RetailSalesData'!H565="","Unknown",'Raw RetailSalesData'!H565)</f>
        <v>APAC</v>
      </c>
      <c r="I565" t="s">
        <v>151</v>
      </c>
      <c r="J565" t="s">
        <v>188</v>
      </c>
      <c r="K565" t="str">
        <f>TRIM('Raw RetailSalesData'!K565)</f>
        <v>Sales Rep 4</v>
      </c>
      <c r="L565" t="s">
        <v>46</v>
      </c>
    </row>
    <row r="566" spans="1:12" x14ac:dyDescent="0.3">
      <c r="A566" t="str">
        <f>IF(COUNTIF('Raw RetailSalesData'!$A:$L,'Raw RetailSalesData'!A566)=1,'Raw RetailSalesData'!A566,"")</f>
        <v>ORD-10620</v>
      </c>
      <c r="B566" t="str">
        <f>IF('Raw RetailSalesData'!B566="","UNKNOWN",'Raw RetailSalesData'!B566)</f>
        <v>2026-03-26</v>
      </c>
      <c r="C566" t="str">
        <f>IF('Raw RetailSalesData'!C566="","UNKNOW",'Raw RetailSalesData'!C566)</f>
        <v>CUST-1049</v>
      </c>
      <c r="D566" t="str">
        <f>IF('Raw RetailSalesData'!D566="","UNKNOW",'Raw RetailSalesData'!D566)</f>
        <v>P101</v>
      </c>
      <c r="E566" s="5">
        <f>IF('Raw RetailSalesData'!E566="",'Raw RetailSalesData'!F566/'Raw RetailSalesData'!G566,'Raw RetailSalesData'!E566)</f>
        <v>7</v>
      </c>
      <c r="F566" s="7">
        <f>IF('Raw RetailSalesData'!F566="",'Raw RetailSalesData'!G566/'Raw RetailSalesData'!E566,'Raw RetailSalesData'!F566)</f>
        <v>85</v>
      </c>
      <c r="G566" s="7">
        <f t="shared" si="8"/>
        <v>595</v>
      </c>
      <c r="H566" s="5" t="str">
        <f>IF('Raw RetailSalesData'!H566="","Unknown",'Raw RetailSalesData'!H566)</f>
        <v>#N/A</v>
      </c>
      <c r="I566" t="s">
        <v>38</v>
      </c>
      <c r="J566" t="s">
        <v>39</v>
      </c>
      <c r="K566" t="str">
        <f>TRIM('Raw RetailSalesData'!K566)</f>
        <v>Sales Rep 3</v>
      </c>
      <c r="L566" t="s">
        <v>21</v>
      </c>
    </row>
    <row r="567" spans="1:12" x14ac:dyDescent="0.3">
      <c r="A567" t="str">
        <f>IF(COUNTIF('Raw RetailSalesData'!$A:$L,'Raw RetailSalesData'!A567)=1,'Raw RetailSalesData'!A567,"")</f>
        <v>ORD-10621</v>
      </c>
      <c r="B567" t="str">
        <f>IF('Raw RetailSalesData'!B567="","UNKNOWN",'Raw RetailSalesData'!B567)</f>
        <v>2024-09-03</v>
      </c>
      <c r="C567" t="str">
        <f>IF('Raw RetailSalesData'!C567="","UNKNOW",'Raw RetailSalesData'!C567)</f>
        <v>CUST-1003</v>
      </c>
      <c r="D567" t="str">
        <f>IF('Raw RetailSalesData'!D567="","UNKNOW",'Raw RetailSalesData'!D567)</f>
        <v>P202</v>
      </c>
      <c r="E567" s="5">
        <f>IF('Raw RetailSalesData'!E567="",'Raw RetailSalesData'!F567/'Raw RetailSalesData'!G567,'Raw RetailSalesData'!E567)</f>
        <v>8</v>
      </c>
      <c r="F567" s="7">
        <f>IF('Raw RetailSalesData'!F567="",'Raw RetailSalesData'!G567/'Raw RetailSalesData'!E567,'Raw RetailSalesData'!F567)</f>
        <v>60</v>
      </c>
      <c r="G567" s="7">
        <f t="shared" si="8"/>
        <v>480</v>
      </c>
      <c r="H567" s="5" t="str">
        <f>IF('Raw RetailSalesData'!H567="","Unknown",'Raw RetailSalesData'!H567)</f>
        <v>LATAM</v>
      </c>
      <c r="I567" t="s">
        <v>90</v>
      </c>
      <c r="J567" t="s">
        <v>2198</v>
      </c>
      <c r="K567" t="str">
        <f>TRIM('Raw RetailSalesData'!K567)</f>
        <v>Sales Rep 3</v>
      </c>
      <c r="L567" t="s">
        <v>46</v>
      </c>
    </row>
    <row r="568" spans="1:12" x14ac:dyDescent="0.3">
      <c r="A568" t="str">
        <f>IF(COUNTIF('Raw RetailSalesData'!$A:$L,'Raw RetailSalesData'!A568)=1,'Raw RetailSalesData'!A568,"")</f>
        <v>ORD-10622</v>
      </c>
      <c r="B568" t="str">
        <f>IF('Raw RetailSalesData'!B568="","UNKNOWN",'Raw RetailSalesData'!B568)</f>
        <v>2024-04-03</v>
      </c>
      <c r="C568" t="str">
        <f>IF('Raw RetailSalesData'!C568="","UNKNOW",'Raw RetailSalesData'!C568)</f>
        <v>CUST-1008</v>
      </c>
      <c r="D568" t="str">
        <f>IF('Raw RetailSalesData'!D568="","UNKNOW",'Raw RetailSalesData'!D568)</f>
        <v>C304</v>
      </c>
      <c r="E568" s="5">
        <f>IF('Raw RetailSalesData'!E568="",'Raw RetailSalesData'!F568/'Raw RetailSalesData'!G568,'Raw RetailSalesData'!E568)</f>
        <v>5</v>
      </c>
      <c r="F568" s="7">
        <f>IF('Raw RetailSalesData'!F568="",'Raw RetailSalesData'!G568/'Raw RetailSalesData'!E568,'Raw RetailSalesData'!F568)</f>
        <v>58</v>
      </c>
      <c r="G568" s="7">
        <f t="shared" si="8"/>
        <v>290</v>
      </c>
      <c r="H568" s="5" t="str">
        <f>IF('Raw RetailSalesData'!H568="","Unknown",'Raw RetailSalesData'!H568)</f>
        <v>APAC</v>
      </c>
      <c r="I568" t="s">
        <v>151</v>
      </c>
      <c r="J568" t="s">
        <v>188</v>
      </c>
      <c r="K568" t="str">
        <f>TRIM('Raw RetailSalesData'!K568)</f>
        <v>Sales Rep 4</v>
      </c>
      <c r="L568" t="s">
        <v>21</v>
      </c>
    </row>
    <row r="569" spans="1:12" x14ac:dyDescent="0.3">
      <c r="A569" t="str">
        <f>IF(COUNTIF('Raw RetailSalesData'!$A:$L,'Raw RetailSalesData'!A569)=1,'Raw RetailSalesData'!A569,"")</f>
        <v>ORD-10623</v>
      </c>
      <c r="B569" t="str">
        <f>IF('Raw RetailSalesData'!B569="","UNKNOWN",'Raw RetailSalesData'!B569)</f>
        <v>2023-04-01</v>
      </c>
      <c r="C569" t="str">
        <f>IF('Raw RetailSalesData'!C569="","UNKNOW",'Raw RetailSalesData'!C569)</f>
        <v>CUST-1056</v>
      </c>
      <c r="D569" t="str">
        <f>IF('Raw RetailSalesData'!D569="","UNKNOW",'Raw RetailSalesData'!D569)</f>
        <v>C302</v>
      </c>
      <c r="E569" s="5">
        <f>IF('Raw RetailSalesData'!E569="",'Raw RetailSalesData'!F569/'Raw RetailSalesData'!G569,'Raw RetailSalesData'!E569)</f>
        <v>5</v>
      </c>
      <c r="F569" s="7">
        <f>IF('Raw RetailSalesData'!F569="",'Raw RetailSalesData'!G569/'Raw RetailSalesData'!E569,'Raw RetailSalesData'!F569)</f>
        <v>50</v>
      </c>
      <c r="G569" s="7">
        <f t="shared" si="8"/>
        <v>250</v>
      </c>
      <c r="H569" s="5" t="str">
        <f>IF('Raw RetailSalesData'!H569="","Unknown",'Raw RetailSalesData'!H569)</f>
        <v>APAC</v>
      </c>
      <c r="I569" t="s">
        <v>151</v>
      </c>
      <c r="J569" t="s">
        <v>152</v>
      </c>
      <c r="K569" t="str">
        <f>TRIM('Raw RetailSalesData'!K569)</f>
        <v>#N/A</v>
      </c>
      <c r="L569" t="s">
        <v>2190</v>
      </c>
    </row>
    <row r="570" spans="1:12" x14ac:dyDescent="0.3">
      <c r="A570" t="str">
        <f>IF(COUNTIF('Raw RetailSalesData'!$A:$L,'Raw RetailSalesData'!A570)=1,'Raw RetailSalesData'!A570,"")</f>
        <v>ORD-10624</v>
      </c>
      <c r="B570" t="str">
        <f>IF('Raw RetailSalesData'!B570="","UNKNOWN",'Raw RetailSalesData'!B570)</f>
        <v>2024-09-30</v>
      </c>
      <c r="C570" t="str">
        <f>IF('Raw RetailSalesData'!C570="","UNKNOW",'Raw RetailSalesData'!C570)</f>
        <v>CUST-1026</v>
      </c>
      <c r="D570" t="str">
        <f>IF('Raw RetailSalesData'!D570="","UNKNOW",'Raw RetailSalesData'!D570)</f>
        <v>C303</v>
      </c>
      <c r="E570" s="5">
        <f>IF('Raw RetailSalesData'!E570="",'Raw RetailSalesData'!F570/'Raw RetailSalesData'!G570,'Raw RetailSalesData'!E570)</f>
        <v>12</v>
      </c>
      <c r="F570" s="7">
        <f>IF('Raw RetailSalesData'!F570="",'Raw RetailSalesData'!G570/'Raw RetailSalesData'!E570,'Raw RetailSalesData'!F570)</f>
        <v>55</v>
      </c>
      <c r="G570" s="7">
        <f t="shared" si="8"/>
        <v>660</v>
      </c>
      <c r="H570" s="5" t="str">
        <f>IF('Raw RetailSalesData'!H570="","Unknown",'Raw RetailSalesData'!H570)</f>
        <v>LATAM</v>
      </c>
      <c r="I570" t="s">
        <v>18</v>
      </c>
      <c r="J570" t="s">
        <v>2197</v>
      </c>
      <c r="K570" t="str">
        <f>TRIM('Raw RetailSalesData'!K570)</f>
        <v>Sales Rep 4</v>
      </c>
      <c r="L570" t="s">
        <v>31</v>
      </c>
    </row>
    <row r="571" spans="1:12" x14ac:dyDescent="0.3">
      <c r="A571" t="str">
        <f>IF(COUNTIF('Raw RetailSalesData'!$A:$L,'Raw RetailSalesData'!A571)=1,'Raw RetailSalesData'!A571,"")</f>
        <v>ORD-10626</v>
      </c>
      <c r="B571" t="str">
        <f>IF('Raw RetailSalesData'!B571="","UNKNOWN",'Raw RetailSalesData'!B571)</f>
        <v>2026-07-29</v>
      </c>
      <c r="C571" t="str">
        <f>IF('Raw RetailSalesData'!C571="","UNKNOW",'Raw RetailSalesData'!C571)</f>
        <v>CUST-1112</v>
      </c>
      <c r="D571" t="str">
        <f>IF('Raw RetailSalesData'!D571="","UNKNOW",'Raw RetailSalesData'!D571)</f>
        <v>C304</v>
      </c>
      <c r="E571" s="5">
        <f>IF('Raw RetailSalesData'!E571="",'Raw RetailSalesData'!F571/'Raw RetailSalesData'!G571,'Raw RetailSalesData'!E571)</f>
        <v>6</v>
      </c>
      <c r="F571" s="7">
        <f>IF('Raw RetailSalesData'!F571="",'Raw RetailSalesData'!G571/'Raw RetailSalesData'!E571,'Raw RetailSalesData'!F571)</f>
        <v>63</v>
      </c>
      <c r="G571" s="7">
        <f t="shared" si="8"/>
        <v>378</v>
      </c>
      <c r="H571" s="5" t="str">
        <f>IF('Raw RetailSalesData'!H571="","Unknown",'Raw RetailSalesData'!H571)</f>
        <v xml:space="preserve"> NA </v>
      </c>
      <c r="I571" t="s">
        <v>28</v>
      </c>
      <c r="J571" t="s">
        <v>2196</v>
      </c>
      <c r="K571" t="str">
        <f>TRIM('Raw RetailSalesData'!K571)</f>
        <v>Unknown</v>
      </c>
      <c r="L571" t="s">
        <v>46</v>
      </c>
    </row>
    <row r="572" spans="1:12" x14ac:dyDescent="0.3">
      <c r="A572" t="str">
        <f>IF(COUNTIF('Raw RetailSalesData'!$A:$L,'Raw RetailSalesData'!A572)=1,'Raw RetailSalesData'!A572,"")</f>
        <v>ORD-10627</v>
      </c>
      <c r="B572" t="str">
        <f>IF('Raw RetailSalesData'!B572="","UNKNOWN",'Raw RetailSalesData'!B572)</f>
        <v>2026-07-04</v>
      </c>
      <c r="C572" t="str">
        <f>IF('Raw RetailSalesData'!C572="","UNKNOW",'Raw RetailSalesData'!C572)</f>
        <v>CUST-1136</v>
      </c>
      <c r="D572" t="str">
        <f>IF('Raw RetailSalesData'!D572="","UNKNOW",'Raw RetailSalesData'!D572)</f>
        <v>P101</v>
      </c>
      <c r="E572" s="5">
        <f>IF('Raw RetailSalesData'!E572="",'Raw RetailSalesData'!F572/'Raw RetailSalesData'!G572,'Raw RetailSalesData'!E572)</f>
        <v>13</v>
      </c>
      <c r="F572" s="7">
        <f>IF('Raw RetailSalesData'!F572="",'Raw RetailSalesData'!G572/'Raw RetailSalesData'!E572,'Raw RetailSalesData'!F572)</f>
        <v>85</v>
      </c>
      <c r="G572" s="7">
        <f t="shared" si="8"/>
        <v>1105</v>
      </c>
      <c r="H572" s="5" t="str">
        <f>IF('Raw RetailSalesData'!H572="","Unknown",'Raw RetailSalesData'!H572)</f>
        <v>EMEA</v>
      </c>
      <c r="I572" t="s">
        <v>225</v>
      </c>
      <c r="J572" t="s">
        <v>226</v>
      </c>
      <c r="K572" t="str">
        <f>TRIM('Raw RetailSalesData'!K572)</f>
        <v>Unknown</v>
      </c>
      <c r="L572" t="s">
        <v>31</v>
      </c>
    </row>
    <row r="573" spans="1:12" x14ac:dyDescent="0.3">
      <c r="A573" t="str">
        <f>IF(COUNTIF('Raw RetailSalesData'!$A:$L,'Raw RetailSalesData'!A573)=1,'Raw RetailSalesData'!A573,"")</f>
        <v>ORD-10628</v>
      </c>
      <c r="B573" t="str">
        <f>IF('Raw RetailSalesData'!B573="","UNKNOWN",'Raw RetailSalesData'!B573)</f>
        <v>2026-07-04</v>
      </c>
      <c r="C573" t="str">
        <f>IF('Raw RetailSalesData'!C573="","UNKNOW",'Raw RetailSalesData'!C573)</f>
        <v>CUST-1136</v>
      </c>
      <c r="D573" t="str">
        <f>IF('Raw RetailSalesData'!D573="","UNKNOW",'Raw RetailSalesData'!D573)</f>
        <v>P101</v>
      </c>
      <c r="E573" s="5">
        <f>IF('Raw RetailSalesData'!E573="",'Raw RetailSalesData'!F573/'Raw RetailSalesData'!G573,'Raw RetailSalesData'!E573)</f>
        <v>13</v>
      </c>
      <c r="F573" s="7">
        <f>IF('Raw RetailSalesData'!F573="",'Raw RetailSalesData'!G573/'Raw RetailSalesData'!E573,'Raw RetailSalesData'!F573)</f>
        <v>85</v>
      </c>
      <c r="G573" s="7">
        <f t="shared" si="8"/>
        <v>1105</v>
      </c>
      <c r="H573" s="5" t="str">
        <f>IF('Raw RetailSalesData'!H573="","Unknown",'Raw RetailSalesData'!H573)</f>
        <v>EMEA</v>
      </c>
      <c r="I573" t="s">
        <v>225</v>
      </c>
      <c r="J573" t="s">
        <v>226</v>
      </c>
      <c r="K573" t="str">
        <f>TRIM('Raw RetailSalesData'!K573)</f>
        <v>Sales Rep 1</v>
      </c>
      <c r="L573" t="s">
        <v>31</v>
      </c>
    </row>
    <row r="574" spans="1:12" x14ac:dyDescent="0.3">
      <c r="A574" t="str">
        <f>IF(COUNTIF('Raw RetailSalesData'!$A:$L,'Raw RetailSalesData'!A574)=1,'Raw RetailSalesData'!A574,"")</f>
        <v>ORD-10629</v>
      </c>
      <c r="B574" t="str">
        <f>IF('Raw RetailSalesData'!B574="","UNKNOWN",'Raw RetailSalesData'!B574)</f>
        <v>2025-04-20</v>
      </c>
      <c r="C574" t="str">
        <f>IF('Raw RetailSalesData'!C574="","UNKNOW",'Raw RetailSalesData'!C574)</f>
        <v xml:space="preserve"> CUST-1059 </v>
      </c>
      <c r="D574" t="str">
        <f>IF('Raw RetailSalesData'!D574="","UNKNOW",'Raw RetailSalesData'!D574)</f>
        <v>P202</v>
      </c>
      <c r="E574" s="5">
        <f>IF('Raw RetailSalesData'!E574="",'Raw RetailSalesData'!F574/'Raw RetailSalesData'!G574,'Raw RetailSalesData'!E574)</f>
        <v>4</v>
      </c>
      <c r="F574" s="7">
        <f>IF('Raw RetailSalesData'!F574="",'Raw RetailSalesData'!G574/'Raw RetailSalesData'!E574,'Raw RetailSalesData'!F574)</f>
        <v>65</v>
      </c>
      <c r="G574" s="7">
        <f t="shared" si="8"/>
        <v>260</v>
      </c>
      <c r="H574" s="5" t="str">
        <f>IF('Raw RetailSalesData'!H574="","Unknown",'Raw RetailSalesData'!H574)</f>
        <v>EMEA</v>
      </c>
      <c r="I574" t="s">
        <v>225</v>
      </c>
      <c r="J574" t="s">
        <v>226</v>
      </c>
      <c r="K574" t="str">
        <f>TRIM('Raw RetailSalesData'!K574)</f>
        <v>Sales Rep 4</v>
      </c>
      <c r="L574" t="s">
        <v>46</v>
      </c>
    </row>
    <row r="575" spans="1:12" x14ac:dyDescent="0.3">
      <c r="A575" t="str">
        <f>IF(COUNTIF('Raw RetailSalesData'!$A:$L,'Raw RetailSalesData'!A575)=1,'Raw RetailSalesData'!A575,"")</f>
        <v>ORD-10630</v>
      </c>
      <c r="B575" t="str">
        <f>IF('Raw RetailSalesData'!B575="","UNKNOWN",'Raw RetailSalesData'!B575)</f>
        <v>2023-05-26</v>
      </c>
      <c r="C575" t="str">
        <f>IF('Raw RetailSalesData'!C575="","UNKNOW",'Raw RetailSalesData'!C575)</f>
        <v>CUST-1119</v>
      </c>
      <c r="D575" t="str">
        <f>IF('Raw RetailSalesData'!D575="","UNKNOW",'Raw RetailSalesData'!D575)</f>
        <v>P202</v>
      </c>
      <c r="E575" s="5">
        <f>IF('Raw RetailSalesData'!E575="",'Raw RetailSalesData'!F575/'Raw RetailSalesData'!G575,'Raw RetailSalesData'!E575)</f>
        <v>9</v>
      </c>
      <c r="F575" s="7">
        <f>IF('Raw RetailSalesData'!F575="",'Raw RetailSalesData'!G575/'Raw RetailSalesData'!E575,'Raw RetailSalesData'!F575)</f>
        <v>70</v>
      </c>
      <c r="G575" s="7">
        <f t="shared" si="8"/>
        <v>630</v>
      </c>
      <c r="H575" s="5" t="str">
        <f>IF('Raw RetailSalesData'!H575="","Unknown",'Raw RetailSalesData'!H575)</f>
        <v>NA</v>
      </c>
      <c r="I575" t="s">
        <v>28</v>
      </c>
      <c r="J575" t="s">
        <v>2196</v>
      </c>
      <c r="K575" t="str">
        <f>TRIM('Raw RetailSalesData'!K575)</f>
        <v>Michael Johnson</v>
      </c>
      <c r="L575" t="s">
        <v>2190</v>
      </c>
    </row>
    <row r="576" spans="1:12" x14ac:dyDescent="0.3">
      <c r="A576" t="str">
        <f>IF(COUNTIF('Raw RetailSalesData'!$A:$L,'Raw RetailSalesData'!A576)=1,'Raw RetailSalesData'!A576,"")</f>
        <v>ORD-10631</v>
      </c>
      <c r="B576" t="str">
        <f>IF('Raw RetailSalesData'!B576="","UNKNOWN",'Raw RetailSalesData'!B576)</f>
        <v>2023-03-07</v>
      </c>
      <c r="C576" t="str">
        <f>IF('Raw RetailSalesData'!C576="","UNKNOW",'Raw RetailSalesData'!C576)</f>
        <v>CUST-1003</v>
      </c>
      <c r="D576" t="str">
        <f>IF('Raw RetailSalesData'!D576="","UNKNOW",'Raw RetailSalesData'!D576)</f>
        <v>P103</v>
      </c>
      <c r="E576" s="5">
        <f>IF('Raw RetailSalesData'!E576="",'Raw RetailSalesData'!F576/'Raw RetailSalesData'!G576,'Raw RetailSalesData'!E576)</f>
        <v>1</v>
      </c>
      <c r="F576" s="7">
        <f>IF('Raw RetailSalesData'!F576="",'Raw RetailSalesData'!G576/'Raw RetailSalesData'!E576,'Raw RetailSalesData'!F576)</f>
        <v>95</v>
      </c>
      <c r="G576" s="7">
        <f t="shared" si="8"/>
        <v>95</v>
      </c>
      <c r="H576" s="5" t="str">
        <f>IF('Raw RetailSalesData'!H576="","Unknown",'Raw RetailSalesData'!H576)</f>
        <v>APAC</v>
      </c>
      <c r="I576" t="s">
        <v>151</v>
      </c>
      <c r="J576" t="s">
        <v>188</v>
      </c>
      <c r="K576" t="str">
        <f>TRIM('Raw RetailSalesData'!K576)</f>
        <v>Sales Rep 5</v>
      </c>
      <c r="L576" t="s">
        <v>31</v>
      </c>
    </row>
    <row r="577" spans="1:12" x14ac:dyDescent="0.3">
      <c r="A577" t="str">
        <f>IF(COUNTIF('Raw RetailSalesData'!$A:$L,'Raw RetailSalesData'!A577)=1,'Raw RetailSalesData'!A577,"")</f>
        <v>ORD-10632</v>
      </c>
      <c r="B577" t="str">
        <f>IF('Raw RetailSalesData'!B577="","UNKNOWN",'Raw RetailSalesData'!B577)</f>
        <v>2025-11-22</v>
      </c>
      <c r="C577" t="str">
        <f>IF('Raw RetailSalesData'!C577="","UNKNOW",'Raw RetailSalesData'!C577)</f>
        <v>CUST-1129</v>
      </c>
      <c r="D577" t="str">
        <f>IF('Raw RetailSalesData'!D577="","UNKNOW",'Raw RetailSalesData'!D577)</f>
        <v>C301</v>
      </c>
      <c r="E577" s="5">
        <f>IF('Raw RetailSalesData'!E577="",'Raw RetailSalesData'!F577/'Raw RetailSalesData'!G577,'Raw RetailSalesData'!E577)</f>
        <v>11</v>
      </c>
      <c r="F577" s="7">
        <f>IF('Raw RetailSalesData'!F577="",'Raw RetailSalesData'!G577/'Raw RetailSalesData'!E577,'Raw RetailSalesData'!F577)</f>
        <v>55</v>
      </c>
      <c r="G577" s="7">
        <f t="shared" si="8"/>
        <v>605</v>
      </c>
      <c r="H577" s="5" t="str">
        <f>IF('Raw RetailSalesData'!H577="","Unknown",'Raw RetailSalesData'!H577)</f>
        <v>APAC</v>
      </c>
      <c r="I577" t="s">
        <v>71</v>
      </c>
      <c r="J577" t="s">
        <v>72</v>
      </c>
      <c r="K577" t="str">
        <f>TRIM('Raw RetailSalesData'!K577)</f>
        <v>Hiroshi Tanaka</v>
      </c>
      <c r="L577" t="s">
        <v>21</v>
      </c>
    </row>
    <row r="578" spans="1:12" x14ac:dyDescent="0.3">
      <c r="A578" t="str">
        <f>IF(COUNTIF('Raw RetailSalesData'!$A:$L,'Raw RetailSalesData'!A578)=1,'Raw RetailSalesData'!A578,"")</f>
        <v>ORD-10633</v>
      </c>
      <c r="B578" t="str">
        <f>IF('Raw RetailSalesData'!B578="","UNKNOWN",'Raw RetailSalesData'!B578)</f>
        <v>2024-07-09</v>
      </c>
      <c r="C578" t="str">
        <f>IF('Raw RetailSalesData'!C578="","UNKNOW",'Raw RetailSalesData'!C578)</f>
        <v>CUST-1130</v>
      </c>
      <c r="D578" t="str">
        <f>IF('Raw RetailSalesData'!D578="","UNKNOW",'Raw RetailSalesData'!D578)</f>
        <v>C304</v>
      </c>
      <c r="E578" s="5">
        <f>IF('Raw RetailSalesData'!E578="",'Raw RetailSalesData'!F578/'Raw RetailSalesData'!G578,'Raw RetailSalesData'!E578)</f>
        <v>2</v>
      </c>
      <c r="F578" s="7">
        <f>IF('Raw RetailSalesData'!F578="",'Raw RetailSalesData'!G578/'Raw RetailSalesData'!E578,'Raw RetailSalesData'!F578)</f>
        <v>63</v>
      </c>
      <c r="G578" s="7">
        <f t="shared" si="8"/>
        <v>126</v>
      </c>
      <c r="H578" s="5" t="str">
        <f>IF('Raw RetailSalesData'!H578="","Unknown",'Raw RetailSalesData'!H578)</f>
        <v>NA</v>
      </c>
      <c r="I578" t="s">
        <v>100</v>
      </c>
      <c r="J578" t="s">
        <v>101</v>
      </c>
      <c r="K578" t="str">
        <f>TRIM('Raw RetailSalesData'!K578)</f>
        <v>Sales Rep 1</v>
      </c>
      <c r="L578" t="s">
        <v>46</v>
      </c>
    </row>
    <row r="579" spans="1:12" x14ac:dyDescent="0.3">
      <c r="A579" t="str">
        <f>IF(COUNTIF('Raw RetailSalesData'!$A:$L,'Raw RetailSalesData'!A579)=1,'Raw RetailSalesData'!A579,"")</f>
        <v>ORD-10634</v>
      </c>
      <c r="B579" t="str">
        <f>IF('Raw RetailSalesData'!B579="","UNKNOWN",'Raw RetailSalesData'!B579)</f>
        <v>2023-10-10</v>
      </c>
      <c r="C579" t="str">
        <f>IF('Raw RetailSalesData'!C579="","UNKNOW",'Raw RetailSalesData'!C579)</f>
        <v>CUST-1011</v>
      </c>
      <c r="D579" t="str">
        <f>IF('Raw RetailSalesData'!D579="","UNKNOW",'Raw RetailSalesData'!D579)</f>
        <v>C303</v>
      </c>
      <c r="E579" s="5">
        <f>IF('Raw RetailSalesData'!E579="",'Raw RetailSalesData'!F579/'Raw RetailSalesData'!G579,'Raw RetailSalesData'!E579)</f>
        <v>17</v>
      </c>
      <c r="F579" s="7">
        <f>IF('Raw RetailSalesData'!F579="",'Raw RetailSalesData'!G579/'Raw RetailSalesData'!E579,'Raw RetailSalesData'!F579)</f>
        <v>65</v>
      </c>
      <c r="G579" s="7">
        <f t="shared" ref="G579:G642" si="9">F579*E579</f>
        <v>1105</v>
      </c>
      <c r="H579" s="5" t="str">
        <f>IF('Raw RetailSalesData'!H579="","Unknown",'Raw RetailSalesData'!H579)</f>
        <v>NA</v>
      </c>
      <c r="I579" t="s">
        <v>28</v>
      </c>
      <c r="J579" t="s">
        <v>29</v>
      </c>
      <c r="K579" t="str">
        <f>TRIM('Raw RetailSalesData'!K579)</f>
        <v>Sales Rep 4</v>
      </c>
      <c r="L579" t="s">
        <v>31</v>
      </c>
    </row>
    <row r="580" spans="1:12" x14ac:dyDescent="0.3">
      <c r="A580" t="str">
        <f>IF(COUNTIF('Raw RetailSalesData'!$A:$L,'Raw RetailSalesData'!A580)=1,'Raw RetailSalesData'!A580,"")</f>
        <v>ORD-10635</v>
      </c>
      <c r="B580" t="str">
        <f>IF('Raw RetailSalesData'!B580="","UNKNOWN",'Raw RetailSalesData'!B580)</f>
        <v>2024-01-22</v>
      </c>
      <c r="C580" t="str">
        <f>IF('Raw RetailSalesData'!C580="","UNKNOW",'Raw RetailSalesData'!C580)</f>
        <v>CUST-1028</v>
      </c>
      <c r="D580" t="str">
        <f>IF('Raw RetailSalesData'!D580="","UNKNOW",'Raw RetailSalesData'!D580)</f>
        <v>P101</v>
      </c>
      <c r="E580" s="5">
        <f>IF('Raw RetailSalesData'!E580="",'Raw RetailSalesData'!F580/'Raw RetailSalesData'!G580,'Raw RetailSalesData'!E580)</f>
        <v>20</v>
      </c>
      <c r="F580" s="7">
        <f>IF('Raw RetailSalesData'!F580="",'Raw RetailSalesData'!G580/'Raw RetailSalesData'!E580,'Raw RetailSalesData'!F580)</f>
        <v>85</v>
      </c>
      <c r="G580" s="7">
        <f t="shared" si="9"/>
        <v>1700</v>
      </c>
      <c r="H580" s="5" t="str">
        <f>IF('Raw RetailSalesData'!H580="","Unknown",'Raw RetailSalesData'!H580)</f>
        <v>APAC</v>
      </c>
      <c r="I580" t="s">
        <v>151</v>
      </c>
      <c r="J580" t="s">
        <v>188</v>
      </c>
      <c r="K580" t="str">
        <f>TRIM('Raw RetailSalesData'!K580)</f>
        <v>Sales Rep 2</v>
      </c>
      <c r="L580" t="s">
        <v>46</v>
      </c>
    </row>
    <row r="581" spans="1:12" x14ac:dyDescent="0.3">
      <c r="A581" t="str">
        <f>IF(COUNTIF('Raw RetailSalesData'!$A:$L,'Raw RetailSalesData'!A581)=1,'Raw RetailSalesData'!A581,"")</f>
        <v>ORD-10636</v>
      </c>
      <c r="B581" t="str">
        <f>IF('Raw RetailSalesData'!B581="","UNKNOWN",'Raw RetailSalesData'!B581)</f>
        <v>2025-10-07</v>
      </c>
      <c r="C581" t="str">
        <f>IF('Raw RetailSalesData'!C581="","UNKNOW",'Raw RetailSalesData'!C581)</f>
        <v>CUST-1116</v>
      </c>
      <c r="D581" t="str">
        <f>IF('Raw RetailSalesData'!D581="","UNKNOW",'Raw RetailSalesData'!D581)</f>
        <v>P202</v>
      </c>
      <c r="E581" s="5">
        <f>IF('Raw RetailSalesData'!E581="",'Raw RetailSalesData'!F581/'Raw RetailSalesData'!G581,'Raw RetailSalesData'!E581)</f>
        <v>18</v>
      </c>
      <c r="F581" s="7">
        <f>IF('Raw RetailSalesData'!F581="",'Raw RetailSalesData'!G581/'Raw RetailSalesData'!E581,'Raw RetailSalesData'!F581)</f>
        <v>65</v>
      </c>
      <c r="G581" s="7">
        <f t="shared" si="9"/>
        <v>1170</v>
      </c>
      <c r="H581" s="5" t="str">
        <f>IF('Raw RetailSalesData'!H581="","Unknown",'Raw RetailSalesData'!H581)</f>
        <v>EMEA</v>
      </c>
      <c r="I581" t="s">
        <v>38</v>
      </c>
      <c r="J581" t="s">
        <v>39</v>
      </c>
      <c r="K581" t="str">
        <f>TRIM('Raw RetailSalesData'!K581)</f>
        <v>Sales Rep 1</v>
      </c>
      <c r="L581" t="s">
        <v>46</v>
      </c>
    </row>
    <row r="582" spans="1:12" x14ac:dyDescent="0.3">
      <c r="A582" t="str">
        <f>IF(COUNTIF('Raw RetailSalesData'!$A:$L,'Raw RetailSalesData'!A582)=1,'Raw RetailSalesData'!A582,"")</f>
        <v>ORD-10637</v>
      </c>
      <c r="B582" t="str">
        <f>IF('Raw RetailSalesData'!B582="","UNKNOWN",'Raw RetailSalesData'!B582)</f>
        <v>2024-01-17</v>
      </c>
      <c r="C582" t="str">
        <f>IF('Raw RetailSalesData'!C582="","UNKNOW",'Raw RetailSalesData'!C582)</f>
        <v>CUST-1133</v>
      </c>
      <c r="D582" t="str">
        <f>IF('Raw RetailSalesData'!D582="","UNKNOW",'Raw RetailSalesData'!D582)</f>
        <v>C302</v>
      </c>
      <c r="E582" s="5">
        <f>IF('Raw RetailSalesData'!E582="",'Raw RetailSalesData'!F582/'Raw RetailSalesData'!G582,'Raw RetailSalesData'!E582)</f>
        <v>3</v>
      </c>
      <c r="F582" s="7">
        <f>IF('Raw RetailSalesData'!F582="",'Raw RetailSalesData'!G582/'Raw RetailSalesData'!E582,'Raw RetailSalesData'!F582)</f>
        <v>45</v>
      </c>
      <c r="G582" s="7">
        <f t="shared" si="9"/>
        <v>135</v>
      </c>
      <c r="H582" s="5" t="str">
        <f>IF('Raw RetailSalesData'!H582="","Unknown",'Raw RetailSalesData'!H582)</f>
        <v>LATAM</v>
      </c>
      <c r="I582" t="s">
        <v>18</v>
      </c>
      <c r="J582" t="s">
        <v>2197</v>
      </c>
      <c r="K582" t="str">
        <f>TRIM('Raw RetailSalesData'!K582)</f>
        <v>Sales Rep 5</v>
      </c>
      <c r="L582" t="s">
        <v>46</v>
      </c>
    </row>
    <row r="583" spans="1:12" x14ac:dyDescent="0.3">
      <c r="A583" t="str">
        <f>IF(COUNTIF('Raw RetailSalesData'!$A:$L,'Raw RetailSalesData'!A583)=1,'Raw RetailSalesData'!A583,"")</f>
        <v>ORD-10638</v>
      </c>
      <c r="B583" t="str">
        <f>IF('Raw RetailSalesData'!B583="","UNKNOWN",'Raw RetailSalesData'!B583)</f>
        <v>2023-02-07</v>
      </c>
      <c r="C583" t="str">
        <f>IF('Raw RetailSalesData'!C583="","UNKNOW",'Raw RetailSalesData'!C583)</f>
        <v>CUST-1149</v>
      </c>
      <c r="D583" t="str">
        <f>IF('Raw RetailSalesData'!D583="","UNKNOW",'Raw RetailSalesData'!D583)</f>
        <v>P101</v>
      </c>
      <c r="E583" s="5">
        <f>IF('Raw RetailSalesData'!E583="",'Raw RetailSalesData'!F583/'Raw RetailSalesData'!G583,'Raw RetailSalesData'!E583)</f>
        <v>19</v>
      </c>
      <c r="F583" s="7">
        <f>IF('Raw RetailSalesData'!F583="",'Raw RetailSalesData'!G583/'Raw RetailSalesData'!E583,'Raw RetailSalesData'!F583)</f>
        <v>80</v>
      </c>
      <c r="G583" s="7">
        <f t="shared" si="9"/>
        <v>1520</v>
      </c>
      <c r="H583" s="5" t="str">
        <f>IF('Raw RetailSalesData'!H583="","Unknown",'Raw RetailSalesData'!H583)</f>
        <v>LATAM</v>
      </c>
      <c r="I583" t="s">
        <v>18</v>
      </c>
      <c r="J583" t="s">
        <v>2197</v>
      </c>
      <c r="K583" t="str">
        <f>TRIM('Raw RetailSalesData'!K583)</f>
        <v>Sales Rep 5</v>
      </c>
      <c r="L583" t="s">
        <v>21</v>
      </c>
    </row>
    <row r="584" spans="1:12" x14ac:dyDescent="0.3">
      <c r="A584" t="str">
        <f>IF(COUNTIF('Raw RetailSalesData'!$A:$L,'Raw RetailSalesData'!A584)=1,'Raw RetailSalesData'!A584,"")</f>
        <v>ORD-10639</v>
      </c>
      <c r="B584" t="str">
        <f>IF('Raw RetailSalesData'!B584="","UNKNOWN",'Raw RetailSalesData'!B584)</f>
        <v>2026-01-20</v>
      </c>
      <c r="C584" t="str">
        <f>IF('Raw RetailSalesData'!C584="","UNKNOW",'Raw RetailSalesData'!C584)</f>
        <v>CUST-1188</v>
      </c>
      <c r="D584" t="str">
        <f>IF('Raw RetailSalesData'!D584="","UNKNOW",'Raw RetailSalesData'!D584)</f>
        <v>C304</v>
      </c>
      <c r="E584" s="5">
        <f>IF('Raw RetailSalesData'!E584="",'Raw RetailSalesData'!F584/'Raw RetailSalesData'!G584,'Raw RetailSalesData'!E584)</f>
        <v>16</v>
      </c>
      <c r="F584" s="7">
        <f>IF('Raw RetailSalesData'!F584="",'Raw RetailSalesData'!G584/'Raw RetailSalesData'!E584,'Raw RetailSalesData'!F584)</f>
        <v>53</v>
      </c>
      <c r="G584" s="7">
        <f t="shared" si="9"/>
        <v>848</v>
      </c>
      <c r="H584" s="5" t="str">
        <f>IF('Raw RetailSalesData'!H584="","Unknown",'Raw RetailSalesData'!H584)</f>
        <v>LATAM</v>
      </c>
      <c r="I584" t="s">
        <v>90</v>
      </c>
      <c r="J584" t="s">
        <v>2198</v>
      </c>
      <c r="K584" t="str">
        <f>TRIM('Raw RetailSalesData'!K584)</f>
        <v>Sales Rep 3</v>
      </c>
      <c r="L584" t="s">
        <v>46</v>
      </c>
    </row>
    <row r="585" spans="1:12" x14ac:dyDescent="0.3">
      <c r="A585" t="str">
        <f>IF(COUNTIF('Raw RetailSalesData'!$A:$L,'Raw RetailSalesData'!A585)=1,'Raw RetailSalesData'!A585,"")</f>
        <v>ORD-10641</v>
      </c>
      <c r="B585" t="str">
        <f>IF('Raw RetailSalesData'!B585="","UNKNOWN",'Raw RetailSalesData'!B585)</f>
        <v>2026-01-20</v>
      </c>
      <c r="C585" t="str">
        <f>IF('Raw RetailSalesData'!C585="","UNKNOW",'Raw RetailSalesData'!C585)</f>
        <v>CUST-1188</v>
      </c>
      <c r="D585" t="str">
        <f>IF('Raw RetailSalesData'!D585="","UNKNOW",'Raw RetailSalesData'!D585)</f>
        <v>C304</v>
      </c>
      <c r="E585" s="5">
        <f>IF('Raw RetailSalesData'!E585="",'Raw RetailSalesData'!F585/'Raw RetailSalesData'!G585,'Raw RetailSalesData'!E585)</f>
        <v>16</v>
      </c>
      <c r="F585" s="7">
        <f>IF('Raw RetailSalesData'!F585="",'Raw RetailSalesData'!G585/'Raw RetailSalesData'!E585,'Raw RetailSalesData'!F585)</f>
        <v>53</v>
      </c>
      <c r="G585" s="7">
        <f t="shared" si="9"/>
        <v>848</v>
      </c>
      <c r="H585" s="5" t="str">
        <f>IF('Raw RetailSalesData'!H585="","Unknown",'Raw RetailSalesData'!H585)</f>
        <v>LATAM</v>
      </c>
      <c r="I585" t="s">
        <v>90</v>
      </c>
      <c r="J585" t="s">
        <v>2198</v>
      </c>
      <c r="K585" t="str">
        <f>TRIM('Raw RetailSalesData'!K585)</f>
        <v>Sales Rep 3</v>
      </c>
      <c r="L585" t="s">
        <v>46</v>
      </c>
    </row>
    <row r="586" spans="1:12" x14ac:dyDescent="0.3">
      <c r="A586" t="str">
        <f>IF(COUNTIF('Raw RetailSalesData'!$A:$L,'Raw RetailSalesData'!A586)=1,'Raw RetailSalesData'!A586,"")</f>
        <v>ORD-10642</v>
      </c>
      <c r="B586" t="str">
        <f>IF('Raw RetailSalesData'!B586="","UNKNOWN",'Raw RetailSalesData'!B586)</f>
        <v>2026-09-26</v>
      </c>
      <c r="C586" t="str">
        <f>IF('Raw RetailSalesData'!C586="","UNKNOW",'Raw RetailSalesData'!C586)</f>
        <v>CUST-1081</v>
      </c>
      <c r="D586" t="str">
        <f>IF('Raw RetailSalesData'!D586="","UNKNOW",'Raw RetailSalesData'!D586)</f>
        <v>C301</v>
      </c>
      <c r="E586" s="5">
        <f>IF('Raw RetailSalesData'!E586="",'Raw RetailSalesData'!F586/'Raw RetailSalesData'!G586,'Raw RetailSalesData'!E586)</f>
        <v>10</v>
      </c>
      <c r="F586" s="7">
        <f>IF('Raw RetailSalesData'!F586="",'Raw RetailSalesData'!G586/'Raw RetailSalesData'!E586,'Raw RetailSalesData'!F586)</f>
        <v>55</v>
      </c>
      <c r="G586" s="7">
        <f t="shared" si="9"/>
        <v>550</v>
      </c>
      <c r="H586" s="5" t="str">
        <f>IF('Raw RetailSalesData'!H586="","Unknown",'Raw RetailSalesData'!H586)</f>
        <v>EMEA</v>
      </c>
      <c r="I586" t="s">
        <v>83</v>
      </c>
      <c r="J586" t="s">
        <v>84</v>
      </c>
      <c r="K586" t="str">
        <f>TRIM('Raw RetailSalesData'!K586)</f>
        <v>John Smith</v>
      </c>
      <c r="L586" t="s">
        <v>46</v>
      </c>
    </row>
    <row r="587" spans="1:12" x14ac:dyDescent="0.3">
      <c r="A587" t="str">
        <f>IF(COUNTIF('Raw RetailSalesData'!$A:$L,'Raw RetailSalesData'!A587)=1,'Raw RetailSalesData'!A587,"")</f>
        <v>ORD-10644</v>
      </c>
      <c r="B587" t="str">
        <f>IF('Raw RetailSalesData'!B587="","UNKNOWN",'Raw RetailSalesData'!B587)</f>
        <v>2024-10-27</v>
      </c>
      <c r="C587" t="str">
        <f>IF('Raw RetailSalesData'!C587="","UNKNOW",'Raw RetailSalesData'!C587)</f>
        <v>CUST-1091</v>
      </c>
      <c r="D587" t="str">
        <f>IF('Raw RetailSalesData'!D587="","UNKNOW",'Raw RetailSalesData'!D587)</f>
        <v>C304</v>
      </c>
      <c r="E587" s="5">
        <f>IF('Raw RetailSalesData'!E587="",'Raw RetailSalesData'!F587/'Raw RetailSalesData'!G587,'Raw RetailSalesData'!E587)</f>
        <v>4</v>
      </c>
      <c r="F587" s="7">
        <f>IF('Raw RetailSalesData'!F587="",'Raw RetailSalesData'!G587/'Raw RetailSalesData'!E587,'Raw RetailSalesData'!F587)</f>
        <v>58</v>
      </c>
      <c r="G587" s="7">
        <f t="shared" si="9"/>
        <v>232</v>
      </c>
      <c r="H587" s="5" t="str">
        <f>IF('Raw RetailSalesData'!H587="","Unknown",'Raw RetailSalesData'!H587)</f>
        <v>EMEA</v>
      </c>
      <c r="I587" t="s">
        <v>83</v>
      </c>
      <c r="J587" t="s">
        <v>84</v>
      </c>
      <c r="K587" t="str">
        <f>TRIM('Raw RetailSalesData'!K587)</f>
        <v>John Smith</v>
      </c>
      <c r="L587" t="s">
        <v>46</v>
      </c>
    </row>
    <row r="588" spans="1:12" x14ac:dyDescent="0.3">
      <c r="A588" t="str">
        <f>IF(COUNTIF('Raw RetailSalesData'!$A:$L,'Raw RetailSalesData'!A588)=1,'Raw RetailSalesData'!A588,"")</f>
        <v>ORD-10645</v>
      </c>
      <c r="B588" t="str">
        <f>IF('Raw RetailSalesData'!B588="","UNKNOWN",'Raw RetailSalesData'!B588)</f>
        <v>2022-04-24</v>
      </c>
      <c r="C588" t="str">
        <f>IF('Raw RetailSalesData'!C588="","UNKNOW",'Raw RetailSalesData'!C588)</f>
        <v>UNKNOW</v>
      </c>
      <c r="D588" t="str">
        <f>IF('Raw RetailSalesData'!D588="","UNKNOW",'Raw RetailSalesData'!D588)</f>
        <v>P203</v>
      </c>
      <c r="E588" s="5">
        <f>IF('Raw RetailSalesData'!E588="",'Raw RetailSalesData'!F588/'Raw RetailSalesData'!G588,'Raw RetailSalesData'!E588)</f>
        <v>14</v>
      </c>
      <c r="F588" s="7">
        <f>IF('Raw RetailSalesData'!F588="",'Raw RetailSalesData'!G588/'Raw RetailSalesData'!E588,'Raw RetailSalesData'!F588)</f>
        <v>68</v>
      </c>
      <c r="G588" s="7">
        <f t="shared" si="9"/>
        <v>952</v>
      </c>
      <c r="H588" s="5" t="str">
        <f>IF('Raw RetailSalesData'!H588="","Unknown",'Raw RetailSalesData'!H588)</f>
        <v xml:space="preserve"> EMEA </v>
      </c>
      <c r="I588" t="s">
        <v>83</v>
      </c>
      <c r="J588" t="s">
        <v>84</v>
      </c>
      <c r="K588" t="str">
        <f>TRIM('Raw RetailSalesData'!K588)</f>
        <v>John Smith</v>
      </c>
      <c r="L588" t="s">
        <v>2190</v>
      </c>
    </row>
    <row r="589" spans="1:12" x14ac:dyDescent="0.3">
      <c r="A589" t="str">
        <f>IF(COUNTIF('Raw RetailSalesData'!$A:$L,'Raw RetailSalesData'!A589)=1,'Raw RetailSalesData'!A589,"")</f>
        <v>ORD-10646</v>
      </c>
      <c r="B589" t="str">
        <f>IF('Raw RetailSalesData'!B589="","UNKNOWN",'Raw RetailSalesData'!B589)</f>
        <v>2022-04-06</v>
      </c>
      <c r="C589" t="str">
        <f>IF('Raw RetailSalesData'!C589="","UNKNOW",'Raw RetailSalesData'!C589)</f>
        <v>CUST-1033</v>
      </c>
      <c r="D589" t="str">
        <f>IF('Raw RetailSalesData'!D589="","UNKNOW",'Raw RetailSalesData'!D589)</f>
        <v>C302</v>
      </c>
      <c r="E589" s="5">
        <f>IF('Raw RetailSalesData'!E589="",'Raw RetailSalesData'!F589/'Raw RetailSalesData'!G589,'Raw RetailSalesData'!E589)</f>
        <v>11</v>
      </c>
      <c r="F589" s="7">
        <f>IF('Raw RetailSalesData'!F589="",'Raw RetailSalesData'!G589/'Raw RetailSalesData'!E589,'Raw RetailSalesData'!F589)</f>
        <v>50</v>
      </c>
      <c r="G589" s="7">
        <f t="shared" si="9"/>
        <v>550</v>
      </c>
      <c r="H589" s="5" t="str">
        <f>IF('Raw RetailSalesData'!H589="","Unknown",'Raw RetailSalesData'!H589)</f>
        <v>EMEA</v>
      </c>
      <c r="I589" t="s">
        <v>225</v>
      </c>
      <c r="J589" t="s">
        <v>226</v>
      </c>
      <c r="K589" t="str">
        <f>TRIM('Raw RetailSalesData'!K589)</f>
        <v>Sales Rep 3</v>
      </c>
      <c r="L589" t="s">
        <v>46</v>
      </c>
    </row>
    <row r="590" spans="1:12" x14ac:dyDescent="0.3">
      <c r="A590" t="str">
        <f>IF(COUNTIF('Raw RetailSalesData'!$A:$L,'Raw RetailSalesData'!A590)=1,'Raw RetailSalesData'!A590,"")</f>
        <v>ORD-10647</v>
      </c>
      <c r="B590" t="str">
        <f>IF('Raw RetailSalesData'!B590="","UNKNOWN",'Raw RetailSalesData'!B590)</f>
        <v>2023-04-11</v>
      </c>
      <c r="C590" t="str">
        <f>IF('Raw RetailSalesData'!C590="","UNKNOW",'Raw RetailSalesData'!C590)</f>
        <v>CUST-1167</v>
      </c>
      <c r="D590" t="str">
        <f>IF('Raw RetailSalesData'!D590="","UNKNOW",'Raw RetailSalesData'!D590)</f>
        <v>P202</v>
      </c>
      <c r="E590" s="5">
        <f>IF('Raw RetailSalesData'!E590="",'Raw RetailSalesData'!F590/'Raw RetailSalesData'!G590,'Raw RetailSalesData'!E590)</f>
        <v>11</v>
      </c>
      <c r="F590" s="7">
        <f>IF('Raw RetailSalesData'!F590="",'Raw RetailSalesData'!G590/'Raw RetailSalesData'!E590,'Raw RetailSalesData'!F590)</f>
        <v>65</v>
      </c>
      <c r="G590" s="7">
        <f t="shared" si="9"/>
        <v>715</v>
      </c>
      <c r="H590" s="5" t="str">
        <f>IF('Raw RetailSalesData'!H590="","Unknown",'Raw RetailSalesData'!H590)</f>
        <v>APAC</v>
      </c>
      <c r="I590" t="s">
        <v>183</v>
      </c>
      <c r="J590" t="s">
        <v>184</v>
      </c>
      <c r="K590" t="str">
        <f>TRIM('Raw RetailSalesData'!K590)</f>
        <v>Sales Rep 4</v>
      </c>
      <c r="L590" t="s">
        <v>21</v>
      </c>
    </row>
    <row r="591" spans="1:12" x14ac:dyDescent="0.3">
      <c r="A591" t="str">
        <f>IF(COUNTIF('Raw RetailSalesData'!$A:$L,'Raw RetailSalesData'!A591)=1,'Raw RetailSalesData'!A591,"")</f>
        <v>ORD-10648</v>
      </c>
      <c r="B591" t="str">
        <f>IF('Raw RetailSalesData'!B591="","UNKNOWN",'Raw RetailSalesData'!B591)</f>
        <v>2026-07-12</v>
      </c>
      <c r="C591" t="str">
        <f>IF('Raw RetailSalesData'!C591="","UNKNOW",'Raw RetailSalesData'!C591)</f>
        <v>CUST-1135</v>
      </c>
      <c r="D591" t="str">
        <f>IF('Raw RetailSalesData'!D591="","UNKNOW",'Raw RetailSalesData'!D591)</f>
        <v>C303</v>
      </c>
      <c r="E591" s="5">
        <f>IF('Raw RetailSalesData'!E591="",'Raw RetailSalesData'!F591/'Raw RetailSalesData'!G591,'Raw RetailSalesData'!E591)</f>
        <v>3</v>
      </c>
      <c r="F591" s="7">
        <f>IF('Raw RetailSalesData'!F591="",'Raw RetailSalesData'!G591/'Raw RetailSalesData'!E591,'Raw RetailSalesData'!F591)</f>
        <v>60</v>
      </c>
      <c r="G591" s="7">
        <f t="shared" si="9"/>
        <v>180</v>
      </c>
      <c r="H591" s="5" t="str">
        <f>IF('Raw RetailSalesData'!H591="","Unknown",'Raw RetailSalesData'!H591)</f>
        <v>EMEA</v>
      </c>
      <c r="I591" t="s">
        <v>225</v>
      </c>
      <c r="J591" t="s">
        <v>226</v>
      </c>
      <c r="K591" t="str">
        <f>TRIM('Raw RetailSalesData'!K591)</f>
        <v>Sales Rep 4</v>
      </c>
      <c r="L591" t="s">
        <v>21</v>
      </c>
    </row>
    <row r="592" spans="1:12" x14ac:dyDescent="0.3">
      <c r="A592" t="str">
        <f>IF(COUNTIF('Raw RetailSalesData'!$A:$L,'Raw RetailSalesData'!A592)=1,'Raw RetailSalesData'!A592,"")</f>
        <v>ORD-10649</v>
      </c>
      <c r="B592" t="str">
        <f>IF('Raw RetailSalesData'!B592="","UNKNOWN",'Raw RetailSalesData'!B592)</f>
        <v>2023-03-25</v>
      </c>
      <c r="C592" t="str">
        <f>IF('Raw RetailSalesData'!C592="","UNKNOW",'Raw RetailSalesData'!C592)</f>
        <v>CUST-1060</v>
      </c>
      <c r="D592" t="str">
        <f>IF('Raw RetailSalesData'!D592="","UNKNOW",'Raw RetailSalesData'!D592)</f>
        <v>P201</v>
      </c>
      <c r="E592" s="5">
        <f>IF('Raw RetailSalesData'!E592="",'Raw RetailSalesData'!F592/'Raw RetailSalesData'!G592,'Raw RetailSalesData'!E592)</f>
        <v>11</v>
      </c>
      <c r="F592" s="7">
        <f>IF('Raw RetailSalesData'!F592="",'Raw RetailSalesData'!G592/'Raw RetailSalesData'!E592,'Raw RetailSalesData'!F592)</f>
        <v>65</v>
      </c>
      <c r="G592" s="7">
        <f t="shared" si="9"/>
        <v>715</v>
      </c>
      <c r="H592" s="5" t="str">
        <f>IF('Raw RetailSalesData'!H592="","Unknown",'Raw RetailSalesData'!H592)</f>
        <v>LATAM</v>
      </c>
      <c r="I592" t="s">
        <v>18</v>
      </c>
      <c r="J592" t="s">
        <v>2197</v>
      </c>
      <c r="K592" t="str">
        <f>TRIM('Raw RetailSalesData'!K592)</f>
        <v>Sales Rep 3</v>
      </c>
      <c r="L592" t="s">
        <v>21</v>
      </c>
    </row>
    <row r="593" spans="1:12" x14ac:dyDescent="0.3">
      <c r="A593" t="str">
        <f>IF(COUNTIF('Raw RetailSalesData'!$A:$L,'Raw RetailSalesData'!A593)=1,'Raw RetailSalesData'!A593,"")</f>
        <v>ORD-10651</v>
      </c>
      <c r="B593" t="str">
        <f>IF('Raw RetailSalesData'!B593="","UNKNOWN",'Raw RetailSalesData'!B593)</f>
        <v>2023-04-04</v>
      </c>
      <c r="C593" t="str">
        <f>IF('Raw RetailSalesData'!C593="","UNKNOW",'Raw RetailSalesData'!C593)</f>
        <v>CUST-1073</v>
      </c>
      <c r="D593" t="str">
        <f>IF('Raw RetailSalesData'!D593="","UNKNOW",'Raw RetailSalesData'!D593)</f>
        <v>P102</v>
      </c>
      <c r="E593" s="5">
        <f>IF('Raw RetailSalesData'!E593="",'Raw RetailSalesData'!F593/'Raw RetailSalesData'!G593,'Raw RetailSalesData'!E593)</f>
        <v>6</v>
      </c>
      <c r="F593" s="7">
        <f>IF('Raw RetailSalesData'!F593="",'Raw RetailSalesData'!G593/'Raw RetailSalesData'!E593,'Raw RetailSalesData'!F593)</f>
        <v>75</v>
      </c>
      <c r="G593" s="7">
        <f t="shared" si="9"/>
        <v>450</v>
      </c>
      <c r="H593" s="5" t="str">
        <f>IF('Raw RetailSalesData'!H593="","Unknown",'Raw RetailSalesData'!H593)</f>
        <v>LATAM</v>
      </c>
      <c r="I593" t="s">
        <v>2190</v>
      </c>
      <c r="J593" t="s">
        <v>2198</v>
      </c>
      <c r="K593" t="str">
        <f>TRIM('Raw RetailSalesData'!K593)</f>
        <v>Sales Rep 4</v>
      </c>
      <c r="L593" t="s">
        <v>21</v>
      </c>
    </row>
    <row r="594" spans="1:12" x14ac:dyDescent="0.3">
      <c r="A594" t="str">
        <f>IF(COUNTIF('Raw RetailSalesData'!$A:$L,'Raw RetailSalesData'!A594)=1,'Raw RetailSalesData'!A594,"")</f>
        <v>ORD-10652</v>
      </c>
      <c r="B594" t="str">
        <f>IF('Raw RetailSalesData'!B594="","UNKNOWN",'Raw RetailSalesData'!B594)</f>
        <v>2024-08-14</v>
      </c>
      <c r="C594" t="str">
        <f>IF('Raw RetailSalesData'!C594="","UNKNOW",'Raw RetailSalesData'!C594)</f>
        <v>CUST-1129</v>
      </c>
      <c r="D594" t="str">
        <f>IF('Raw RetailSalesData'!D594="","UNKNOW",'Raw RetailSalesData'!D594)</f>
        <v>P101</v>
      </c>
      <c r="E594" s="5">
        <f>IF('Raw RetailSalesData'!E594="",'Raw RetailSalesData'!F594/'Raw RetailSalesData'!G594,'Raw RetailSalesData'!E594)</f>
        <v>1</v>
      </c>
      <c r="F594" s="7">
        <f>IF('Raw RetailSalesData'!F594="",'Raw RetailSalesData'!G594/'Raw RetailSalesData'!E594,'Raw RetailSalesData'!F594)</f>
        <v>85</v>
      </c>
      <c r="G594" s="7">
        <f t="shared" si="9"/>
        <v>85</v>
      </c>
      <c r="H594" s="5" t="str">
        <f>IF('Raw RetailSalesData'!H594="","Unknown",'Raw RetailSalesData'!H594)</f>
        <v>EMEA</v>
      </c>
      <c r="I594" t="s">
        <v>83</v>
      </c>
      <c r="J594" t="s">
        <v>84</v>
      </c>
      <c r="K594" t="str">
        <f>TRIM('Raw RetailSalesData'!K594)</f>
        <v>John Smith</v>
      </c>
      <c r="L594" t="s">
        <v>21</v>
      </c>
    </row>
    <row r="595" spans="1:12" x14ac:dyDescent="0.3">
      <c r="A595" t="str">
        <f>IF(COUNTIF('Raw RetailSalesData'!$A:$L,'Raw RetailSalesData'!A595)=1,'Raw RetailSalesData'!A595,"")</f>
        <v>ORD-10653</v>
      </c>
      <c r="B595" t="str">
        <f>IF('Raw RetailSalesData'!B595="","UNKNOWN",'Raw RetailSalesData'!B595)</f>
        <v>2022-01-12</v>
      </c>
      <c r="C595" t="str">
        <f>IF('Raw RetailSalesData'!C595="","UNKNOW",'Raw RetailSalesData'!C595)</f>
        <v>CUST-1136</v>
      </c>
      <c r="D595" t="str">
        <f>IF('Raw RetailSalesData'!D595="","UNKNOW",'Raw RetailSalesData'!D595)</f>
        <v>P102</v>
      </c>
      <c r="E595" s="5">
        <f>IF('Raw RetailSalesData'!E595="",'Raw RetailSalesData'!F595/'Raw RetailSalesData'!G595,'Raw RetailSalesData'!E595)</f>
        <v>13</v>
      </c>
      <c r="F595" s="7">
        <f>IF('Raw RetailSalesData'!F595="",'Raw RetailSalesData'!G595/'Raw RetailSalesData'!E595,'Raw RetailSalesData'!F595)</f>
        <v>75</v>
      </c>
      <c r="G595" s="7">
        <f t="shared" si="9"/>
        <v>975</v>
      </c>
      <c r="H595" s="5" t="str">
        <f>IF('Raw RetailSalesData'!H595="","Unknown",'Raw RetailSalesData'!H595)</f>
        <v>LATAM</v>
      </c>
      <c r="I595" t="s">
        <v>90</v>
      </c>
      <c r="J595" t="s">
        <v>2198</v>
      </c>
      <c r="K595" t="str">
        <f>TRIM('Raw RetailSalesData'!K595)</f>
        <v>Sales Rep 5</v>
      </c>
      <c r="L595" t="s">
        <v>21</v>
      </c>
    </row>
    <row r="596" spans="1:12" x14ac:dyDescent="0.3">
      <c r="A596" t="str">
        <f>IF(COUNTIF('Raw RetailSalesData'!$A:$L,'Raw RetailSalesData'!A596)=1,'Raw RetailSalesData'!A596,"")</f>
        <v>ORD-10654</v>
      </c>
      <c r="B596" t="str">
        <f>IF('Raw RetailSalesData'!B596="","UNKNOWN",'Raw RetailSalesData'!B596)</f>
        <v>2024-12-18</v>
      </c>
      <c r="C596" t="str">
        <f>IF('Raw RetailSalesData'!C596="","UNKNOW",'Raw RetailSalesData'!C596)</f>
        <v>CUST-1118</v>
      </c>
      <c r="D596" t="str">
        <f>IF('Raw RetailSalesData'!D596="","UNKNOW",'Raw RetailSalesData'!D596)</f>
        <v>P102</v>
      </c>
      <c r="E596" s="5">
        <f>IF('Raw RetailSalesData'!E596="",'Raw RetailSalesData'!F596/'Raw RetailSalesData'!G596,'Raw RetailSalesData'!E596)</f>
        <v>1</v>
      </c>
      <c r="F596" s="7">
        <f>IF('Raw RetailSalesData'!F596="",'Raw RetailSalesData'!G596/'Raw RetailSalesData'!E596,'Raw RetailSalesData'!F596)</f>
        <v>80</v>
      </c>
      <c r="G596" s="7">
        <f t="shared" si="9"/>
        <v>80</v>
      </c>
      <c r="H596" s="5" t="str">
        <f>IF('Raw RetailSalesData'!H596="","Unknown",'Raw RetailSalesData'!H596)</f>
        <v>APAC</v>
      </c>
      <c r="I596" t="s">
        <v>71</v>
      </c>
      <c r="J596" t="s">
        <v>72</v>
      </c>
      <c r="K596" t="str">
        <f>TRIM('Raw RetailSalesData'!K596)</f>
        <v>Hiroshi Tanaka</v>
      </c>
      <c r="L596" t="s">
        <v>21</v>
      </c>
    </row>
    <row r="597" spans="1:12" x14ac:dyDescent="0.3">
      <c r="A597" t="str">
        <f>IF(COUNTIF('Raw RetailSalesData'!$A:$L,'Raw RetailSalesData'!A597)=1,'Raw RetailSalesData'!A597,"")</f>
        <v>ORD-10655</v>
      </c>
      <c r="B597" t="str">
        <f>IF('Raw RetailSalesData'!B597="","UNKNOWN",'Raw RetailSalesData'!B597)</f>
        <v>2022-12-27</v>
      </c>
      <c r="C597" t="str">
        <f>IF('Raw RetailSalesData'!C597="","UNKNOW",'Raw RetailSalesData'!C597)</f>
        <v>CUST-1087</v>
      </c>
      <c r="D597" t="str">
        <f>IF('Raw RetailSalesData'!D597="","UNKNOW",'Raw RetailSalesData'!D597)</f>
        <v>C303</v>
      </c>
      <c r="E597" s="5">
        <f>IF('Raw RetailSalesData'!E597="",'Raw RetailSalesData'!F597/'Raw RetailSalesData'!G597,'Raw RetailSalesData'!E597)</f>
        <v>1</v>
      </c>
      <c r="F597" s="7">
        <f>IF('Raw RetailSalesData'!F597="",'Raw RetailSalesData'!G597/'Raw RetailSalesData'!E597,'Raw RetailSalesData'!F597)</f>
        <v>60</v>
      </c>
      <c r="G597" s="7">
        <f t="shared" si="9"/>
        <v>60</v>
      </c>
      <c r="H597" s="5" t="str">
        <f>IF('Raw RetailSalesData'!H597="","Unknown",'Raw RetailSalesData'!H597)</f>
        <v>EMEA</v>
      </c>
      <c r="I597" t="s">
        <v>225</v>
      </c>
      <c r="J597" t="s">
        <v>226</v>
      </c>
      <c r="K597" t="str">
        <f>TRIM('Raw RetailSalesData'!K597)</f>
        <v>Sales Rep 1</v>
      </c>
      <c r="L597" t="s">
        <v>21</v>
      </c>
    </row>
    <row r="598" spans="1:12" x14ac:dyDescent="0.3">
      <c r="A598" t="str">
        <f>IF(COUNTIF('Raw RetailSalesData'!$A:$L,'Raw RetailSalesData'!A598)=1,'Raw RetailSalesData'!A598,"")</f>
        <v>ORD-10656</v>
      </c>
      <c r="B598" t="str">
        <f>IF('Raw RetailSalesData'!B598="","UNKNOWN",'Raw RetailSalesData'!B598)</f>
        <v>2026-01-06</v>
      </c>
      <c r="C598" t="str">
        <f>IF('Raw RetailSalesData'!C598="","UNKNOW",'Raw RetailSalesData'!C598)</f>
        <v>CUST-1051</v>
      </c>
      <c r="D598" t="str">
        <f>IF('Raw RetailSalesData'!D598="","UNKNOW",'Raw RetailSalesData'!D598)</f>
        <v>P103</v>
      </c>
      <c r="E598" s="5">
        <f>IF('Raw RetailSalesData'!E598="",'Raw RetailSalesData'!F598/'Raw RetailSalesData'!G598,'Raw RetailSalesData'!E598)</f>
        <v>12</v>
      </c>
      <c r="F598" s="7">
        <f>IF('Raw RetailSalesData'!F598="",'Raw RetailSalesData'!G598/'Raw RetailSalesData'!E598,'Raw RetailSalesData'!F598)</f>
        <v>95</v>
      </c>
      <c r="G598" s="7">
        <f t="shared" si="9"/>
        <v>1140</v>
      </c>
      <c r="H598" s="5" t="str">
        <f>IF('Raw RetailSalesData'!H598="","Unknown",'Raw RetailSalesData'!H598)</f>
        <v>EMEA</v>
      </c>
      <c r="I598" t="s">
        <v>225</v>
      </c>
      <c r="J598" t="s">
        <v>226</v>
      </c>
      <c r="K598" t="str">
        <f>TRIM('Raw RetailSalesData'!K598)</f>
        <v>Sales Rep 1</v>
      </c>
      <c r="L598" t="s">
        <v>46</v>
      </c>
    </row>
    <row r="599" spans="1:12" x14ac:dyDescent="0.3">
      <c r="A599" t="str">
        <f>IF(COUNTIF('Raw RetailSalesData'!$A:$L,'Raw RetailSalesData'!A599)=1,'Raw RetailSalesData'!A599,"")</f>
        <v>ORD-10657</v>
      </c>
      <c r="B599" t="str">
        <f>IF('Raw RetailSalesData'!B599="","UNKNOWN",'Raw RetailSalesData'!B599)</f>
        <v>2022-07-15</v>
      </c>
      <c r="C599" t="str">
        <f>IF('Raw RetailSalesData'!C599="","UNKNOW",'Raw RetailSalesData'!C599)</f>
        <v>CUST-1061</v>
      </c>
      <c r="D599" t="str">
        <f>IF('Raw RetailSalesData'!D599="","UNKNOW",'Raw RetailSalesData'!D599)</f>
        <v>P201</v>
      </c>
      <c r="E599" s="5">
        <f>IF('Raw RetailSalesData'!E599="",'Raw RetailSalesData'!F599/'Raw RetailSalesData'!G599,'Raw RetailSalesData'!E599)</f>
        <v>9</v>
      </c>
      <c r="F599" s="7">
        <f>IF('Raw RetailSalesData'!F599="",'Raw RetailSalesData'!G599/'Raw RetailSalesData'!E599,'Raw RetailSalesData'!F599)</f>
        <v>70</v>
      </c>
      <c r="G599" s="7">
        <f t="shared" si="9"/>
        <v>630</v>
      </c>
      <c r="H599" s="5" t="str">
        <f>IF('Raw RetailSalesData'!H599="","Unknown",'Raw RetailSalesData'!H599)</f>
        <v>APAC</v>
      </c>
      <c r="I599" t="s">
        <v>151</v>
      </c>
      <c r="J599" t="s">
        <v>152</v>
      </c>
      <c r="K599" t="str">
        <f>TRIM('Raw RetailSalesData'!K599)</f>
        <v>Aarav Patel</v>
      </c>
      <c r="L599" t="s">
        <v>21</v>
      </c>
    </row>
    <row r="600" spans="1:12" x14ac:dyDescent="0.3">
      <c r="A600" t="str">
        <f>IF(COUNTIF('Raw RetailSalesData'!$A:$L,'Raw RetailSalesData'!A600)=1,'Raw RetailSalesData'!A600,"")</f>
        <v>ORD-10658</v>
      </c>
      <c r="B600" t="str">
        <f>IF('Raw RetailSalesData'!B600="","UNKNOWN",'Raw RetailSalesData'!B600)</f>
        <v>2022-04-25</v>
      </c>
      <c r="C600" t="str">
        <f>IF('Raw RetailSalesData'!C600="","UNKNOW",'Raw RetailSalesData'!C600)</f>
        <v>CUST-1175</v>
      </c>
      <c r="D600" t="str">
        <f>IF('Raw RetailSalesData'!D600="","UNKNOW",'Raw RetailSalesData'!D600)</f>
        <v>C304</v>
      </c>
      <c r="E600" s="5">
        <f>IF('Raw RetailSalesData'!E600="",'Raw RetailSalesData'!F600/'Raw RetailSalesData'!G600,'Raw RetailSalesData'!E600)</f>
        <v>12</v>
      </c>
      <c r="F600" s="7">
        <f>IF('Raw RetailSalesData'!F600="",'Raw RetailSalesData'!G600/'Raw RetailSalesData'!E600,'Raw RetailSalesData'!F600)</f>
        <v>58</v>
      </c>
      <c r="G600" s="7">
        <f t="shared" si="9"/>
        <v>696</v>
      </c>
      <c r="H600" s="5" t="str">
        <f>IF('Raw RetailSalesData'!H600="","Unknown",'Raw RetailSalesData'!H600)</f>
        <v>APAC</v>
      </c>
      <c r="I600" t="s">
        <v>151</v>
      </c>
      <c r="J600" t="s">
        <v>188</v>
      </c>
      <c r="K600" t="str">
        <f>TRIM('Raw RetailSalesData'!K600)</f>
        <v>Sales Rep 5</v>
      </c>
      <c r="L600" t="s">
        <v>21</v>
      </c>
    </row>
    <row r="601" spans="1:12" x14ac:dyDescent="0.3">
      <c r="A601" t="str">
        <f>IF(COUNTIF('Raw RetailSalesData'!$A:$L,'Raw RetailSalesData'!A601)=1,'Raw RetailSalesData'!A601,"")</f>
        <v>ORD-10659</v>
      </c>
      <c r="B601" t="str">
        <f>IF('Raw RetailSalesData'!B601="","UNKNOWN",'Raw RetailSalesData'!B601)</f>
        <v>2025-05-12</v>
      </c>
      <c r="C601" t="str">
        <f>IF('Raw RetailSalesData'!C601="","UNKNOW",'Raw RetailSalesData'!C601)</f>
        <v>CUST-1185</v>
      </c>
      <c r="D601" t="str">
        <f>IF('Raw RetailSalesData'!D601="","UNKNOW",'Raw RetailSalesData'!D601)</f>
        <v>C304</v>
      </c>
      <c r="E601" s="5">
        <f>IF('Raw RetailSalesData'!E601="",'Raw RetailSalesData'!F601/'Raw RetailSalesData'!G601,'Raw RetailSalesData'!E601)</f>
        <v>15</v>
      </c>
      <c r="F601" s="7">
        <f>IF('Raw RetailSalesData'!F601="",'Raw RetailSalesData'!G601/'Raw RetailSalesData'!E601,'Raw RetailSalesData'!F601)</f>
        <v>58</v>
      </c>
      <c r="G601" s="7">
        <f t="shared" si="9"/>
        <v>870</v>
      </c>
      <c r="H601" s="5" t="str">
        <f>IF('Raw RetailSalesData'!H601="","Unknown",'Raw RetailSalesData'!H601)</f>
        <v>EMEA</v>
      </c>
      <c r="I601" t="s">
        <v>225</v>
      </c>
      <c r="J601" t="s">
        <v>226</v>
      </c>
      <c r="K601" t="str">
        <f>TRIM('Raw RetailSalesData'!K601)</f>
        <v>Sales Rep 3</v>
      </c>
      <c r="L601" t="s">
        <v>31</v>
      </c>
    </row>
    <row r="602" spans="1:12" x14ac:dyDescent="0.3">
      <c r="A602" t="str">
        <f>IF(COUNTIF('Raw RetailSalesData'!$A:$L,'Raw RetailSalesData'!A602)=1,'Raw RetailSalesData'!A602,"")</f>
        <v>ORD-10661</v>
      </c>
      <c r="B602" t="str">
        <f>IF('Raw RetailSalesData'!B602="","UNKNOWN",'Raw RetailSalesData'!B602)</f>
        <v>2026-05-17</v>
      </c>
      <c r="C602" t="str">
        <f>IF('Raw RetailSalesData'!C602="","UNKNOW",'Raw RetailSalesData'!C602)</f>
        <v>CUST-1118</v>
      </c>
      <c r="D602" t="str">
        <f>IF('Raw RetailSalesData'!D602="","UNKNOW",'Raw RetailSalesData'!D602)</f>
        <v>UNKNOW</v>
      </c>
      <c r="E602" s="5">
        <f>IF('Raw RetailSalesData'!E602="",'Raw RetailSalesData'!F602/'Raw RetailSalesData'!G602,'Raw RetailSalesData'!E602)</f>
        <v>7</v>
      </c>
      <c r="F602" s="7">
        <f>IF('Raw RetailSalesData'!F602="",'Raw RetailSalesData'!G602/'Raw RetailSalesData'!E602,'Raw RetailSalesData'!F602)</f>
        <v>68</v>
      </c>
      <c r="G602" s="7">
        <f t="shared" si="9"/>
        <v>476</v>
      </c>
      <c r="H602" s="5" t="str">
        <f>IF('Raw RetailSalesData'!H602="","Unknown",'Raw RetailSalesData'!H602)</f>
        <v>EMEA</v>
      </c>
      <c r="I602" t="s">
        <v>225</v>
      </c>
      <c r="J602" t="s">
        <v>226</v>
      </c>
      <c r="K602" t="str">
        <f>TRIM('Raw RetailSalesData'!K602)</f>
        <v>Sales Rep 1</v>
      </c>
      <c r="L602" t="s">
        <v>46</v>
      </c>
    </row>
    <row r="603" spans="1:12" x14ac:dyDescent="0.3">
      <c r="A603" t="str">
        <f>IF(COUNTIF('Raw RetailSalesData'!$A:$L,'Raw RetailSalesData'!A603)=1,'Raw RetailSalesData'!A603,"")</f>
        <v>ORD-10662</v>
      </c>
      <c r="B603" t="str">
        <f>IF('Raw RetailSalesData'!B603="","UNKNOWN",'Raw RetailSalesData'!B603)</f>
        <v>2023-11-19</v>
      </c>
      <c r="C603" t="str">
        <f>IF('Raw RetailSalesData'!C603="","UNKNOW",'Raw RetailSalesData'!C603)</f>
        <v>CUST-1094</v>
      </c>
      <c r="D603" t="str">
        <f>IF('Raw RetailSalesData'!D603="","UNKNOW",'Raw RetailSalesData'!D603)</f>
        <v>C304</v>
      </c>
      <c r="E603" s="5">
        <f>IF('Raw RetailSalesData'!E603="",'Raw RetailSalesData'!F603/'Raw RetailSalesData'!G603,'Raw RetailSalesData'!E603)</f>
        <v>19</v>
      </c>
      <c r="F603" s="7">
        <f>IF('Raw RetailSalesData'!F603="",'Raw RetailSalesData'!G603/'Raw RetailSalesData'!E603,'Raw RetailSalesData'!F603)</f>
        <v>63</v>
      </c>
      <c r="G603" s="7">
        <f t="shared" si="9"/>
        <v>1197</v>
      </c>
      <c r="H603" s="5" t="str">
        <f>IF('Raw RetailSalesData'!H603="","Unknown",'Raw RetailSalesData'!H603)</f>
        <v>NA</v>
      </c>
      <c r="I603" t="s">
        <v>2190</v>
      </c>
      <c r="J603" t="s">
        <v>101</v>
      </c>
      <c r="K603" t="str">
        <f>TRIM('Raw RetailSalesData'!K603)</f>
        <v>Sales Rep 4</v>
      </c>
      <c r="L603" t="s">
        <v>46</v>
      </c>
    </row>
    <row r="604" spans="1:12" x14ac:dyDescent="0.3">
      <c r="A604" t="str">
        <f>IF(COUNTIF('Raw RetailSalesData'!$A:$L,'Raw RetailSalesData'!A604)=1,'Raw RetailSalesData'!A604,"")</f>
        <v>ORD-10663</v>
      </c>
      <c r="B604" t="str">
        <f>IF('Raw RetailSalesData'!B604="","UNKNOWN",'Raw RetailSalesData'!B604)</f>
        <v>2025-07-16</v>
      </c>
      <c r="C604" t="str">
        <f>IF('Raw RetailSalesData'!C604="","UNKNOW",'Raw RetailSalesData'!C604)</f>
        <v>CUST-1076</v>
      </c>
      <c r="D604" t="str">
        <f>IF('Raw RetailSalesData'!D604="","UNKNOW",'Raw RetailSalesData'!D604)</f>
        <v>P101</v>
      </c>
      <c r="E604" s="5">
        <f>IF('Raw RetailSalesData'!E604="",'Raw RetailSalesData'!F604/'Raw RetailSalesData'!G604,'Raw RetailSalesData'!E604)</f>
        <v>19</v>
      </c>
      <c r="F604" s="7">
        <f>IF('Raw RetailSalesData'!F604="",'Raw RetailSalesData'!G604/'Raw RetailSalesData'!E604,'Raw RetailSalesData'!F604)</f>
        <v>80</v>
      </c>
      <c r="G604" s="7">
        <f t="shared" si="9"/>
        <v>1520</v>
      </c>
      <c r="H604" s="5" t="str">
        <f>IF('Raw RetailSalesData'!H604="","Unknown",'Raw RetailSalesData'!H604)</f>
        <v>LATAM</v>
      </c>
      <c r="I604" t="s">
        <v>18</v>
      </c>
      <c r="J604" t="s">
        <v>2190</v>
      </c>
      <c r="K604" t="str">
        <f>TRIM('Raw RetailSalesData'!K604)</f>
        <v>Sales Rep 3</v>
      </c>
      <c r="L604" t="s">
        <v>46</v>
      </c>
    </row>
    <row r="605" spans="1:12" x14ac:dyDescent="0.3">
      <c r="A605" t="str">
        <f>IF(COUNTIF('Raw RetailSalesData'!$A:$L,'Raw RetailSalesData'!A605)=1,'Raw RetailSalesData'!A605,"")</f>
        <v>ORD-10664</v>
      </c>
      <c r="B605" t="str">
        <f>IF('Raw RetailSalesData'!B605="","UNKNOWN",'Raw RetailSalesData'!B605)</f>
        <v>2025-07-16</v>
      </c>
      <c r="C605" t="str">
        <f>IF('Raw RetailSalesData'!C605="","UNKNOW",'Raw RetailSalesData'!C605)</f>
        <v>CUST-1076</v>
      </c>
      <c r="D605" t="str">
        <f>IF('Raw RetailSalesData'!D605="","UNKNOW",'Raw RetailSalesData'!D605)</f>
        <v>P101</v>
      </c>
      <c r="E605" s="5">
        <f>IF('Raw RetailSalesData'!E605="",'Raw RetailSalesData'!F605/'Raw RetailSalesData'!G605,'Raw RetailSalesData'!E605)</f>
        <v>19</v>
      </c>
      <c r="F605" s="7">
        <f>IF('Raw RetailSalesData'!F605="",'Raw RetailSalesData'!G605/'Raw RetailSalesData'!E605,'Raw RetailSalesData'!F605)</f>
        <v>80</v>
      </c>
      <c r="G605" s="7">
        <f t="shared" si="9"/>
        <v>1520</v>
      </c>
      <c r="H605" s="5" t="str">
        <f>IF('Raw RetailSalesData'!H605="","Unknown",'Raw RetailSalesData'!H605)</f>
        <v>LATAM</v>
      </c>
      <c r="I605" t="s">
        <v>18</v>
      </c>
      <c r="J605" t="s">
        <v>2197</v>
      </c>
      <c r="K605" t="str">
        <f>TRIM('Raw RetailSalesData'!K605)</f>
        <v>Sales Rep 3</v>
      </c>
      <c r="L605" t="s">
        <v>46</v>
      </c>
    </row>
    <row r="606" spans="1:12" x14ac:dyDescent="0.3">
      <c r="A606" t="str">
        <f>IF(COUNTIF('Raw RetailSalesData'!$A:$L,'Raw RetailSalesData'!A606)=1,'Raw RetailSalesData'!A606,"")</f>
        <v>ORD-10665</v>
      </c>
      <c r="B606" t="str">
        <f>IF('Raw RetailSalesData'!B606="","UNKNOWN",'Raw RetailSalesData'!B606)</f>
        <v>2025-01-21</v>
      </c>
      <c r="C606" t="str">
        <f>IF('Raw RetailSalesData'!C606="","UNKNOW",'Raw RetailSalesData'!C606)</f>
        <v>CUST-1048</v>
      </c>
      <c r="D606" t="str">
        <f>IF('Raw RetailSalesData'!D606="","UNKNOW",'Raw RetailSalesData'!D606)</f>
        <v>C301</v>
      </c>
      <c r="E606" s="5">
        <f>IF('Raw RetailSalesData'!E606="",'Raw RetailSalesData'!F606/'Raw RetailSalesData'!G606,'Raw RetailSalesData'!E606)</f>
        <v>19</v>
      </c>
      <c r="F606" s="7">
        <f>IF('Raw RetailSalesData'!F606="",'Raw RetailSalesData'!G606/'Raw RetailSalesData'!E606,'Raw RetailSalesData'!F606)</f>
        <v>50</v>
      </c>
      <c r="G606" s="7">
        <f t="shared" si="9"/>
        <v>950</v>
      </c>
      <c r="H606" s="5" t="str">
        <f>IF('Raw RetailSalesData'!H606="","Unknown",'Raw RetailSalesData'!H606)</f>
        <v>LATAM</v>
      </c>
      <c r="I606" t="s">
        <v>90</v>
      </c>
      <c r="J606" t="s">
        <v>2198</v>
      </c>
      <c r="K606" t="str">
        <f>TRIM('Raw RetailSalesData'!K606)</f>
        <v>Sales Rep 4</v>
      </c>
      <c r="L606" t="s">
        <v>31</v>
      </c>
    </row>
    <row r="607" spans="1:12" x14ac:dyDescent="0.3">
      <c r="A607" t="str">
        <f>IF(COUNTIF('Raw RetailSalesData'!$A:$L,'Raw RetailSalesData'!A607)=1,'Raw RetailSalesData'!A607,"")</f>
        <v>ORD-10666</v>
      </c>
      <c r="B607" t="str">
        <f>IF('Raw RetailSalesData'!B607="","UNKNOWN",'Raw RetailSalesData'!B607)</f>
        <v>2026-07-05</v>
      </c>
      <c r="C607" t="str">
        <f>IF('Raw RetailSalesData'!C607="","UNKNOW",'Raw RetailSalesData'!C607)</f>
        <v xml:space="preserve"> CUST-1084 </v>
      </c>
      <c r="D607" t="str">
        <f>IF('Raw RetailSalesData'!D607="","UNKNOW",'Raw RetailSalesData'!D607)</f>
        <v>P102</v>
      </c>
      <c r="E607" s="5">
        <f>IF('Raw RetailSalesData'!E607="",'Raw RetailSalesData'!F607/'Raw RetailSalesData'!G607,'Raw RetailSalesData'!E607)</f>
        <v>2</v>
      </c>
      <c r="F607" s="7">
        <f>IF('Raw RetailSalesData'!F607="",'Raw RetailSalesData'!G607/'Raw RetailSalesData'!E607,'Raw RetailSalesData'!F607)</f>
        <v>75</v>
      </c>
      <c r="G607" s="7">
        <f t="shared" si="9"/>
        <v>150</v>
      </c>
      <c r="H607" s="5" t="str">
        <f>IF('Raw RetailSalesData'!H607="","Unknown",'Raw RetailSalesData'!H607)</f>
        <v>LATAM</v>
      </c>
      <c r="I607" t="s">
        <v>18</v>
      </c>
      <c r="J607" t="s">
        <v>2197</v>
      </c>
      <c r="K607" t="str">
        <f>TRIM('Raw RetailSalesData'!K607)</f>
        <v>Sales Rep 5</v>
      </c>
      <c r="L607" t="s">
        <v>46</v>
      </c>
    </row>
    <row r="608" spans="1:12" x14ac:dyDescent="0.3">
      <c r="A608" t="str">
        <f>IF(COUNTIF('Raw RetailSalesData'!$A:$L,'Raw RetailSalesData'!A608)=1,'Raw RetailSalesData'!A608,"")</f>
        <v>ORD-10667</v>
      </c>
      <c r="B608" t="str">
        <f>IF('Raw RetailSalesData'!B608="","UNKNOWN",'Raw RetailSalesData'!B608)</f>
        <v xml:space="preserve"> 2022-12-01 </v>
      </c>
      <c r="C608" t="str">
        <f>IF('Raw RetailSalesData'!C608="","UNKNOW",'Raw RetailSalesData'!C608)</f>
        <v>CUST-1170</v>
      </c>
      <c r="D608" t="str">
        <f>IF('Raw RetailSalesData'!D608="","UNKNOW",'Raw RetailSalesData'!D608)</f>
        <v>C302</v>
      </c>
      <c r="E608" s="5">
        <f>IF('Raw RetailSalesData'!E608="",'Raw RetailSalesData'!F608/'Raw RetailSalesData'!G608,'Raw RetailSalesData'!E608)</f>
        <v>16</v>
      </c>
      <c r="F608" s="7">
        <f>IF('Raw RetailSalesData'!F608="",'Raw RetailSalesData'!G608/'Raw RetailSalesData'!E608,'Raw RetailSalesData'!F608)</f>
        <v>55</v>
      </c>
      <c r="G608" s="7">
        <f t="shared" si="9"/>
        <v>880</v>
      </c>
      <c r="H608" s="5" t="str">
        <f>IF('Raw RetailSalesData'!H608="","Unknown",'Raw RetailSalesData'!H608)</f>
        <v>NA</v>
      </c>
      <c r="I608" t="s">
        <v>28</v>
      </c>
      <c r="J608" t="s">
        <v>29</v>
      </c>
      <c r="K608" t="str">
        <f>TRIM('Raw RetailSalesData'!K608)</f>
        <v>Sales Rep 4</v>
      </c>
      <c r="L608" t="s">
        <v>21</v>
      </c>
    </row>
    <row r="609" spans="1:12" x14ac:dyDescent="0.3">
      <c r="A609" t="str">
        <f>IF(COUNTIF('Raw RetailSalesData'!$A:$L,'Raw RetailSalesData'!A609)=1,'Raw RetailSalesData'!A609,"")</f>
        <v>ORD-10668</v>
      </c>
      <c r="B609" t="str">
        <f>IF('Raw RetailSalesData'!B609="","UNKNOWN",'Raw RetailSalesData'!B609)</f>
        <v>2022-12-01</v>
      </c>
      <c r="C609" t="str">
        <f>IF('Raw RetailSalesData'!C609="","UNKNOW",'Raw RetailSalesData'!C609)</f>
        <v>CUST-1170</v>
      </c>
      <c r="D609" t="str">
        <f>IF('Raw RetailSalesData'!D609="","UNKNOW",'Raw RetailSalesData'!D609)</f>
        <v>C302</v>
      </c>
      <c r="E609" s="5">
        <f>IF('Raw RetailSalesData'!E609="",'Raw RetailSalesData'!F609/'Raw RetailSalesData'!G609,'Raw RetailSalesData'!E609)</f>
        <v>16</v>
      </c>
      <c r="F609" s="7">
        <f>IF('Raw RetailSalesData'!F609="",'Raw RetailSalesData'!G609/'Raw RetailSalesData'!E609,'Raw RetailSalesData'!F609)</f>
        <v>55</v>
      </c>
      <c r="G609" s="7">
        <f t="shared" si="9"/>
        <v>880</v>
      </c>
      <c r="H609" s="5" t="str">
        <f>IF('Raw RetailSalesData'!H609="","Unknown",'Raw RetailSalesData'!H609)</f>
        <v>NA</v>
      </c>
      <c r="I609" t="s">
        <v>28</v>
      </c>
      <c r="J609" t="s">
        <v>29</v>
      </c>
      <c r="K609" t="str">
        <f>TRIM('Raw RetailSalesData'!K609)</f>
        <v>Sales Rep 4</v>
      </c>
      <c r="L609" t="s">
        <v>21</v>
      </c>
    </row>
    <row r="610" spans="1:12" x14ac:dyDescent="0.3">
      <c r="A610" t="str">
        <f>IF(COUNTIF('Raw RetailSalesData'!$A:$L,'Raw RetailSalesData'!A610)=1,'Raw RetailSalesData'!A610,"")</f>
        <v>ORD-10669</v>
      </c>
      <c r="B610" t="str">
        <f>IF('Raw RetailSalesData'!B610="","UNKNOWN",'Raw RetailSalesData'!B610)</f>
        <v>2022-07-27</v>
      </c>
      <c r="C610" t="str">
        <f>IF('Raw RetailSalesData'!C610="","UNKNOW",'Raw RetailSalesData'!C610)</f>
        <v>CUST-1079</v>
      </c>
      <c r="D610" t="str">
        <f>IF('Raw RetailSalesData'!D610="","UNKNOW",'Raw RetailSalesData'!D610)</f>
        <v>P203</v>
      </c>
      <c r="E610" s="5">
        <f>IF('Raw RetailSalesData'!E610="",'Raw RetailSalesData'!F610/'Raw RetailSalesData'!G610,'Raw RetailSalesData'!E610)</f>
        <v>4</v>
      </c>
      <c r="F610" s="7">
        <f>IF('Raw RetailSalesData'!F610="",'Raw RetailSalesData'!G610/'Raw RetailSalesData'!E610,'Raw RetailSalesData'!F610)</f>
        <v>63</v>
      </c>
      <c r="G610" s="7">
        <f t="shared" si="9"/>
        <v>252</v>
      </c>
      <c r="H610" s="5" t="str">
        <f>IF('Raw RetailSalesData'!H610="","Unknown",'Raw RetailSalesData'!H610)</f>
        <v>LATAM</v>
      </c>
      <c r="I610" t="s">
        <v>18</v>
      </c>
      <c r="J610" t="s">
        <v>2197</v>
      </c>
      <c r="K610" t="str">
        <f>TRIM('Raw RetailSalesData'!K610)</f>
        <v>Sales Rep 4</v>
      </c>
      <c r="L610" t="s">
        <v>31</v>
      </c>
    </row>
    <row r="611" spans="1:12" x14ac:dyDescent="0.3">
      <c r="A611" t="str">
        <f>IF(COUNTIF('Raw RetailSalesData'!$A:$L,'Raw RetailSalesData'!A611)=1,'Raw RetailSalesData'!A611,"")</f>
        <v>ORD-10670</v>
      </c>
      <c r="B611" t="str">
        <f>IF('Raw RetailSalesData'!B611="","UNKNOWN",'Raw RetailSalesData'!B611)</f>
        <v>2026-07-30</v>
      </c>
      <c r="C611" t="str">
        <f>IF('Raw RetailSalesData'!C611="","UNKNOW",'Raw RetailSalesData'!C611)</f>
        <v>CUST-1073</v>
      </c>
      <c r="D611" t="str">
        <f>IF('Raw RetailSalesData'!D611="","UNKNOW",'Raw RetailSalesData'!D611)</f>
        <v>C302</v>
      </c>
      <c r="E611" s="5">
        <f>IF('Raw RetailSalesData'!E611="",'Raw RetailSalesData'!F611/'Raw RetailSalesData'!G611,'Raw RetailSalesData'!E611)</f>
        <v>11</v>
      </c>
      <c r="F611" s="7">
        <f>IF('Raw RetailSalesData'!F611="",'Raw RetailSalesData'!G611/'Raw RetailSalesData'!E611,'Raw RetailSalesData'!F611)</f>
        <v>50</v>
      </c>
      <c r="G611" s="7">
        <f t="shared" si="9"/>
        <v>550</v>
      </c>
      <c r="H611" s="5" t="str">
        <f>IF('Raw RetailSalesData'!H611="","Unknown",'Raw RetailSalesData'!H611)</f>
        <v>APAC</v>
      </c>
      <c r="I611" t="s">
        <v>151</v>
      </c>
      <c r="J611" t="s">
        <v>188</v>
      </c>
      <c r="K611" t="str">
        <f>TRIM('Raw RetailSalesData'!K611)</f>
        <v>Sales Rep 3</v>
      </c>
      <c r="L611" t="s">
        <v>21</v>
      </c>
    </row>
    <row r="612" spans="1:12" x14ac:dyDescent="0.3">
      <c r="A612" t="str">
        <f>IF(COUNTIF('Raw RetailSalesData'!$A:$L,'Raw RetailSalesData'!A612)=1,'Raw RetailSalesData'!A612,"")</f>
        <v>ORD-10671</v>
      </c>
      <c r="B612" t="str">
        <f>IF('Raw RetailSalesData'!B612="","UNKNOWN",'Raw RetailSalesData'!B612)</f>
        <v>2024-03-07</v>
      </c>
      <c r="C612" t="str">
        <f>IF('Raw RetailSalesData'!C612="","UNKNOW",'Raw RetailSalesData'!C612)</f>
        <v xml:space="preserve"> CUST-1085 </v>
      </c>
      <c r="D612" t="str">
        <f>IF('Raw RetailSalesData'!D612="","UNKNOW",'Raw RetailSalesData'!D612)</f>
        <v>P102</v>
      </c>
      <c r="E612" s="5">
        <f>IF('Raw RetailSalesData'!E612="",'Raw RetailSalesData'!F612/'Raw RetailSalesData'!G612,'Raw RetailSalesData'!E612)</f>
        <v>18</v>
      </c>
      <c r="F612" s="7">
        <f>IF('Raw RetailSalesData'!F612="",'Raw RetailSalesData'!G612/'Raw RetailSalesData'!E612,'Raw RetailSalesData'!F612)</f>
        <v>80</v>
      </c>
      <c r="G612" s="7">
        <f t="shared" si="9"/>
        <v>1440</v>
      </c>
      <c r="H612" s="5" t="str">
        <f>IF('Raw RetailSalesData'!H612="","Unknown",'Raw RetailSalesData'!H612)</f>
        <v>APAC</v>
      </c>
      <c r="I612" t="s">
        <v>183</v>
      </c>
      <c r="J612" t="s">
        <v>184</v>
      </c>
      <c r="K612" t="str">
        <f>TRIM('Raw RetailSalesData'!K612)</f>
        <v>Sales Rep 2</v>
      </c>
      <c r="L612" t="s">
        <v>31</v>
      </c>
    </row>
    <row r="613" spans="1:12" x14ac:dyDescent="0.3">
      <c r="A613" t="str">
        <f>IF(COUNTIF('Raw RetailSalesData'!$A:$L,'Raw RetailSalesData'!A613)=1,'Raw RetailSalesData'!A613,"")</f>
        <v>ORD-10672</v>
      </c>
      <c r="B613" t="str">
        <f>IF('Raw RetailSalesData'!B613="","UNKNOWN",'Raw RetailSalesData'!B613)</f>
        <v>2022-02-06</v>
      </c>
      <c r="C613" t="str">
        <f>IF('Raw RetailSalesData'!C613="","UNKNOW",'Raw RetailSalesData'!C613)</f>
        <v>CUST-1182</v>
      </c>
      <c r="D613" t="str">
        <f>IF('Raw RetailSalesData'!D613="","UNKNOW",'Raw RetailSalesData'!D613)</f>
        <v>C302</v>
      </c>
      <c r="E613" s="5">
        <f>IF('Raw RetailSalesData'!E613="",'Raw RetailSalesData'!F613/'Raw RetailSalesData'!G613,'Raw RetailSalesData'!E613)</f>
        <v>16</v>
      </c>
      <c r="F613" s="7">
        <f>IF('Raw RetailSalesData'!F613="",'Raw RetailSalesData'!G613/'Raw RetailSalesData'!E613,'Raw RetailSalesData'!F613)</f>
        <v>45</v>
      </c>
      <c r="G613" s="7">
        <f t="shared" si="9"/>
        <v>720</v>
      </c>
      <c r="H613" s="5" t="str">
        <f>IF('Raw RetailSalesData'!H613="","Unknown",'Raw RetailSalesData'!H613)</f>
        <v>LATAM</v>
      </c>
      <c r="I613" t="s">
        <v>18</v>
      </c>
      <c r="J613" t="s">
        <v>2197</v>
      </c>
      <c r="K613" t="str">
        <f>TRIM('Raw RetailSalesData'!K613)</f>
        <v>Sales Rep 3</v>
      </c>
      <c r="L613" t="s">
        <v>46</v>
      </c>
    </row>
    <row r="614" spans="1:12" x14ac:dyDescent="0.3">
      <c r="A614" t="str">
        <f>IF(COUNTIF('Raw RetailSalesData'!$A:$L,'Raw RetailSalesData'!A614)=1,'Raw RetailSalesData'!A614,"")</f>
        <v>ORD-10673</v>
      </c>
      <c r="B614" t="str">
        <f>IF('Raw RetailSalesData'!B614="","UNKNOWN",'Raw RetailSalesData'!B614)</f>
        <v>2025-06-17</v>
      </c>
      <c r="C614" t="str">
        <f>IF('Raw RetailSalesData'!C614="","UNKNOW",'Raw RetailSalesData'!C614)</f>
        <v>CUST-1127</v>
      </c>
      <c r="D614" t="str">
        <f>IF('Raw RetailSalesData'!D614="","UNKNOW",'Raw RetailSalesData'!D614)</f>
        <v>P102</v>
      </c>
      <c r="E614" s="5">
        <f>IF('Raw RetailSalesData'!E614="",'Raw RetailSalesData'!F614/'Raw RetailSalesData'!G614,'Raw RetailSalesData'!E614)</f>
        <v>9</v>
      </c>
      <c r="F614" s="7">
        <f>IF('Raw RetailSalesData'!F614="",'Raw RetailSalesData'!G614/'Raw RetailSalesData'!E614,'Raw RetailSalesData'!F614)</f>
        <v>75</v>
      </c>
      <c r="G614" s="7">
        <f t="shared" si="9"/>
        <v>675</v>
      </c>
      <c r="H614" s="5" t="str">
        <f>IF('Raw RetailSalesData'!H614="","Unknown",'Raw RetailSalesData'!H614)</f>
        <v>LATAM</v>
      </c>
      <c r="I614" t="s">
        <v>90</v>
      </c>
      <c r="J614" t="s">
        <v>2198</v>
      </c>
      <c r="K614" t="str">
        <f>TRIM('Raw RetailSalesData'!K614)</f>
        <v>Sales Rep 3</v>
      </c>
      <c r="L614" t="s">
        <v>46</v>
      </c>
    </row>
    <row r="615" spans="1:12" x14ac:dyDescent="0.3">
      <c r="A615" t="str">
        <f>IF(COUNTIF('Raw RetailSalesData'!$A:$L,'Raw RetailSalesData'!A615)=1,'Raw RetailSalesData'!A615,"")</f>
        <v>ORD-10674</v>
      </c>
      <c r="B615" t="str">
        <f>IF('Raw RetailSalesData'!B615="","UNKNOWN",'Raw RetailSalesData'!B615)</f>
        <v>2025-05-15</v>
      </c>
      <c r="C615" t="str">
        <f>IF('Raw RetailSalesData'!C615="","UNKNOW",'Raw RetailSalesData'!C615)</f>
        <v>CUST-1051</v>
      </c>
      <c r="D615" t="str">
        <f>IF('Raw RetailSalesData'!D615="","UNKNOW",'Raw RetailSalesData'!D615)</f>
        <v>C304</v>
      </c>
      <c r="E615" s="5">
        <f>IF('Raw RetailSalesData'!E615="",'Raw RetailSalesData'!F615/'Raw RetailSalesData'!G615,'Raw RetailSalesData'!E615)</f>
        <v>20</v>
      </c>
      <c r="F615" s="7">
        <f>IF('Raw RetailSalesData'!F615="",'Raw RetailSalesData'!G615/'Raw RetailSalesData'!E615,'Raw RetailSalesData'!F615)</f>
        <v>63</v>
      </c>
      <c r="G615" s="7">
        <f t="shared" si="9"/>
        <v>1260</v>
      </c>
      <c r="H615" s="5" t="str">
        <f>IF('Raw RetailSalesData'!H615="","Unknown",'Raw RetailSalesData'!H615)</f>
        <v>NA</v>
      </c>
      <c r="I615" t="s">
        <v>100</v>
      </c>
      <c r="J615" t="s">
        <v>101</v>
      </c>
      <c r="K615" t="str">
        <f>TRIM('Raw RetailSalesData'!K615)</f>
        <v>Sales Rep 4</v>
      </c>
      <c r="L615" t="s">
        <v>46</v>
      </c>
    </row>
    <row r="616" spans="1:12" x14ac:dyDescent="0.3">
      <c r="A616" t="str">
        <f>IF(COUNTIF('Raw RetailSalesData'!$A:$L,'Raw RetailSalesData'!A616)=1,'Raw RetailSalesData'!A616,"")</f>
        <v>ORD-10675</v>
      </c>
      <c r="B616" t="str">
        <f>IF('Raw RetailSalesData'!B616="","UNKNOWN",'Raw RetailSalesData'!B616)</f>
        <v>2025-10-05</v>
      </c>
      <c r="C616" t="str">
        <f>IF('Raw RetailSalesData'!C616="","UNKNOW",'Raw RetailSalesData'!C616)</f>
        <v>CUST-1016</v>
      </c>
      <c r="D616" t="str">
        <f>IF('Raw RetailSalesData'!D616="","UNKNOW",'Raw RetailSalesData'!D616)</f>
        <v>P203</v>
      </c>
      <c r="E616" s="5">
        <f>IF('Raw RetailSalesData'!E616="",'Raw RetailSalesData'!F616/'Raw RetailSalesData'!G616,'Raw RetailSalesData'!E616)</f>
        <v>18</v>
      </c>
      <c r="F616" s="7">
        <f>IF('Raw RetailSalesData'!F616="",'Raw RetailSalesData'!G616/'Raw RetailSalesData'!E616,'Raw RetailSalesData'!F616)</f>
        <v>68</v>
      </c>
      <c r="G616" s="7">
        <f t="shared" si="9"/>
        <v>1224</v>
      </c>
      <c r="H616" s="5" t="str">
        <f>IF('Raw RetailSalesData'!H616="","Unknown",'Raw RetailSalesData'!H616)</f>
        <v>EMEA</v>
      </c>
      <c r="I616" t="s">
        <v>83</v>
      </c>
      <c r="J616" t="s">
        <v>84</v>
      </c>
      <c r="K616" t="str">
        <f>TRIM('Raw RetailSalesData'!K616)</f>
        <v>John Smith</v>
      </c>
      <c r="L616" t="s">
        <v>21</v>
      </c>
    </row>
    <row r="617" spans="1:12" x14ac:dyDescent="0.3">
      <c r="A617" t="str">
        <f>IF(COUNTIF('Raw RetailSalesData'!$A:$L,'Raw RetailSalesData'!A617)=1,'Raw RetailSalesData'!A617,"")</f>
        <v>ORD-10676</v>
      </c>
      <c r="B617" t="str">
        <f>IF('Raw RetailSalesData'!B617="","UNKNOWN",'Raw RetailSalesData'!B617)</f>
        <v>2022-10-09</v>
      </c>
      <c r="C617" t="str">
        <f>IF('Raw RetailSalesData'!C617="","UNKNOW",'Raw RetailSalesData'!C617)</f>
        <v>CUST-1111</v>
      </c>
      <c r="D617" t="str">
        <f>IF('Raw RetailSalesData'!D617="","UNKNOW",'Raw RetailSalesData'!D617)</f>
        <v>P102</v>
      </c>
      <c r="E617" s="5">
        <f>IF('Raw RetailSalesData'!E617="",'Raw RetailSalesData'!F617/'Raw RetailSalesData'!G617,'Raw RetailSalesData'!E617)</f>
        <v>7</v>
      </c>
      <c r="F617" s="7">
        <f>IF('Raw RetailSalesData'!F617="",'Raw RetailSalesData'!G617/'Raw RetailSalesData'!E617,'Raw RetailSalesData'!F617)</f>
        <v>80</v>
      </c>
      <c r="G617" s="7">
        <f t="shared" si="9"/>
        <v>560</v>
      </c>
      <c r="H617" s="5" t="str">
        <f>IF('Raw RetailSalesData'!H617="","Unknown",'Raw RetailSalesData'!H617)</f>
        <v>EMEA</v>
      </c>
      <c r="I617" t="s">
        <v>38</v>
      </c>
      <c r="J617" t="s">
        <v>39</v>
      </c>
      <c r="K617" t="str">
        <f>TRIM('Raw RetailSalesData'!K617)</f>
        <v>Sales Rep 5</v>
      </c>
      <c r="L617" t="s">
        <v>46</v>
      </c>
    </row>
    <row r="618" spans="1:12" x14ac:dyDescent="0.3">
      <c r="A618" t="str">
        <f>IF(COUNTIF('Raw RetailSalesData'!$A:$L,'Raw RetailSalesData'!A618)=1,'Raw RetailSalesData'!A618,"")</f>
        <v>ORD-10677</v>
      </c>
      <c r="B618" t="str">
        <f>IF('Raw RetailSalesData'!B618="","UNKNOWN",'Raw RetailSalesData'!B618)</f>
        <v>2024-07-27</v>
      </c>
      <c r="C618" t="str">
        <f>IF('Raw RetailSalesData'!C618="","UNKNOW",'Raw RetailSalesData'!C618)</f>
        <v>CUST-1001</v>
      </c>
      <c r="D618" t="str">
        <f>IF('Raw RetailSalesData'!D618="","UNKNOW",'Raw RetailSalesData'!D618)</f>
        <v>C304</v>
      </c>
      <c r="E618" s="5">
        <f>IF('Raw RetailSalesData'!E618="",'Raw RetailSalesData'!F618/'Raw RetailSalesData'!G618,'Raw RetailSalesData'!E618)</f>
        <v>5</v>
      </c>
      <c r="F618" s="7">
        <f>IF('Raw RetailSalesData'!F618="",'Raw RetailSalesData'!G618/'Raw RetailSalesData'!E618,'Raw RetailSalesData'!F618)</f>
        <v>58</v>
      </c>
      <c r="G618" s="7">
        <f t="shared" si="9"/>
        <v>290</v>
      </c>
      <c r="H618" s="5" t="str">
        <f>IF('Raw RetailSalesData'!H618="","Unknown",'Raw RetailSalesData'!H618)</f>
        <v xml:space="preserve"> EMEA </v>
      </c>
      <c r="I618" t="s">
        <v>225</v>
      </c>
      <c r="J618" t="s">
        <v>226</v>
      </c>
      <c r="K618" t="str">
        <f>TRIM('Raw RetailSalesData'!K618)</f>
        <v>Sales Rep 3</v>
      </c>
      <c r="L618" t="s">
        <v>31</v>
      </c>
    </row>
    <row r="619" spans="1:12" x14ac:dyDescent="0.3">
      <c r="A619" t="str">
        <f>IF(COUNTIF('Raw RetailSalesData'!$A:$L,'Raw RetailSalesData'!A619)=1,'Raw RetailSalesData'!A619,"")</f>
        <v>ORD-10678</v>
      </c>
      <c r="B619" t="str">
        <f>IF('Raw RetailSalesData'!B619="","UNKNOWN",'Raw RetailSalesData'!B619)</f>
        <v>2024-11-28</v>
      </c>
      <c r="C619" t="str">
        <f>IF('Raw RetailSalesData'!C619="","UNKNOW",'Raw RetailSalesData'!C619)</f>
        <v>CUST-1198</v>
      </c>
      <c r="D619" t="str">
        <f>IF('Raw RetailSalesData'!D619="","UNKNOW",'Raw RetailSalesData'!D619)</f>
        <v>P203</v>
      </c>
      <c r="E619" s="5">
        <f>IF('Raw RetailSalesData'!E619="",'Raw RetailSalesData'!F619/'Raw RetailSalesData'!G619,'Raw RetailSalesData'!E619)</f>
        <v>17</v>
      </c>
      <c r="F619" s="7">
        <f>IF('Raw RetailSalesData'!F619="",'Raw RetailSalesData'!G619/'Raw RetailSalesData'!E619,'Raw RetailSalesData'!F619)</f>
        <v>68</v>
      </c>
      <c r="G619" s="7">
        <f t="shared" si="9"/>
        <v>1156</v>
      </c>
      <c r="H619" s="5" t="str">
        <f>IF('Raw RetailSalesData'!H619="","Unknown",'Raw RetailSalesData'!H619)</f>
        <v>EMEA</v>
      </c>
      <c r="I619" t="s">
        <v>225</v>
      </c>
      <c r="J619" t="s">
        <v>226</v>
      </c>
      <c r="K619" t="str">
        <f>TRIM('Raw RetailSalesData'!K619)</f>
        <v>Sales Rep 4</v>
      </c>
      <c r="L619" t="s">
        <v>46</v>
      </c>
    </row>
    <row r="620" spans="1:12" x14ac:dyDescent="0.3">
      <c r="A620" t="str">
        <f>IF(COUNTIF('Raw RetailSalesData'!$A:$L,'Raw RetailSalesData'!A620)=1,'Raw RetailSalesData'!A620,"")</f>
        <v>ORD-10679</v>
      </c>
      <c r="B620" t="str">
        <f>IF('Raw RetailSalesData'!B620="","UNKNOWN",'Raw RetailSalesData'!B620)</f>
        <v>2023-09-30</v>
      </c>
      <c r="C620" t="str">
        <f>IF('Raw RetailSalesData'!C620="","UNKNOW",'Raw RetailSalesData'!C620)</f>
        <v>CUST-1188</v>
      </c>
      <c r="D620" t="str">
        <f>IF('Raw RetailSalesData'!D620="","UNKNOW",'Raw RetailSalesData'!D620)</f>
        <v>P202</v>
      </c>
      <c r="E620" s="5">
        <f>IF('Raw RetailSalesData'!E620="",'Raw RetailSalesData'!F620/'Raw RetailSalesData'!G620,'Raw RetailSalesData'!E620)</f>
        <v>10</v>
      </c>
      <c r="F620" s="7">
        <f>IF('Raw RetailSalesData'!F620="",'Raw RetailSalesData'!G620/'Raw RetailSalesData'!E620,'Raw RetailSalesData'!F620)</f>
        <v>60</v>
      </c>
      <c r="G620" s="7">
        <f t="shared" si="9"/>
        <v>600</v>
      </c>
      <c r="H620" s="5" t="str">
        <f>IF('Raw RetailSalesData'!H620="","Unknown",'Raw RetailSalesData'!H620)</f>
        <v>LATAM</v>
      </c>
      <c r="I620" t="s">
        <v>18</v>
      </c>
      <c r="J620" t="s">
        <v>2197</v>
      </c>
      <c r="K620" t="str">
        <f>TRIM('Raw RetailSalesData'!K620)</f>
        <v>Sales Rep 3</v>
      </c>
      <c r="L620" t="s">
        <v>46</v>
      </c>
    </row>
    <row r="621" spans="1:12" x14ac:dyDescent="0.3">
      <c r="A621" t="str">
        <f>IF(COUNTIF('Raw RetailSalesData'!$A:$L,'Raw RetailSalesData'!A621)=1,'Raw RetailSalesData'!A621,"")</f>
        <v>ORD-10680</v>
      </c>
      <c r="B621" t="str">
        <f>IF('Raw RetailSalesData'!B621="","UNKNOWN",'Raw RetailSalesData'!B621)</f>
        <v>2022-09-30</v>
      </c>
      <c r="C621" t="str">
        <f>IF('Raw RetailSalesData'!C621="","UNKNOW",'Raw RetailSalesData'!C621)</f>
        <v>CUST-1039</v>
      </c>
      <c r="D621" t="str">
        <f>IF('Raw RetailSalesData'!D621="","UNKNOW",'Raw RetailSalesData'!D621)</f>
        <v>P101</v>
      </c>
      <c r="E621" s="5">
        <f>IF('Raw RetailSalesData'!E621="",'Raw RetailSalesData'!F621/'Raw RetailSalesData'!G621,'Raw RetailSalesData'!E621)</f>
        <v>14</v>
      </c>
      <c r="F621" s="7">
        <f>IF('Raw RetailSalesData'!F621="",'Raw RetailSalesData'!G621/'Raw RetailSalesData'!E621,'Raw RetailSalesData'!F621)</f>
        <v>90</v>
      </c>
      <c r="G621" s="7">
        <f t="shared" si="9"/>
        <v>1260</v>
      </c>
      <c r="H621" s="5" t="str">
        <f>IF('Raw RetailSalesData'!H621="","Unknown",'Raw RetailSalesData'!H621)</f>
        <v>NA</v>
      </c>
      <c r="I621" t="s">
        <v>100</v>
      </c>
      <c r="J621" t="s">
        <v>2190</v>
      </c>
      <c r="K621" t="str">
        <f>TRIM('Raw RetailSalesData'!K621)</f>
        <v>Sales Rep 3</v>
      </c>
      <c r="L621" t="s">
        <v>46</v>
      </c>
    </row>
    <row r="622" spans="1:12" x14ac:dyDescent="0.3">
      <c r="A622" t="str">
        <f>IF(COUNTIF('Raw RetailSalesData'!$A:$L,'Raw RetailSalesData'!A622)=1,'Raw RetailSalesData'!A622,"")</f>
        <v>ORD-10681</v>
      </c>
      <c r="B622" t="str">
        <f>IF('Raw RetailSalesData'!B622="","UNKNOWN",'Raw RetailSalesData'!B622)</f>
        <v>2026-06-11</v>
      </c>
      <c r="C622" t="str">
        <f>IF('Raw RetailSalesData'!C622="","UNKNOW",'Raw RetailSalesData'!C622)</f>
        <v>CUST-1187</v>
      </c>
      <c r="D622" t="str">
        <f>IF('Raw RetailSalesData'!D622="","UNKNOW",'Raw RetailSalesData'!D622)</f>
        <v>P201</v>
      </c>
      <c r="E622" s="5">
        <f>IF('Raw RetailSalesData'!E622="",'Raw RetailSalesData'!F622/'Raw RetailSalesData'!G622,'Raw RetailSalesData'!E622)</f>
        <v>12</v>
      </c>
      <c r="F622" s="7">
        <f>IF('Raw RetailSalesData'!F622="",'Raw RetailSalesData'!G622/'Raw RetailSalesData'!E622,'Raw RetailSalesData'!F622)</f>
        <v>75</v>
      </c>
      <c r="G622" s="7">
        <f t="shared" si="9"/>
        <v>900</v>
      </c>
      <c r="H622" s="5" t="str">
        <f>IF('Raw RetailSalesData'!H622="","Unknown",'Raw RetailSalesData'!H622)</f>
        <v>NA</v>
      </c>
      <c r="I622" t="s">
        <v>100</v>
      </c>
      <c r="J622" t="s">
        <v>101</v>
      </c>
      <c r="K622" t="str">
        <f>TRIM('Raw RetailSalesData'!K622)</f>
        <v>Sales Rep 5</v>
      </c>
      <c r="L622" t="s">
        <v>46</v>
      </c>
    </row>
    <row r="623" spans="1:12" x14ac:dyDescent="0.3">
      <c r="A623" t="str">
        <f>IF(COUNTIF('Raw RetailSalesData'!$A:$L,'Raw RetailSalesData'!A623)=1,'Raw RetailSalesData'!A623,"")</f>
        <v>ORD-10682</v>
      </c>
      <c r="B623" t="str">
        <f>IF('Raw RetailSalesData'!B623="","UNKNOWN",'Raw RetailSalesData'!B623)</f>
        <v>2023-11-17</v>
      </c>
      <c r="C623" t="str">
        <f>IF('Raw RetailSalesData'!C623="","UNKNOW",'Raw RetailSalesData'!C623)</f>
        <v>CUST-1135</v>
      </c>
      <c r="D623" t="str">
        <f>IF('Raw RetailSalesData'!D623="","UNKNOW",'Raw RetailSalesData'!D623)</f>
        <v xml:space="preserve"> P102 </v>
      </c>
      <c r="E623" s="5">
        <f>IF('Raw RetailSalesData'!E623="",'Raw RetailSalesData'!F623/'Raw RetailSalesData'!G623,'Raw RetailSalesData'!E623)</f>
        <v>1</v>
      </c>
      <c r="F623" s="7">
        <f>IF('Raw RetailSalesData'!F623="",'Raw RetailSalesData'!G623/'Raw RetailSalesData'!E623,'Raw RetailSalesData'!F623)</f>
        <v>75</v>
      </c>
      <c r="G623" s="7">
        <f t="shared" si="9"/>
        <v>75</v>
      </c>
      <c r="H623" s="5" t="str">
        <f>IF('Raw RetailSalesData'!H623="","Unknown",'Raw RetailSalesData'!H623)</f>
        <v>LATAM</v>
      </c>
      <c r="I623" t="s">
        <v>90</v>
      </c>
      <c r="J623" t="s">
        <v>2198</v>
      </c>
      <c r="K623" t="str">
        <f>TRIM('Raw RetailSalesData'!K623)</f>
        <v>#N/A</v>
      </c>
      <c r="L623" t="s">
        <v>31</v>
      </c>
    </row>
    <row r="624" spans="1:12" x14ac:dyDescent="0.3">
      <c r="A624" t="str">
        <f>IF(COUNTIF('Raw RetailSalesData'!$A:$L,'Raw RetailSalesData'!A624)=1,'Raw RetailSalesData'!A624,"")</f>
        <v>ORD-10683</v>
      </c>
      <c r="B624" t="str">
        <f>IF('Raw RetailSalesData'!B624="","UNKNOWN",'Raw RetailSalesData'!B624)</f>
        <v>UNKNOWN</v>
      </c>
      <c r="C624" t="str">
        <f>IF('Raw RetailSalesData'!C624="","UNKNOW",'Raw RetailSalesData'!C624)</f>
        <v>CUST-1176</v>
      </c>
      <c r="D624" t="str">
        <f>IF('Raw RetailSalesData'!D624="","UNKNOW",'Raw RetailSalesData'!D624)</f>
        <v>C303</v>
      </c>
      <c r="E624" s="5">
        <f>IF('Raw RetailSalesData'!E624="",'Raw RetailSalesData'!F624/'Raw RetailSalesData'!G624,'Raw RetailSalesData'!E624)</f>
        <v>19</v>
      </c>
      <c r="F624" s="7">
        <f>IF('Raw RetailSalesData'!F624="",'Raw RetailSalesData'!G624/'Raw RetailSalesData'!E624,'Raw RetailSalesData'!F624)</f>
        <v>65</v>
      </c>
      <c r="G624" s="7">
        <f t="shared" si="9"/>
        <v>1235</v>
      </c>
      <c r="H624" s="5" t="str">
        <f>IF('Raw RetailSalesData'!H624="","Unknown",'Raw RetailSalesData'!H624)</f>
        <v>NA</v>
      </c>
      <c r="I624" t="s">
        <v>100</v>
      </c>
      <c r="J624" t="s">
        <v>101</v>
      </c>
      <c r="K624" t="str">
        <f>TRIM('Raw RetailSalesData'!K624)</f>
        <v>Sales Rep 5</v>
      </c>
      <c r="L624" t="s">
        <v>31</v>
      </c>
    </row>
    <row r="625" spans="1:12" x14ac:dyDescent="0.3">
      <c r="A625" t="str">
        <f>IF(COUNTIF('Raw RetailSalesData'!$A:$L,'Raw RetailSalesData'!A625)=1,'Raw RetailSalesData'!A625,"")</f>
        <v>ORD-10684</v>
      </c>
      <c r="B625" t="str">
        <f>IF('Raw RetailSalesData'!B625="","UNKNOWN",'Raw RetailSalesData'!B625)</f>
        <v>2025-12-20</v>
      </c>
      <c r="C625" t="str">
        <f>IF('Raw RetailSalesData'!C625="","UNKNOW",'Raw RetailSalesData'!C625)</f>
        <v>CUST-1037</v>
      </c>
      <c r="D625" t="str">
        <f>IF('Raw RetailSalesData'!D625="","UNKNOW",'Raw RetailSalesData'!D625)</f>
        <v>C301</v>
      </c>
      <c r="E625" s="5">
        <f>IF('Raw RetailSalesData'!E625="",'Raw RetailSalesData'!F625/'Raw RetailSalesData'!G625,'Raw RetailSalesData'!E625)</f>
        <v>20</v>
      </c>
      <c r="F625" s="7">
        <f>IF('Raw RetailSalesData'!F625="",'Raw RetailSalesData'!G625/'Raw RetailSalesData'!E625,'Raw RetailSalesData'!F625)</f>
        <v>55</v>
      </c>
      <c r="G625" s="7">
        <f t="shared" si="9"/>
        <v>1100</v>
      </c>
      <c r="H625" s="5" t="str">
        <f>IF('Raw RetailSalesData'!H625="","Unknown",'Raw RetailSalesData'!H625)</f>
        <v>EMEA</v>
      </c>
      <c r="I625" t="s">
        <v>83</v>
      </c>
      <c r="J625" t="s">
        <v>84</v>
      </c>
      <c r="K625" t="str">
        <f>TRIM('Raw RetailSalesData'!K625)</f>
        <v>John Smith</v>
      </c>
      <c r="L625" t="s">
        <v>21</v>
      </c>
    </row>
    <row r="626" spans="1:12" x14ac:dyDescent="0.3">
      <c r="A626" t="str">
        <f>IF(COUNTIF('Raw RetailSalesData'!$A:$L,'Raw RetailSalesData'!A626)=1,'Raw RetailSalesData'!A626,"")</f>
        <v>ORD-10686</v>
      </c>
      <c r="B626" t="str">
        <f>IF('Raw RetailSalesData'!B626="","UNKNOWN",'Raw RetailSalesData'!B626)</f>
        <v>2025-12-20</v>
      </c>
      <c r="C626" t="str">
        <f>IF('Raw RetailSalesData'!C626="","UNKNOW",'Raw RetailSalesData'!C626)</f>
        <v>CUST-1037</v>
      </c>
      <c r="D626" t="str">
        <f>IF('Raw RetailSalesData'!D626="","UNKNOW",'Raw RetailSalesData'!D626)</f>
        <v>C301</v>
      </c>
      <c r="E626" s="5">
        <f>IF('Raw RetailSalesData'!E626="",'Raw RetailSalesData'!F626/'Raw RetailSalesData'!G626,'Raw RetailSalesData'!E626)</f>
        <v>20</v>
      </c>
      <c r="F626" s="7">
        <f>IF('Raw RetailSalesData'!F626="",'Raw RetailSalesData'!G626/'Raw RetailSalesData'!E626,'Raw RetailSalesData'!F626)</f>
        <v>55</v>
      </c>
      <c r="G626" s="7">
        <f t="shared" si="9"/>
        <v>1100</v>
      </c>
      <c r="H626" s="5" t="str">
        <f>IF('Raw RetailSalesData'!H626="","Unknown",'Raw RetailSalesData'!H626)</f>
        <v>EMEA</v>
      </c>
      <c r="I626" t="s">
        <v>83</v>
      </c>
      <c r="J626" t="s">
        <v>84</v>
      </c>
      <c r="K626" t="str">
        <f>TRIM('Raw RetailSalesData'!K626)</f>
        <v>John Smith</v>
      </c>
      <c r="L626" t="s">
        <v>21</v>
      </c>
    </row>
    <row r="627" spans="1:12" x14ac:dyDescent="0.3">
      <c r="A627" t="str">
        <f>IF(COUNTIF('Raw RetailSalesData'!$A:$L,'Raw RetailSalesData'!A627)=1,'Raw RetailSalesData'!A627,"")</f>
        <v>ORD-10687</v>
      </c>
      <c r="B627" t="str">
        <f>IF('Raw RetailSalesData'!B627="","UNKNOWN",'Raw RetailSalesData'!B627)</f>
        <v>2022-08-26</v>
      </c>
      <c r="C627" t="str">
        <f>IF('Raw RetailSalesData'!C627="","UNKNOW",'Raw RetailSalesData'!C627)</f>
        <v>CUST-1161</v>
      </c>
      <c r="D627" t="str">
        <f>IF('Raw RetailSalesData'!D627="","UNKNOW",'Raw RetailSalesData'!D627)</f>
        <v>P201</v>
      </c>
      <c r="E627" s="5">
        <f>IF('Raw RetailSalesData'!E627="",'Raw RetailSalesData'!F627/'Raw RetailSalesData'!G627,'Raw RetailSalesData'!E627)</f>
        <v>18</v>
      </c>
      <c r="F627" s="7">
        <f>IF('Raw RetailSalesData'!F627="",'Raw RetailSalesData'!G627/'Raw RetailSalesData'!E627,'Raw RetailSalesData'!F627)</f>
        <v>70</v>
      </c>
      <c r="G627" s="7">
        <f t="shared" si="9"/>
        <v>1260</v>
      </c>
      <c r="H627" s="5" t="str">
        <f>IF('Raw RetailSalesData'!H627="","Unknown",'Raw RetailSalesData'!H627)</f>
        <v xml:space="preserve"> APAC </v>
      </c>
      <c r="I627" t="s">
        <v>71</v>
      </c>
      <c r="J627" t="s">
        <v>72</v>
      </c>
      <c r="K627" t="str">
        <f>TRIM('Raw RetailSalesData'!K627)</f>
        <v>Hiroshi Tanaka</v>
      </c>
      <c r="L627" t="s">
        <v>21</v>
      </c>
    </row>
    <row r="628" spans="1:12" x14ac:dyDescent="0.3">
      <c r="A628" t="str">
        <f>IF(COUNTIF('Raw RetailSalesData'!$A:$L,'Raw RetailSalesData'!A628)=1,'Raw RetailSalesData'!A628,"")</f>
        <v>ORD-10688</v>
      </c>
      <c r="B628" t="str">
        <f>IF('Raw RetailSalesData'!B628="","UNKNOWN",'Raw RetailSalesData'!B628)</f>
        <v>2025-12-23</v>
      </c>
      <c r="C628" t="str">
        <f>IF('Raw RetailSalesData'!C628="","UNKNOW",'Raw RetailSalesData'!C628)</f>
        <v>CUST-1070</v>
      </c>
      <c r="D628" t="str">
        <f>IF('Raw RetailSalesData'!D628="","UNKNOW",'Raw RetailSalesData'!D628)</f>
        <v>P203</v>
      </c>
      <c r="E628" s="5">
        <f>IF('Raw RetailSalesData'!E628="",'Raw RetailSalesData'!F628/'Raw RetailSalesData'!G628,'Raw RetailSalesData'!E628)</f>
        <v>7</v>
      </c>
      <c r="F628" s="7">
        <f>IF('Raw RetailSalesData'!F628="",'Raw RetailSalesData'!G628/'Raw RetailSalesData'!E628,'Raw RetailSalesData'!F628)</f>
        <v>73</v>
      </c>
      <c r="G628" s="7">
        <f t="shared" si="9"/>
        <v>511</v>
      </c>
      <c r="H628" s="5" t="str">
        <f>IF('Raw RetailSalesData'!H628="","Unknown",'Raw RetailSalesData'!H628)</f>
        <v>NA</v>
      </c>
      <c r="I628" t="s">
        <v>100</v>
      </c>
      <c r="J628" t="s">
        <v>2190</v>
      </c>
      <c r="K628" t="str">
        <f>TRIM('Raw RetailSalesData'!K628)</f>
        <v>Sales Rep 3</v>
      </c>
      <c r="L628" t="s">
        <v>31</v>
      </c>
    </row>
    <row r="629" spans="1:12" x14ac:dyDescent="0.3">
      <c r="A629" t="str">
        <f>IF(COUNTIF('Raw RetailSalesData'!$A:$L,'Raw RetailSalesData'!A629)=1,'Raw RetailSalesData'!A629,"")</f>
        <v>ORD-10689</v>
      </c>
      <c r="B629" t="str">
        <f>IF('Raw RetailSalesData'!B629="","UNKNOWN",'Raw RetailSalesData'!B629)</f>
        <v>2024-06-17</v>
      </c>
      <c r="C629" t="str">
        <f>IF('Raw RetailSalesData'!C629="","UNKNOW",'Raw RetailSalesData'!C629)</f>
        <v>CUST-1173</v>
      </c>
      <c r="D629" t="str">
        <f>IF('Raw RetailSalesData'!D629="","UNKNOW",'Raw RetailSalesData'!D629)</f>
        <v>P101</v>
      </c>
      <c r="E629" s="5">
        <f>IF('Raw RetailSalesData'!E629="",'Raw RetailSalesData'!F629/'Raw RetailSalesData'!G629,'Raw RetailSalesData'!E629)</f>
        <v>4</v>
      </c>
      <c r="F629" s="7">
        <f>IF('Raw RetailSalesData'!F629="",'Raw RetailSalesData'!G629/'Raw RetailSalesData'!E629,'Raw RetailSalesData'!F629)</f>
        <v>80</v>
      </c>
      <c r="G629" s="7">
        <f t="shared" si="9"/>
        <v>320</v>
      </c>
      <c r="H629" s="5" t="str">
        <f>IF('Raw RetailSalesData'!H629="","Unknown",'Raw RetailSalesData'!H629)</f>
        <v>LATAM</v>
      </c>
      <c r="I629" t="s">
        <v>18</v>
      </c>
      <c r="J629" t="s">
        <v>2197</v>
      </c>
      <c r="K629" t="str">
        <f>TRIM('Raw RetailSalesData'!K629)</f>
        <v>Sales Rep 4</v>
      </c>
      <c r="L629" t="s">
        <v>2190</v>
      </c>
    </row>
    <row r="630" spans="1:12" x14ac:dyDescent="0.3">
      <c r="A630" t="str">
        <f>IF(COUNTIF('Raw RetailSalesData'!$A:$L,'Raw RetailSalesData'!A630)=1,'Raw RetailSalesData'!A630,"")</f>
        <v>ORD-10690</v>
      </c>
      <c r="B630" t="str">
        <f>IF('Raw RetailSalesData'!B630="","UNKNOWN",'Raw RetailSalesData'!B630)</f>
        <v>2024-03-29</v>
      </c>
      <c r="C630" t="str">
        <f>IF('Raw RetailSalesData'!C630="","UNKNOW",'Raw RetailSalesData'!C630)</f>
        <v>CUST-1167</v>
      </c>
      <c r="D630" t="str">
        <f>IF('Raw RetailSalesData'!D630="","UNKNOW",'Raw RetailSalesData'!D630)</f>
        <v>P103</v>
      </c>
      <c r="E630" s="5">
        <f>IF('Raw RetailSalesData'!E630="",'Raw RetailSalesData'!F630/'Raw RetailSalesData'!G630,'Raw RetailSalesData'!E630)</f>
        <v>9</v>
      </c>
      <c r="F630" s="7">
        <f>IF('Raw RetailSalesData'!F630="",'Raw RetailSalesData'!G630/'Raw RetailSalesData'!E630,'Raw RetailSalesData'!F630)</f>
        <v>95</v>
      </c>
      <c r="G630" s="7">
        <f t="shared" si="9"/>
        <v>855</v>
      </c>
      <c r="H630" s="5" t="str">
        <f>IF('Raw RetailSalesData'!H630="","Unknown",'Raw RetailSalesData'!H630)</f>
        <v xml:space="preserve"> APAC </v>
      </c>
      <c r="I630" t="s">
        <v>71</v>
      </c>
      <c r="J630" t="s">
        <v>72</v>
      </c>
      <c r="K630" t="str">
        <f>TRIM('Raw RetailSalesData'!K630)</f>
        <v>Hiroshi Tanaka</v>
      </c>
      <c r="L630" t="s">
        <v>31</v>
      </c>
    </row>
    <row r="631" spans="1:12" x14ac:dyDescent="0.3">
      <c r="A631" t="str">
        <f>IF(COUNTIF('Raw RetailSalesData'!$A:$L,'Raw RetailSalesData'!A631)=1,'Raw RetailSalesData'!A631,"")</f>
        <v>ORD-10692</v>
      </c>
      <c r="B631" t="str">
        <f>IF('Raw RetailSalesData'!B631="","UNKNOWN",'Raw RetailSalesData'!B631)</f>
        <v>2023-08-26</v>
      </c>
      <c r="C631" t="str">
        <f>IF('Raw RetailSalesData'!C631="","UNKNOW",'Raw RetailSalesData'!C631)</f>
        <v>CUST-1063</v>
      </c>
      <c r="D631" t="str">
        <f>IF('Raw RetailSalesData'!D631="","UNKNOW",'Raw RetailSalesData'!D631)</f>
        <v>P101</v>
      </c>
      <c r="E631" s="5">
        <f>IF('Raw RetailSalesData'!E631="",'Raw RetailSalesData'!F631/'Raw RetailSalesData'!G631,'Raw RetailSalesData'!E631)</f>
        <v>20</v>
      </c>
      <c r="F631" s="7">
        <f>IF('Raw RetailSalesData'!F631="",'Raw RetailSalesData'!G631/'Raw RetailSalesData'!E631,'Raw RetailSalesData'!F631)</f>
        <v>80</v>
      </c>
      <c r="G631" s="7">
        <f t="shared" si="9"/>
        <v>1600</v>
      </c>
      <c r="H631" s="5" t="str">
        <f>IF('Raw RetailSalesData'!H631="","Unknown",'Raw RetailSalesData'!H631)</f>
        <v>LATAM</v>
      </c>
      <c r="I631" t="s">
        <v>18</v>
      </c>
      <c r="J631" t="s">
        <v>2197</v>
      </c>
      <c r="K631" t="str">
        <f>TRIM('Raw RetailSalesData'!K631)</f>
        <v>Sales Rep 5</v>
      </c>
      <c r="L631" t="s">
        <v>46</v>
      </c>
    </row>
    <row r="632" spans="1:12" x14ac:dyDescent="0.3">
      <c r="A632" t="str">
        <f>IF(COUNTIF('Raw RetailSalesData'!$A:$L,'Raw RetailSalesData'!A632)=1,'Raw RetailSalesData'!A632,"")</f>
        <v>ORD-10693</v>
      </c>
      <c r="B632" t="str">
        <f>IF('Raw RetailSalesData'!B632="","UNKNOWN",'Raw RetailSalesData'!B632)</f>
        <v>2024-12-26</v>
      </c>
      <c r="C632" t="str">
        <f>IF('Raw RetailSalesData'!C632="","UNKNOW",'Raw RetailSalesData'!C632)</f>
        <v>CUST-1030</v>
      </c>
      <c r="D632" t="str">
        <f>IF('Raw RetailSalesData'!D632="","UNKNOW",'Raw RetailSalesData'!D632)</f>
        <v>P102</v>
      </c>
      <c r="E632" s="5">
        <f>IF('Raw RetailSalesData'!E632="",'Raw RetailSalesData'!F632/'Raw RetailSalesData'!G632,'Raw RetailSalesData'!E632)</f>
        <v>7</v>
      </c>
      <c r="F632" s="7">
        <f>IF('Raw RetailSalesData'!F632="",'Raw RetailSalesData'!G632/'Raw RetailSalesData'!E632,'Raw RetailSalesData'!F632)</f>
        <v>85</v>
      </c>
      <c r="G632" s="7">
        <f t="shared" si="9"/>
        <v>595</v>
      </c>
      <c r="H632" s="5" t="str">
        <f>IF('Raw RetailSalesData'!H632="","Unknown",'Raw RetailSalesData'!H632)</f>
        <v>NA</v>
      </c>
      <c r="I632" t="s">
        <v>28</v>
      </c>
      <c r="J632" t="s">
        <v>29</v>
      </c>
      <c r="K632" t="str">
        <f>TRIM('Raw RetailSalesData'!K632)</f>
        <v>Sales Rep 2</v>
      </c>
      <c r="L632" t="s">
        <v>31</v>
      </c>
    </row>
    <row r="633" spans="1:12" x14ac:dyDescent="0.3">
      <c r="A633" t="str">
        <f>IF(COUNTIF('Raw RetailSalesData'!$A:$L,'Raw RetailSalesData'!A633)=1,'Raw RetailSalesData'!A633,"")</f>
        <v>ORD-10694</v>
      </c>
      <c r="B633" t="str">
        <f>IF('Raw RetailSalesData'!B633="","UNKNOWN",'Raw RetailSalesData'!B633)</f>
        <v>2025-01-18</v>
      </c>
      <c r="C633" t="str">
        <f>IF('Raw RetailSalesData'!C633="","UNKNOW",'Raw RetailSalesData'!C633)</f>
        <v>CUST-1107</v>
      </c>
      <c r="D633" t="str">
        <f>IF('Raw RetailSalesData'!D633="","UNKNOW",'Raw RetailSalesData'!D633)</f>
        <v>C303</v>
      </c>
      <c r="E633" s="5">
        <f>IF('Raw RetailSalesData'!E633="",'Raw RetailSalesData'!F633/'Raw RetailSalesData'!G633,'Raw RetailSalesData'!E633)</f>
        <v>2</v>
      </c>
      <c r="F633" s="7">
        <f>IF('Raw RetailSalesData'!F633="",'Raw RetailSalesData'!G633/'Raw RetailSalesData'!E633,'Raw RetailSalesData'!F633)</f>
        <v>60</v>
      </c>
      <c r="G633" s="7">
        <f t="shared" si="9"/>
        <v>120</v>
      </c>
      <c r="H633" s="5" t="str">
        <f>IF('Raw RetailSalesData'!H633="","Unknown",'Raw RetailSalesData'!H633)</f>
        <v>APAC</v>
      </c>
      <c r="I633" t="s">
        <v>71</v>
      </c>
      <c r="J633" t="s">
        <v>72</v>
      </c>
      <c r="K633" t="str">
        <f>TRIM('Raw RetailSalesData'!K633)</f>
        <v>Hiroshi Tanaka</v>
      </c>
      <c r="L633" t="s">
        <v>31</v>
      </c>
    </row>
    <row r="634" spans="1:12" x14ac:dyDescent="0.3">
      <c r="A634" t="str">
        <f>IF(COUNTIF('Raw RetailSalesData'!$A:$L,'Raw RetailSalesData'!A634)=1,'Raw RetailSalesData'!A634,"")</f>
        <v>ORD-10695</v>
      </c>
      <c r="B634" t="str">
        <f>IF('Raw RetailSalesData'!B634="","UNKNOWN",'Raw RetailSalesData'!B634)</f>
        <v>2026-09-06</v>
      </c>
      <c r="C634" t="str">
        <f>IF('Raw RetailSalesData'!C634="","UNKNOW",'Raw RetailSalesData'!C634)</f>
        <v>CUST-1174</v>
      </c>
      <c r="D634" t="str">
        <f>IF('Raw RetailSalesData'!D634="","UNKNOW",'Raw RetailSalesData'!D634)</f>
        <v xml:space="preserve"> P203 </v>
      </c>
      <c r="E634" s="5">
        <f>IF('Raw RetailSalesData'!E634="",'Raw RetailSalesData'!F634/'Raw RetailSalesData'!G634,'Raw RetailSalesData'!E634)</f>
        <v>18</v>
      </c>
      <c r="F634" s="7">
        <f>IF('Raw RetailSalesData'!F634="",'Raw RetailSalesData'!G634/'Raw RetailSalesData'!E634,'Raw RetailSalesData'!F634)</f>
        <v>63</v>
      </c>
      <c r="G634" s="7">
        <f t="shared" si="9"/>
        <v>1134</v>
      </c>
      <c r="H634" s="5" t="str">
        <f>IF('Raw RetailSalesData'!H634="","Unknown",'Raw RetailSalesData'!H634)</f>
        <v xml:space="preserve"> LATAM </v>
      </c>
      <c r="I634" t="s">
        <v>90</v>
      </c>
      <c r="J634" t="s">
        <v>2198</v>
      </c>
      <c r="K634" t="str">
        <f>TRIM('Raw RetailSalesData'!K634)</f>
        <v>Sales Rep 5</v>
      </c>
      <c r="L634" t="s">
        <v>21</v>
      </c>
    </row>
    <row r="635" spans="1:12" x14ac:dyDescent="0.3">
      <c r="A635" t="str">
        <f>IF(COUNTIF('Raw RetailSalesData'!$A:$L,'Raw RetailSalesData'!A635)=1,'Raw RetailSalesData'!A635,"")</f>
        <v>ORD-10696</v>
      </c>
      <c r="B635" t="str">
        <f>IF('Raw RetailSalesData'!B635="","UNKNOWN",'Raw RetailSalesData'!B635)</f>
        <v xml:space="preserve"> 2023-11-04 </v>
      </c>
      <c r="C635" t="str">
        <f>IF('Raw RetailSalesData'!C635="","UNKNOW",'Raw RetailSalesData'!C635)</f>
        <v>CUST-1127</v>
      </c>
      <c r="D635" t="str">
        <f>IF('Raw RetailSalesData'!D635="","UNKNOW",'Raw RetailSalesData'!D635)</f>
        <v>C303</v>
      </c>
      <c r="E635" s="5">
        <f>IF('Raw RetailSalesData'!E635="",'Raw RetailSalesData'!F635/'Raw RetailSalesData'!G635,'Raw RetailSalesData'!E635)</f>
        <v>3</v>
      </c>
      <c r="F635" s="7">
        <f>IF('Raw RetailSalesData'!F635="",'Raw RetailSalesData'!G635/'Raw RetailSalesData'!E635,'Raw RetailSalesData'!F635)</f>
        <v>65</v>
      </c>
      <c r="G635" s="7">
        <f t="shared" si="9"/>
        <v>195</v>
      </c>
      <c r="H635" s="5" t="str">
        <f>IF('Raw RetailSalesData'!H635="","Unknown",'Raw RetailSalesData'!H635)</f>
        <v>NA</v>
      </c>
      <c r="I635" t="s">
        <v>28</v>
      </c>
      <c r="J635" t="s">
        <v>2196</v>
      </c>
      <c r="K635" t="str">
        <f>TRIM('Raw RetailSalesData'!K635)</f>
        <v>Michael Johnson</v>
      </c>
      <c r="L635" t="s">
        <v>46</v>
      </c>
    </row>
    <row r="636" spans="1:12" x14ac:dyDescent="0.3">
      <c r="A636" t="str">
        <f>IF(COUNTIF('Raw RetailSalesData'!$A:$L,'Raw RetailSalesData'!A636)=1,'Raw RetailSalesData'!A636,"")</f>
        <v>ORD-10697</v>
      </c>
      <c r="B636" t="str">
        <f>IF('Raw RetailSalesData'!B636="","UNKNOWN",'Raw RetailSalesData'!B636)</f>
        <v xml:space="preserve"> 2023-01-19 </v>
      </c>
      <c r="C636" t="str">
        <f>IF('Raw RetailSalesData'!C636="","UNKNOW",'Raw RetailSalesData'!C636)</f>
        <v>CUST-1193</v>
      </c>
      <c r="D636" t="str">
        <f>IF('Raw RetailSalesData'!D636="","UNKNOW",'Raw RetailSalesData'!D636)</f>
        <v>P202</v>
      </c>
      <c r="E636" s="5">
        <f>IF('Raw RetailSalesData'!E636="",'Raw RetailSalesData'!F636/'Raw RetailSalesData'!G636,'Raw RetailSalesData'!E636)</f>
        <v>12</v>
      </c>
      <c r="F636" s="7">
        <f>IF('Raw RetailSalesData'!F636="",'Raw RetailSalesData'!G636/'Raw RetailSalesData'!E636,'Raw RetailSalesData'!F636)</f>
        <v>65</v>
      </c>
      <c r="G636" s="7">
        <f t="shared" si="9"/>
        <v>780</v>
      </c>
      <c r="H636" s="5" t="str">
        <f>IF('Raw RetailSalesData'!H636="","Unknown",'Raw RetailSalesData'!H636)</f>
        <v>APAC</v>
      </c>
      <c r="I636" t="s">
        <v>183</v>
      </c>
      <c r="J636" t="s">
        <v>184</v>
      </c>
      <c r="K636" t="str">
        <f>TRIM('Raw RetailSalesData'!K636)</f>
        <v>Sales Rep 5</v>
      </c>
      <c r="L636" t="s">
        <v>31</v>
      </c>
    </row>
    <row r="637" spans="1:12" x14ac:dyDescent="0.3">
      <c r="A637" t="str">
        <f>IF(COUNTIF('Raw RetailSalesData'!$A:$L,'Raw RetailSalesData'!A637)=1,'Raw RetailSalesData'!A637,"")</f>
        <v>ORD-10698</v>
      </c>
      <c r="B637" t="str">
        <f>IF('Raw RetailSalesData'!B637="","UNKNOWN",'Raw RetailSalesData'!B637)</f>
        <v>2023-10-09</v>
      </c>
      <c r="C637" t="str">
        <f>IF('Raw RetailSalesData'!C637="","UNKNOW",'Raw RetailSalesData'!C637)</f>
        <v>CUST-1061</v>
      </c>
      <c r="D637" t="str">
        <f>IF('Raw RetailSalesData'!D637="","UNKNOW",'Raw RetailSalesData'!D637)</f>
        <v>P103</v>
      </c>
      <c r="E637" s="5">
        <f>IF('Raw RetailSalesData'!E637="",'Raw RetailSalesData'!F637/'Raw RetailSalesData'!G637,'Raw RetailSalesData'!E637)</f>
        <v>2</v>
      </c>
      <c r="F637" s="7">
        <f>IF('Raw RetailSalesData'!F637="",'Raw RetailSalesData'!G637/'Raw RetailSalesData'!E637,'Raw RetailSalesData'!F637)</f>
        <v>90</v>
      </c>
      <c r="G637" s="7">
        <f t="shared" si="9"/>
        <v>180</v>
      </c>
      <c r="H637" s="5" t="str">
        <f>IF('Raw RetailSalesData'!H637="","Unknown",'Raw RetailSalesData'!H637)</f>
        <v>LATAM</v>
      </c>
      <c r="I637" t="s">
        <v>18</v>
      </c>
      <c r="J637" t="s">
        <v>2197</v>
      </c>
      <c r="K637" t="str">
        <f>TRIM('Raw RetailSalesData'!K637)</f>
        <v>Sales Rep 4</v>
      </c>
      <c r="L637" t="s">
        <v>21</v>
      </c>
    </row>
    <row r="638" spans="1:12" x14ac:dyDescent="0.3">
      <c r="A638" t="str">
        <f>IF(COUNTIF('Raw RetailSalesData'!$A:$L,'Raw RetailSalesData'!A638)=1,'Raw RetailSalesData'!A638,"")</f>
        <v>ORD-10699</v>
      </c>
      <c r="B638" t="str">
        <f>IF('Raw RetailSalesData'!B638="","UNKNOWN",'Raw RetailSalesData'!B638)</f>
        <v>2022-08-21</v>
      </c>
      <c r="C638" t="str">
        <f>IF('Raw RetailSalesData'!C638="","UNKNOW",'Raw RetailSalesData'!C638)</f>
        <v>CUST-1101</v>
      </c>
      <c r="D638" t="str">
        <f>IF('Raw RetailSalesData'!D638="","UNKNOW",'Raw RetailSalesData'!D638)</f>
        <v>P103</v>
      </c>
      <c r="E638" s="5">
        <f>IF('Raw RetailSalesData'!E638="",'Raw RetailSalesData'!F638/'Raw RetailSalesData'!G638,'Raw RetailSalesData'!E638)</f>
        <v>2</v>
      </c>
      <c r="F638" s="7">
        <f>IF('Raw RetailSalesData'!F638="",'Raw RetailSalesData'!G638/'Raw RetailSalesData'!E638,'Raw RetailSalesData'!F638)</f>
        <v>90</v>
      </c>
      <c r="G638" s="7">
        <f t="shared" si="9"/>
        <v>180</v>
      </c>
      <c r="H638" s="5" t="str">
        <f>IF('Raw RetailSalesData'!H638="","Unknown",'Raw RetailSalesData'!H638)</f>
        <v>LATAM</v>
      </c>
      <c r="I638" t="s">
        <v>90</v>
      </c>
      <c r="J638" t="s">
        <v>2198</v>
      </c>
      <c r="K638" t="str">
        <f>TRIM('Raw RetailSalesData'!K638)</f>
        <v>Sales Rep 1</v>
      </c>
      <c r="L638" t="s">
        <v>21</v>
      </c>
    </row>
    <row r="639" spans="1:12" x14ac:dyDescent="0.3">
      <c r="A639" t="str">
        <f>IF(COUNTIF('Raw RetailSalesData'!$A:$L,'Raw RetailSalesData'!A639)=1,'Raw RetailSalesData'!A639,"")</f>
        <v>ORD-10700</v>
      </c>
      <c r="B639" t="str">
        <f>IF('Raw RetailSalesData'!B639="","UNKNOWN",'Raw RetailSalesData'!B639)</f>
        <v>2023-03-11</v>
      </c>
      <c r="C639" t="str">
        <f>IF('Raw RetailSalesData'!C639="","UNKNOW",'Raw RetailSalesData'!C639)</f>
        <v>CUST-1064</v>
      </c>
      <c r="D639" t="str">
        <f>IF('Raw RetailSalesData'!D639="","UNKNOW",'Raw RetailSalesData'!D639)</f>
        <v>P101</v>
      </c>
      <c r="E639" s="5">
        <f>IF('Raw RetailSalesData'!E639="",'Raw RetailSalesData'!F639/'Raw RetailSalesData'!G639,'Raw RetailSalesData'!E639)</f>
        <v>3</v>
      </c>
      <c r="F639" s="7">
        <f>IF('Raw RetailSalesData'!F639="",'Raw RetailSalesData'!G639/'Raw RetailSalesData'!E639,'Raw RetailSalesData'!F639)</f>
        <v>90</v>
      </c>
      <c r="G639" s="7">
        <f t="shared" si="9"/>
        <v>270</v>
      </c>
      <c r="H639" s="5" t="str">
        <f>IF('Raw RetailSalesData'!H639="","Unknown",'Raw RetailSalesData'!H639)</f>
        <v>NA</v>
      </c>
      <c r="I639" t="s">
        <v>100</v>
      </c>
      <c r="J639" t="s">
        <v>101</v>
      </c>
      <c r="K639" t="str">
        <f>TRIM('Raw RetailSalesData'!K639)</f>
        <v>Sales Rep 4</v>
      </c>
      <c r="L639" t="s">
        <v>46</v>
      </c>
    </row>
    <row r="640" spans="1:12" x14ac:dyDescent="0.3">
      <c r="A640" t="str">
        <f>IF(COUNTIF('Raw RetailSalesData'!$A:$L,'Raw RetailSalesData'!A640)=1,'Raw RetailSalesData'!A640,"")</f>
        <v>ORD-10701</v>
      </c>
      <c r="B640" t="str">
        <f>IF('Raw RetailSalesData'!B640="","UNKNOWN",'Raw RetailSalesData'!B640)</f>
        <v>2026-05-23</v>
      </c>
      <c r="C640" t="str">
        <f>IF('Raw RetailSalesData'!C640="","UNKNOW",'Raw RetailSalesData'!C640)</f>
        <v>CUST-1042</v>
      </c>
      <c r="D640" t="str">
        <f>IF('Raw RetailSalesData'!D640="","UNKNOW",'Raw RetailSalesData'!D640)</f>
        <v>C302</v>
      </c>
      <c r="E640" s="5">
        <f>IF('Raw RetailSalesData'!E640="",'Raw RetailSalesData'!F640/'Raw RetailSalesData'!G640,'Raw RetailSalesData'!E640)</f>
        <v>14</v>
      </c>
      <c r="F640" s="7">
        <f>IF('Raw RetailSalesData'!F640="",'Raw RetailSalesData'!G640/'Raw RetailSalesData'!E640,'Raw RetailSalesData'!F640)</f>
        <v>50</v>
      </c>
      <c r="G640" s="7">
        <f t="shared" si="9"/>
        <v>700</v>
      </c>
      <c r="H640" s="5" t="str">
        <f>IF('Raw RetailSalesData'!H640="","Unknown",'Raw RetailSalesData'!H640)</f>
        <v>APAC</v>
      </c>
      <c r="I640" t="s">
        <v>183</v>
      </c>
      <c r="J640" t="s">
        <v>184</v>
      </c>
      <c r="K640" t="str">
        <f>TRIM('Raw RetailSalesData'!K640)</f>
        <v>Sales Rep 2</v>
      </c>
      <c r="L640" t="s">
        <v>46</v>
      </c>
    </row>
    <row r="641" spans="1:12" x14ac:dyDescent="0.3">
      <c r="A641" t="str">
        <f>IF(COUNTIF('Raw RetailSalesData'!$A:$L,'Raw RetailSalesData'!A641)=1,'Raw RetailSalesData'!A641,"")</f>
        <v>ORD-10702</v>
      </c>
      <c r="B641" t="str">
        <f>IF('Raw RetailSalesData'!B641="","UNKNOWN",'Raw RetailSalesData'!B641)</f>
        <v>2023-01-27</v>
      </c>
      <c r="C641" t="str">
        <f>IF('Raw RetailSalesData'!C641="","UNKNOW",'Raw RetailSalesData'!C641)</f>
        <v>CUST-1002</v>
      </c>
      <c r="D641" t="str">
        <f>IF('Raw RetailSalesData'!D641="","UNKNOW",'Raw RetailSalesData'!D641)</f>
        <v>C303</v>
      </c>
      <c r="E641" s="5">
        <f>IF('Raw RetailSalesData'!E641="",'Raw RetailSalesData'!F641/'Raw RetailSalesData'!G641,'Raw RetailSalesData'!E641)</f>
        <v>13</v>
      </c>
      <c r="F641" s="7">
        <f>IF('Raw RetailSalesData'!F641="",'Raw RetailSalesData'!G641/'Raw RetailSalesData'!E641,'Raw RetailSalesData'!F641)</f>
        <v>55</v>
      </c>
      <c r="G641" s="7">
        <f t="shared" si="9"/>
        <v>715</v>
      </c>
      <c r="H641" s="5" t="str">
        <f>IF('Raw RetailSalesData'!H641="","Unknown",'Raw RetailSalesData'!H641)</f>
        <v>LATAM</v>
      </c>
      <c r="I641" t="s">
        <v>90</v>
      </c>
      <c r="J641" t="s">
        <v>2198</v>
      </c>
      <c r="K641" t="str">
        <f>TRIM('Raw RetailSalesData'!K641)</f>
        <v>Sales Rep 3</v>
      </c>
      <c r="L641" t="s">
        <v>46</v>
      </c>
    </row>
    <row r="642" spans="1:12" x14ac:dyDescent="0.3">
      <c r="A642" t="str">
        <f>IF(COUNTIF('Raw RetailSalesData'!$A:$L,'Raw RetailSalesData'!A642)=1,'Raw RetailSalesData'!A642,"")</f>
        <v>ORD-10703</v>
      </c>
      <c r="B642" t="str">
        <f>IF('Raw RetailSalesData'!B642="","UNKNOWN",'Raw RetailSalesData'!B642)</f>
        <v>2022-05-20</v>
      </c>
      <c r="C642" t="str">
        <f>IF('Raw RetailSalesData'!C642="","UNKNOW",'Raw RetailSalesData'!C642)</f>
        <v>CUST-1132</v>
      </c>
      <c r="D642" t="str">
        <f>IF('Raw RetailSalesData'!D642="","UNKNOW",'Raw RetailSalesData'!D642)</f>
        <v>P202</v>
      </c>
      <c r="E642" s="5">
        <f>IF('Raw RetailSalesData'!E642="",'Raw RetailSalesData'!F642/'Raw RetailSalesData'!G642,'Raw RetailSalesData'!E642)</f>
        <v>20</v>
      </c>
      <c r="F642" s="7">
        <f>IF('Raw RetailSalesData'!F642="",'Raw RetailSalesData'!G642/'Raw RetailSalesData'!E642,'Raw RetailSalesData'!F642)</f>
        <v>70</v>
      </c>
      <c r="G642" s="7">
        <f t="shared" si="9"/>
        <v>1400</v>
      </c>
      <c r="H642" s="5" t="str">
        <f>IF('Raw RetailSalesData'!H642="","Unknown",'Raw RetailSalesData'!H642)</f>
        <v>NA</v>
      </c>
      <c r="I642" t="s">
        <v>28</v>
      </c>
      <c r="J642" t="s">
        <v>29</v>
      </c>
      <c r="K642" t="str">
        <f>TRIM('Raw RetailSalesData'!K642)</f>
        <v>Sales Rep 3</v>
      </c>
      <c r="L642" t="s">
        <v>21</v>
      </c>
    </row>
    <row r="643" spans="1:12" x14ac:dyDescent="0.3">
      <c r="A643" t="str">
        <f>IF(COUNTIF('Raw RetailSalesData'!$A:$L,'Raw RetailSalesData'!A643)=1,'Raw RetailSalesData'!A643,"")</f>
        <v>ORD-10704</v>
      </c>
      <c r="B643" t="str">
        <f>IF('Raw RetailSalesData'!B643="","UNKNOWN",'Raw RetailSalesData'!B643)</f>
        <v>2023-06-26</v>
      </c>
      <c r="C643" t="str">
        <f>IF('Raw RetailSalesData'!C643="","UNKNOW",'Raw RetailSalesData'!C643)</f>
        <v>CUST-1110</v>
      </c>
      <c r="D643" t="str">
        <f>IF('Raw RetailSalesData'!D643="","UNKNOW",'Raw RetailSalesData'!D643)</f>
        <v>#N/A</v>
      </c>
      <c r="E643" s="5">
        <f>IF('Raw RetailSalesData'!E643="",'Raw RetailSalesData'!F643/'Raw RetailSalesData'!G643,'Raw RetailSalesData'!E643)</f>
        <v>9</v>
      </c>
      <c r="F643" s="7">
        <f>IF('Raw RetailSalesData'!F643="",'Raw RetailSalesData'!G643/'Raw RetailSalesData'!E643,'Raw RetailSalesData'!F643)</f>
        <v>80</v>
      </c>
      <c r="G643" s="7">
        <f t="shared" ref="G643:G706" si="10">F643*E643</f>
        <v>720</v>
      </c>
      <c r="H643" s="5" t="str">
        <f>IF('Raw RetailSalesData'!H643="","Unknown",'Raw RetailSalesData'!H643)</f>
        <v>LATAM</v>
      </c>
      <c r="I643" t="s">
        <v>18</v>
      </c>
      <c r="J643" t="s">
        <v>2197</v>
      </c>
      <c r="K643" t="str">
        <f>TRIM('Raw RetailSalesData'!K643)</f>
        <v>Sales Rep 5</v>
      </c>
      <c r="L643" t="s">
        <v>46</v>
      </c>
    </row>
    <row r="644" spans="1:12" x14ac:dyDescent="0.3">
      <c r="A644" t="str">
        <f>IF(COUNTIF('Raw RetailSalesData'!$A:$L,'Raw RetailSalesData'!A644)=1,'Raw RetailSalesData'!A644,"")</f>
        <v>ORD-10705</v>
      </c>
      <c r="B644" t="str">
        <f>IF('Raw RetailSalesData'!B644="","UNKNOWN",'Raw RetailSalesData'!B644)</f>
        <v>2023-06-26</v>
      </c>
      <c r="C644" t="str">
        <f>IF('Raw RetailSalesData'!C644="","UNKNOW",'Raw RetailSalesData'!C644)</f>
        <v>CUST-1110</v>
      </c>
      <c r="D644" t="str">
        <f>IF('Raw RetailSalesData'!D644="","UNKNOW",'Raw RetailSalesData'!D644)</f>
        <v>P101</v>
      </c>
      <c r="E644" s="5">
        <f>IF('Raw RetailSalesData'!E644="",'Raw RetailSalesData'!F644/'Raw RetailSalesData'!G644,'Raw RetailSalesData'!E644)</f>
        <v>9</v>
      </c>
      <c r="F644" s="7">
        <f>IF('Raw RetailSalesData'!F644="",'Raw RetailSalesData'!G644/'Raw RetailSalesData'!E644,'Raw RetailSalesData'!F644)</f>
        <v>80</v>
      </c>
      <c r="G644" s="7">
        <f t="shared" si="10"/>
        <v>720</v>
      </c>
      <c r="H644" s="5" t="str">
        <f>IF('Raw RetailSalesData'!H644="","Unknown",'Raw RetailSalesData'!H644)</f>
        <v>LATAM</v>
      </c>
      <c r="I644" t="s">
        <v>18</v>
      </c>
      <c r="J644" t="s">
        <v>2197</v>
      </c>
      <c r="K644" t="str">
        <f>TRIM('Raw RetailSalesData'!K644)</f>
        <v>Sales Rep 5</v>
      </c>
      <c r="L644" t="s">
        <v>46</v>
      </c>
    </row>
    <row r="645" spans="1:12" x14ac:dyDescent="0.3">
      <c r="A645" t="str">
        <f>IF(COUNTIF('Raw RetailSalesData'!$A:$L,'Raw RetailSalesData'!A645)=1,'Raw RetailSalesData'!A645,"")</f>
        <v>ORD-10706</v>
      </c>
      <c r="B645" t="str">
        <f>IF('Raw RetailSalesData'!B645="","UNKNOWN",'Raw RetailSalesData'!B645)</f>
        <v>2025-03-02</v>
      </c>
      <c r="C645" t="str">
        <f>IF('Raw RetailSalesData'!C645="","UNKNOW",'Raw RetailSalesData'!C645)</f>
        <v>CUST-1103</v>
      </c>
      <c r="D645" t="str">
        <f>IF('Raw RetailSalesData'!D645="","UNKNOW",'Raw RetailSalesData'!D645)</f>
        <v>P201</v>
      </c>
      <c r="E645" s="5">
        <f>IF('Raw RetailSalesData'!E645="",'Raw RetailSalesData'!F645/'Raw RetailSalesData'!G645,'Raw RetailSalesData'!E645)</f>
        <v>15</v>
      </c>
      <c r="F645" s="7">
        <f>IF('Raw RetailSalesData'!F645="",'Raw RetailSalesData'!G645/'Raw RetailSalesData'!E645,'Raw RetailSalesData'!F645)</f>
        <v>70</v>
      </c>
      <c r="G645" s="7">
        <f t="shared" si="10"/>
        <v>1050</v>
      </c>
      <c r="H645" s="5" t="str">
        <f>IF('Raw RetailSalesData'!H645="","Unknown",'Raw RetailSalesData'!H645)</f>
        <v>APAC</v>
      </c>
      <c r="I645" t="s">
        <v>151</v>
      </c>
      <c r="J645" t="s">
        <v>152</v>
      </c>
      <c r="K645" t="str">
        <f>TRIM('Raw RetailSalesData'!K645)</f>
        <v>Aarav Patel</v>
      </c>
      <c r="L645" t="s">
        <v>46</v>
      </c>
    </row>
    <row r="646" spans="1:12" x14ac:dyDescent="0.3">
      <c r="A646" t="str">
        <f>IF(COUNTIF('Raw RetailSalesData'!$A:$L,'Raw RetailSalesData'!A646)=1,'Raw RetailSalesData'!A646,"")</f>
        <v>ORD-10707</v>
      </c>
      <c r="B646" t="str">
        <f>IF('Raw RetailSalesData'!B646="","UNKNOWN",'Raw RetailSalesData'!B646)</f>
        <v>2026-09-04</v>
      </c>
      <c r="C646" t="str">
        <f>IF('Raw RetailSalesData'!C646="","UNKNOW",'Raw RetailSalesData'!C646)</f>
        <v>CUST-1093</v>
      </c>
      <c r="D646" t="str">
        <f>IF('Raw RetailSalesData'!D646="","UNKNOW",'Raw RetailSalesData'!D646)</f>
        <v>C303</v>
      </c>
      <c r="E646" s="5">
        <f>IF('Raw RetailSalesData'!E646="",'Raw RetailSalesData'!F646/'Raw RetailSalesData'!G646,'Raw RetailSalesData'!E646)</f>
        <v>5</v>
      </c>
      <c r="F646" s="7">
        <f>IF('Raw RetailSalesData'!F646="",'Raw RetailSalesData'!G646/'Raw RetailSalesData'!E646,'Raw RetailSalesData'!F646)</f>
        <v>65</v>
      </c>
      <c r="G646" s="7">
        <f t="shared" si="10"/>
        <v>325</v>
      </c>
      <c r="H646" s="5" t="str">
        <f>IF('Raw RetailSalesData'!H646="","Unknown",'Raw RetailSalesData'!H646)</f>
        <v>NA</v>
      </c>
      <c r="I646" t="s">
        <v>28</v>
      </c>
      <c r="J646" t="s">
        <v>29</v>
      </c>
      <c r="K646" t="str">
        <f>TRIM('Raw RetailSalesData'!K646)</f>
        <v>Sales Rep 2</v>
      </c>
      <c r="L646" t="s">
        <v>21</v>
      </c>
    </row>
    <row r="647" spans="1:12" x14ac:dyDescent="0.3">
      <c r="A647" t="str">
        <f>IF(COUNTIF('Raw RetailSalesData'!$A:$L,'Raw RetailSalesData'!A647)=1,'Raw RetailSalesData'!A647,"")</f>
        <v>ORD-10708</v>
      </c>
      <c r="B647" t="str">
        <f>IF('Raw RetailSalesData'!B647="","UNKNOWN",'Raw RetailSalesData'!B647)</f>
        <v>2024-09-16</v>
      </c>
      <c r="C647" t="str">
        <f>IF('Raw RetailSalesData'!C647="","UNKNOW",'Raw RetailSalesData'!C647)</f>
        <v>CUST-1077</v>
      </c>
      <c r="D647" t="str">
        <f>IF('Raw RetailSalesData'!D647="","UNKNOW",'Raw RetailSalesData'!D647)</f>
        <v>C301</v>
      </c>
      <c r="E647" s="5">
        <f>IF('Raw RetailSalesData'!E647="",'Raw RetailSalesData'!F647/'Raw RetailSalesData'!G647,'Raw RetailSalesData'!E647)</f>
        <v>6</v>
      </c>
      <c r="F647" s="7">
        <f>IF('Raw RetailSalesData'!F647="",'Raw RetailSalesData'!G647/'Raw RetailSalesData'!E647,'Raw RetailSalesData'!F647)</f>
        <v>55</v>
      </c>
      <c r="G647" s="7">
        <f t="shared" si="10"/>
        <v>330</v>
      </c>
      <c r="H647" s="5" t="str">
        <f>IF('Raw RetailSalesData'!H647="","Unknown",'Raw RetailSalesData'!H647)</f>
        <v>EMEA</v>
      </c>
      <c r="I647" t="s">
        <v>38</v>
      </c>
      <c r="J647" t="s">
        <v>39</v>
      </c>
      <c r="K647" t="str">
        <f>TRIM('Raw RetailSalesData'!K647)</f>
        <v>Sales Rep 2</v>
      </c>
      <c r="L647" t="s">
        <v>2190</v>
      </c>
    </row>
    <row r="648" spans="1:12" x14ac:dyDescent="0.3">
      <c r="A648" t="str">
        <f>IF(COUNTIF('Raw RetailSalesData'!$A:$L,'Raw RetailSalesData'!A648)=1,'Raw RetailSalesData'!A648,"")</f>
        <v>ORD-10709</v>
      </c>
      <c r="B648" t="str">
        <f>IF('Raw RetailSalesData'!B648="","UNKNOWN",'Raw RetailSalesData'!B648)</f>
        <v xml:space="preserve"> 2024-02-22 </v>
      </c>
      <c r="C648" t="str">
        <f>IF('Raw RetailSalesData'!C648="","UNKNOW",'Raw RetailSalesData'!C648)</f>
        <v>CUST-1113</v>
      </c>
      <c r="D648" t="str">
        <f>IF('Raw RetailSalesData'!D648="","UNKNOW",'Raw RetailSalesData'!D648)</f>
        <v>P201</v>
      </c>
      <c r="E648" s="5">
        <f>IF('Raw RetailSalesData'!E648="",'Raw RetailSalesData'!F648/'Raw RetailSalesData'!G648,'Raw RetailSalesData'!E648)</f>
        <v>4</v>
      </c>
      <c r="F648" s="7">
        <f>IF('Raw RetailSalesData'!F648="",'Raw RetailSalesData'!G648/'Raw RetailSalesData'!E648,'Raw RetailSalesData'!F648)</f>
        <v>65</v>
      </c>
      <c r="G648" s="7">
        <f t="shared" si="10"/>
        <v>260</v>
      </c>
      <c r="H648" s="5" t="str">
        <f>IF('Raw RetailSalesData'!H648="","Unknown",'Raw RetailSalesData'!H648)</f>
        <v>LATAM</v>
      </c>
      <c r="I648" t="s">
        <v>90</v>
      </c>
      <c r="J648" t="s">
        <v>2198</v>
      </c>
      <c r="K648" t="str">
        <f>TRIM('Raw RetailSalesData'!K648)</f>
        <v>Sales Rep 1</v>
      </c>
      <c r="L648" t="s">
        <v>46</v>
      </c>
    </row>
    <row r="649" spans="1:12" x14ac:dyDescent="0.3">
      <c r="A649" t="str">
        <f>IF(COUNTIF('Raw RetailSalesData'!$A:$L,'Raw RetailSalesData'!A649)=1,'Raw RetailSalesData'!A649,"")</f>
        <v>ORD-10710</v>
      </c>
      <c r="B649" t="str">
        <f>IF('Raw RetailSalesData'!B649="","UNKNOWN",'Raw RetailSalesData'!B649)</f>
        <v>2022-03-09</v>
      </c>
      <c r="C649" t="str">
        <f>IF('Raw RetailSalesData'!C649="","UNKNOW",'Raw RetailSalesData'!C649)</f>
        <v>CUST-1177</v>
      </c>
      <c r="D649" t="str">
        <f>IF('Raw RetailSalesData'!D649="","UNKNOW",'Raw RetailSalesData'!D649)</f>
        <v>C301</v>
      </c>
      <c r="E649" s="5">
        <f>IF('Raw RetailSalesData'!E649="",'Raw RetailSalesData'!F649/'Raw RetailSalesData'!G649,'Raw RetailSalesData'!E649)</f>
        <v>1</v>
      </c>
      <c r="F649" s="7">
        <f>IF('Raw RetailSalesData'!F649="",'Raw RetailSalesData'!G649/'Raw RetailSalesData'!E649,'Raw RetailSalesData'!F649)</f>
        <v>55</v>
      </c>
      <c r="G649" s="7">
        <f t="shared" si="10"/>
        <v>55</v>
      </c>
      <c r="H649" s="5" t="str">
        <f>IF('Raw RetailSalesData'!H649="","Unknown",'Raw RetailSalesData'!H649)</f>
        <v>APAC</v>
      </c>
      <c r="I649" t="s">
        <v>71</v>
      </c>
      <c r="J649" t="s">
        <v>72</v>
      </c>
      <c r="K649" t="str">
        <f>TRIM('Raw RetailSalesData'!K649)</f>
        <v>Hiroshi Tanaka</v>
      </c>
      <c r="L649" t="s">
        <v>21</v>
      </c>
    </row>
    <row r="650" spans="1:12" x14ac:dyDescent="0.3">
      <c r="A650" t="str">
        <f>IF(COUNTIF('Raw RetailSalesData'!$A:$L,'Raw RetailSalesData'!A650)=1,'Raw RetailSalesData'!A650,"")</f>
        <v>ORD-10711</v>
      </c>
      <c r="B650" t="str">
        <f>IF('Raw RetailSalesData'!B650="","UNKNOWN",'Raw RetailSalesData'!B650)</f>
        <v>2022-06-26</v>
      </c>
      <c r="C650" t="str">
        <f>IF('Raw RetailSalesData'!C650="","UNKNOW",'Raw RetailSalesData'!C650)</f>
        <v>CUST-1045</v>
      </c>
      <c r="D650" t="str">
        <f>IF('Raw RetailSalesData'!D650="","UNKNOW",'Raw RetailSalesData'!D650)</f>
        <v>P203</v>
      </c>
      <c r="E650" s="5">
        <f>IF('Raw RetailSalesData'!E650="",'Raw RetailSalesData'!F650/'Raw RetailSalesData'!G650,'Raw RetailSalesData'!E650)</f>
        <v>15</v>
      </c>
      <c r="F650" s="7">
        <f>IF('Raw RetailSalesData'!F650="",'Raw RetailSalesData'!G650/'Raw RetailSalesData'!E650,'Raw RetailSalesData'!F650)</f>
        <v>68</v>
      </c>
      <c r="G650" s="7">
        <f t="shared" si="10"/>
        <v>1020</v>
      </c>
      <c r="H650" s="5" t="str">
        <f>IF('Raw RetailSalesData'!H650="","Unknown",'Raw RetailSalesData'!H650)</f>
        <v>EMEA</v>
      </c>
      <c r="I650" t="s">
        <v>225</v>
      </c>
      <c r="J650" t="s">
        <v>226</v>
      </c>
      <c r="K650" t="str">
        <f>TRIM('Raw RetailSalesData'!K650)</f>
        <v>Sales Rep 3</v>
      </c>
      <c r="L650" t="s">
        <v>31</v>
      </c>
    </row>
    <row r="651" spans="1:12" x14ac:dyDescent="0.3">
      <c r="A651" t="str">
        <f>IF(COUNTIF('Raw RetailSalesData'!$A:$L,'Raw RetailSalesData'!A651)=1,'Raw RetailSalesData'!A651,"")</f>
        <v>ORD-10712</v>
      </c>
      <c r="B651" t="str">
        <f>IF('Raw RetailSalesData'!B651="","UNKNOWN",'Raw RetailSalesData'!B651)</f>
        <v>2022-06-26</v>
      </c>
      <c r="C651" t="str">
        <f>IF('Raw RetailSalesData'!C651="","UNKNOW",'Raw RetailSalesData'!C651)</f>
        <v>CUST-1045</v>
      </c>
      <c r="D651" t="str">
        <f>IF('Raw RetailSalesData'!D651="","UNKNOW",'Raw RetailSalesData'!D651)</f>
        <v>P203</v>
      </c>
      <c r="E651" s="5">
        <f>IF('Raw RetailSalesData'!E651="",'Raw RetailSalesData'!F651/'Raw RetailSalesData'!G651,'Raw RetailSalesData'!E651)</f>
        <v>15</v>
      </c>
      <c r="F651" s="7">
        <f>IF('Raw RetailSalesData'!F651="",'Raw RetailSalesData'!G651/'Raw RetailSalesData'!E651,'Raw RetailSalesData'!F651)</f>
        <v>68</v>
      </c>
      <c r="G651" s="7">
        <f t="shared" si="10"/>
        <v>1020</v>
      </c>
      <c r="H651" s="5" t="str">
        <f>IF('Raw RetailSalesData'!H651="","Unknown",'Raw RetailSalesData'!H651)</f>
        <v>EMEA</v>
      </c>
      <c r="I651" t="s">
        <v>225</v>
      </c>
      <c r="J651" t="s">
        <v>226</v>
      </c>
      <c r="K651" t="str">
        <f>TRIM('Raw RetailSalesData'!K651)</f>
        <v>Sales Rep 3</v>
      </c>
      <c r="L651" t="s">
        <v>31</v>
      </c>
    </row>
    <row r="652" spans="1:12" x14ac:dyDescent="0.3">
      <c r="A652" t="str">
        <f>IF(COUNTIF('Raw RetailSalesData'!$A:$L,'Raw RetailSalesData'!A652)=1,'Raw RetailSalesData'!A652,"")</f>
        <v>ORD-10713</v>
      </c>
      <c r="B652" t="str">
        <f>IF('Raw RetailSalesData'!B652="","UNKNOWN",'Raw RetailSalesData'!B652)</f>
        <v>2023-02-27</v>
      </c>
      <c r="C652" t="str">
        <f>IF('Raw RetailSalesData'!C652="","UNKNOW",'Raw RetailSalesData'!C652)</f>
        <v xml:space="preserve"> CUST-1027 </v>
      </c>
      <c r="D652" t="str">
        <f>IF('Raw RetailSalesData'!D652="","UNKNOW",'Raw RetailSalesData'!D652)</f>
        <v xml:space="preserve"> P101 </v>
      </c>
      <c r="E652" s="5">
        <f>IF('Raw RetailSalesData'!E652="",'Raw RetailSalesData'!F652/'Raw RetailSalesData'!G652,'Raw RetailSalesData'!E652)</f>
        <v>17</v>
      </c>
      <c r="F652" s="7">
        <f>IF('Raw RetailSalesData'!F652="",'Raw RetailSalesData'!G652/'Raw RetailSalesData'!E652,'Raw RetailSalesData'!F652)</f>
        <v>85</v>
      </c>
      <c r="G652" s="7">
        <f t="shared" si="10"/>
        <v>1445</v>
      </c>
      <c r="H652" s="5" t="str">
        <f>IF('Raw RetailSalesData'!H652="","Unknown",'Raw RetailSalesData'!H652)</f>
        <v>EMEA</v>
      </c>
      <c r="I652" t="s">
        <v>38</v>
      </c>
      <c r="J652" t="s">
        <v>39</v>
      </c>
      <c r="K652" t="str">
        <f>TRIM('Raw RetailSalesData'!K652)</f>
        <v>Sales Rep 5</v>
      </c>
      <c r="L652" t="s">
        <v>46</v>
      </c>
    </row>
    <row r="653" spans="1:12" x14ac:dyDescent="0.3">
      <c r="A653" t="str">
        <f>IF(COUNTIF('Raw RetailSalesData'!$A:$L,'Raw RetailSalesData'!A653)=1,'Raw RetailSalesData'!A653,"")</f>
        <v>ORD-10714</v>
      </c>
      <c r="B653" t="str">
        <f>IF('Raw RetailSalesData'!B653="","UNKNOWN",'Raw RetailSalesData'!B653)</f>
        <v>2025-03-15</v>
      </c>
      <c r="C653" t="str">
        <f>IF('Raw RetailSalesData'!C653="","UNKNOW",'Raw RetailSalesData'!C653)</f>
        <v>CUST-1081</v>
      </c>
      <c r="D653" t="str">
        <f>IF('Raw RetailSalesData'!D653="","UNKNOW",'Raw RetailSalesData'!D653)</f>
        <v xml:space="preserve"> P202 </v>
      </c>
      <c r="E653" s="5">
        <f>IF('Raw RetailSalesData'!E653="",'Raw RetailSalesData'!F653/'Raw RetailSalesData'!G653,'Raw RetailSalesData'!E653)</f>
        <v>16</v>
      </c>
      <c r="F653" s="7">
        <f>IF('Raw RetailSalesData'!F653="",'Raw RetailSalesData'!G653/'Raw RetailSalesData'!E653,'Raw RetailSalesData'!F653)</f>
        <v>65</v>
      </c>
      <c r="G653" s="7">
        <f t="shared" si="10"/>
        <v>1040</v>
      </c>
      <c r="H653" s="5" t="str">
        <f>IF('Raw RetailSalesData'!H653="","Unknown",'Raw RetailSalesData'!H653)</f>
        <v>APAC</v>
      </c>
      <c r="I653" t="s">
        <v>71</v>
      </c>
      <c r="J653" t="s">
        <v>72</v>
      </c>
      <c r="K653" t="str">
        <f>TRIM('Raw RetailSalesData'!K653)</f>
        <v>Hiroshi Tanaka</v>
      </c>
      <c r="L653" t="s">
        <v>46</v>
      </c>
    </row>
    <row r="654" spans="1:12" x14ac:dyDescent="0.3">
      <c r="A654" t="str">
        <f>IF(COUNTIF('Raw RetailSalesData'!$A:$L,'Raw RetailSalesData'!A654)=1,'Raw RetailSalesData'!A654,"")</f>
        <v>ORD-10715</v>
      </c>
      <c r="B654" t="str">
        <f>IF('Raw RetailSalesData'!B654="","UNKNOWN",'Raw RetailSalesData'!B654)</f>
        <v>2022-11-14</v>
      </c>
      <c r="C654" t="str">
        <f>IF('Raw RetailSalesData'!C654="","UNKNOW",'Raw RetailSalesData'!C654)</f>
        <v>CUST-1026</v>
      </c>
      <c r="D654" t="str">
        <f>IF('Raw RetailSalesData'!D654="","UNKNOW",'Raw RetailSalesData'!D654)</f>
        <v>UNKNOW</v>
      </c>
      <c r="E654" s="5">
        <f>IF('Raw RetailSalesData'!E654="",'Raw RetailSalesData'!F654/'Raw RetailSalesData'!G654,'Raw RetailSalesData'!E654)</f>
        <v>3</v>
      </c>
      <c r="F654" s="7">
        <f>IF('Raw RetailSalesData'!F654="",'Raw RetailSalesData'!G654/'Raw RetailSalesData'!E654,'Raw RetailSalesData'!F654)</f>
        <v>90</v>
      </c>
      <c r="G654" s="7">
        <f t="shared" si="10"/>
        <v>270</v>
      </c>
      <c r="H654" s="5" t="str">
        <f>IF('Raw RetailSalesData'!H654="","Unknown",'Raw RetailSalesData'!H654)</f>
        <v xml:space="preserve"> LATAM </v>
      </c>
      <c r="I654" t="s">
        <v>18</v>
      </c>
      <c r="J654" t="s">
        <v>2197</v>
      </c>
      <c r="K654" t="str">
        <f>TRIM('Raw RetailSalesData'!K654)</f>
        <v>Sales Rep 5</v>
      </c>
      <c r="L654" t="s">
        <v>46</v>
      </c>
    </row>
    <row r="655" spans="1:12" x14ac:dyDescent="0.3">
      <c r="A655" t="str">
        <f>IF(COUNTIF('Raw RetailSalesData'!$A:$L,'Raw RetailSalesData'!A655)=1,'Raw RetailSalesData'!A655,"")</f>
        <v>ORD-10716</v>
      </c>
      <c r="B655" t="str">
        <f>IF('Raw RetailSalesData'!B655="","UNKNOWN",'Raw RetailSalesData'!B655)</f>
        <v>2024-12-02</v>
      </c>
      <c r="C655" t="str">
        <f>IF('Raw RetailSalesData'!C655="","UNKNOW",'Raw RetailSalesData'!C655)</f>
        <v>CUST-1074</v>
      </c>
      <c r="D655" t="str">
        <f>IF('Raw RetailSalesData'!D655="","UNKNOW",'Raw RetailSalesData'!D655)</f>
        <v>P202</v>
      </c>
      <c r="E655" s="5">
        <f>IF('Raw RetailSalesData'!E655="",'Raw RetailSalesData'!F655/'Raw RetailSalesData'!G655,'Raw RetailSalesData'!E655)</f>
        <v>7</v>
      </c>
      <c r="F655" s="7">
        <f>IF('Raw RetailSalesData'!F655="",'Raw RetailSalesData'!G655/'Raw RetailSalesData'!E655,'Raw RetailSalesData'!F655)</f>
        <v>70</v>
      </c>
      <c r="G655" s="7">
        <f t="shared" si="10"/>
        <v>490</v>
      </c>
      <c r="H655" s="5" t="str">
        <f>IF('Raw RetailSalesData'!H655="","Unknown",'Raw RetailSalesData'!H655)</f>
        <v>NA</v>
      </c>
      <c r="I655" t="s">
        <v>28</v>
      </c>
      <c r="J655" t="s">
        <v>2196</v>
      </c>
      <c r="K655" t="str">
        <f>TRIM('Raw RetailSalesData'!K655)</f>
        <v>Michael Johnson</v>
      </c>
      <c r="L655" t="s">
        <v>2190</v>
      </c>
    </row>
    <row r="656" spans="1:12" x14ac:dyDescent="0.3">
      <c r="A656" t="str">
        <f>IF(COUNTIF('Raw RetailSalesData'!$A:$L,'Raw RetailSalesData'!A656)=1,'Raw RetailSalesData'!A656,"")</f>
        <v>ORD-10717</v>
      </c>
      <c r="B656" t="str">
        <f>IF('Raw RetailSalesData'!B656="","UNKNOWN",'Raw RetailSalesData'!B656)</f>
        <v>2026-09-14</v>
      </c>
      <c r="C656" t="str">
        <f>IF('Raw RetailSalesData'!C656="","UNKNOW",'Raw RetailSalesData'!C656)</f>
        <v>CUST-1198</v>
      </c>
      <c r="D656" t="str">
        <f>IF('Raw RetailSalesData'!D656="","UNKNOW",'Raw RetailSalesData'!D656)</f>
        <v>P103</v>
      </c>
      <c r="E656" s="5">
        <f>IF('Raw RetailSalesData'!E656="",'Raw RetailSalesData'!F656/'Raw RetailSalesData'!G656,'Raw RetailSalesData'!E656)</f>
        <v>3</v>
      </c>
      <c r="F656" s="7">
        <f>IF('Raw RetailSalesData'!F656="",'Raw RetailSalesData'!G656/'Raw RetailSalesData'!E656,'Raw RetailSalesData'!F656)</f>
        <v>90</v>
      </c>
      <c r="G656" s="7">
        <f t="shared" si="10"/>
        <v>270</v>
      </c>
      <c r="H656" s="5" t="str">
        <f>IF('Raw RetailSalesData'!H656="","Unknown",'Raw RetailSalesData'!H656)</f>
        <v>LATAM</v>
      </c>
      <c r="I656" t="s">
        <v>18</v>
      </c>
      <c r="J656" t="s">
        <v>2197</v>
      </c>
      <c r="K656" t="str">
        <f>TRIM('Raw RetailSalesData'!K656)</f>
        <v>Sales Rep 4</v>
      </c>
      <c r="L656" t="s">
        <v>46</v>
      </c>
    </row>
    <row r="657" spans="1:12" x14ac:dyDescent="0.3">
      <c r="A657" t="str">
        <f>IF(COUNTIF('Raw RetailSalesData'!$A:$L,'Raw RetailSalesData'!A657)=1,'Raw RetailSalesData'!A657,"")</f>
        <v>ORD-10718</v>
      </c>
      <c r="B657" t="str">
        <f>IF('Raw RetailSalesData'!B657="","UNKNOWN",'Raw RetailSalesData'!B657)</f>
        <v>2023-08-16</v>
      </c>
      <c r="C657" t="str">
        <f>IF('Raw RetailSalesData'!C657="","UNKNOW",'Raw RetailSalesData'!C657)</f>
        <v>CUST-1183</v>
      </c>
      <c r="D657" t="str">
        <f>IF('Raw RetailSalesData'!D657="","UNKNOW",'Raw RetailSalesData'!D657)</f>
        <v>P203</v>
      </c>
      <c r="E657" s="5">
        <f>IF('Raw RetailSalesData'!E657="",'Raw RetailSalesData'!F657/'Raw RetailSalesData'!G657,'Raw RetailSalesData'!E657)</f>
        <v>8</v>
      </c>
      <c r="F657" s="7">
        <f>IF('Raw RetailSalesData'!F657="",'Raw RetailSalesData'!G657/'Raw RetailSalesData'!E657,'Raw RetailSalesData'!F657)</f>
        <v>73</v>
      </c>
      <c r="G657" s="7">
        <f t="shared" si="10"/>
        <v>584</v>
      </c>
      <c r="H657" s="5" t="str">
        <f>IF('Raw RetailSalesData'!H657="","Unknown",'Raw RetailSalesData'!H657)</f>
        <v>NA</v>
      </c>
      <c r="I657" t="s">
        <v>28</v>
      </c>
      <c r="J657" t="s">
        <v>2190</v>
      </c>
      <c r="K657" t="str">
        <f>TRIM('Raw RetailSalesData'!K657)</f>
        <v>Michael Johnson</v>
      </c>
      <c r="L657" t="s">
        <v>46</v>
      </c>
    </row>
    <row r="658" spans="1:12" x14ac:dyDescent="0.3">
      <c r="A658" t="str">
        <f>IF(COUNTIF('Raw RetailSalesData'!$A:$L,'Raw RetailSalesData'!A658)=1,'Raw RetailSalesData'!A658,"")</f>
        <v>ORD-10719</v>
      </c>
      <c r="B658" t="str">
        <f>IF('Raw RetailSalesData'!B658="","UNKNOWN",'Raw RetailSalesData'!B658)</f>
        <v>2024-12-26</v>
      </c>
      <c r="C658" t="str">
        <f>IF('Raw RetailSalesData'!C658="","UNKNOW",'Raw RetailSalesData'!C658)</f>
        <v>CUST-1140</v>
      </c>
      <c r="D658" t="str">
        <f>IF('Raw RetailSalesData'!D658="","UNKNOW",'Raw RetailSalesData'!D658)</f>
        <v>C303</v>
      </c>
      <c r="E658" s="5">
        <f>IF('Raw RetailSalesData'!E658="",'Raw RetailSalesData'!F658/'Raw RetailSalesData'!G658,'Raw RetailSalesData'!E658)</f>
        <v>2</v>
      </c>
      <c r="F658" s="7">
        <f>IF('Raw RetailSalesData'!F658="",'Raw RetailSalesData'!G658/'Raw RetailSalesData'!E658,'Raw RetailSalesData'!F658)</f>
        <v>60</v>
      </c>
      <c r="G658" s="7">
        <f t="shared" si="10"/>
        <v>120</v>
      </c>
      <c r="H658" s="5" t="str">
        <f>IF('Raw RetailSalesData'!H658="","Unknown",'Raw RetailSalesData'!H658)</f>
        <v>APAC</v>
      </c>
      <c r="I658" t="s">
        <v>71</v>
      </c>
      <c r="J658" t="s">
        <v>72</v>
      </c>
      <c r="K658" t="str">
        <f>TRIM('Raw RetailSalesData'!K658)</f>
        <v>Hiroshi Tanaka</v>
      </c>
      <c r="L658" t="s">
        <v>46</v>
      </c>
    </row>
    <row r="659" spans="1:12" x14ac:dyDescent="0.3">
      <c r="A659" t="str">
        <f>IF(COUNTIF('Raw RetailSalesData'!$A:$L,'Raw RetailSalesData'!A659)=1,'Raw RetailSalesData'!A659,"")</f>
        <v>ORD-10720</v>
      </c>
      <c r="B659" t="str">
        <f>IF('Raw RetailSalesData'!B659="","UNKNOWN",'Raw RetailSalesData'!B659)</f>
        <v>2025-07-30</v>
      </c>
      <c r="C659" t="str">
        <f>IF('Raw RetailSalesData'!C659="","UNKNOW",'Raw RetailSalesData'!C659)</f>
        <v>CUST-1189</v>
      </c>
      <c r="D659" t="str">
        <f>IF('Raw RetailSalesData'!D659="","UNKNOW",'Raw RetailSalesData'!D659)</f>
        <v>P102</v>
      </c>
      <c r="E659" s="5">
        <f>IF('Raw RetailSalesData'!E659="",'Raw RetailSalesData'!F659/'Raw RetailSalesData'!G659,'Raw RetailSalesData'!E659)</f>
        <v>7</v>
      </c>
      <c r="F659" s="7">
        <f>IF('Raw RetailSalesData'!F659="",'Raw RetailSalesData'!G659/'Raw RetailSalesData'!E659,'Raw RetailSalesData'!F659)</f>
        <v>85</v>
      </c>
      <c r="G659" s="7">
        <f t="shared" si="10"/>
        <v>595</v>
      </c>
      <c r="H659" s="5" t="str">
        <f>IF('Raw RetailSalesData'!H659="","Unknown",'Raw RetailSalesData'!H659)</f>
        <v>NA</v>
      </c>
      <c r="I659" t="s">
        <v>28</v>
      </c>
      <c r="J659" t="s">
        <v>29</v>
      </c>
      <c r="K659" t="str">
        <f>TRIM('Raw RetailSalesData'!K659)</f>
        <v>Sales Rep 5</v>
      </c>
      <c r="L659" t="s">
        <v>46</v>
      </c>
    </row>
    <row r="660" spans="1:12" x14ac:dyDescent="0.3">
      <c r="A660" t="str">
        <f>IF(COUNTIF('Raw RetailSalesData'!$A:$L,'Raw RetailSalesData'!A660)=1,'Raw RetailSalesData'!A660,"")</f>
        <v>ORD-10721</v>
      </c>
      <c r="B660" t="str">
        <f>IF('Raw RetailSalesData'!B660="","UNKNOWN",'Raw RetailSalesData'!B660)</f>
        <v>2024-08-08</v>
      </c>
      <c r="C660" t="str">
        <f>IF('Raw RetailSalesData'!C660="","UNKNOW",'Raw RetailSalesData'!C660)</f>
        <v>CUST-1061</v>
      </c>
      <c r="D660" t="str">
        <f>IF('Raw RetailSalesData'!D660="","UNKNOW",'Raw RetailSalesData'!D660)</f>
        <v>C303</v>
      </c>
      <c r="E660" s="5">
        <f>IF('Raw RetailSalesData'!E660="",'Raw RetailSalesData'!F660/'Raw RetailSalesData'!G660,'Raw RetailSalesData'!E660)</f>
        <v>17</v>
      </c>
      <c r="F660" s="7">
        <f>IF('Raw RetailSalesData'!F660="",'Raw RetailSalesData'!G660/'Raw RetailSalesData'!E660,'Raw RetailSalesData'!F660)</f>
        <v>60</v>
      </c>
      <c r="G660" s="7">
        <f t="shared" si="10"/>
        <v>1020</v>
      </c>
      <c r="H660" s="5" t="str">
        <f>IF('Raw RetailSalesData'!H660="","Unknown",'Raw RetailSalesData'!H660)</f>
        <v>EMEA</v>
      </c>
      <c r="I660" t="s">
        <v>38</v>
      </c>
      <c r="J660" t="s">
        <v>39</v>
      </c>
      <c r="K660" t="str">
        <f>TRIM('Raw RetailSalesData'!K660)</f>
        <v>Sales Rep 2</v>
      </c>
      <c r="L660" t="s">
        <v>46</v>
      </c>
    </row>
    <row r="661" spans="1:12" x14ac:dyDescent="0.3">
      <c r="A661" t="str">
        <f>IF(COUNTIF('Raw RetailSalesData'!$A:$L,'Raw RetailSalesData'!A661)=1,'Raw RetailSalesData'!A661,"")</f>
        <v>ORD-10723</v>
      </c>
      <c r="B661" t="str">
        <f>IF('Raw RetailSalesData'!B661="","UNKNOWN",'Raw RetailSalesData'!B661)</f>
        <v>2023-12-29</v>
      </c>
      <c r="C661" t="str">
        <f>IF('Raw RetailSalesData'!C661="","UNKNOW",'Raw RetailSalesData'!C661)</f>
        <v>CUST-1184</v>
      </c>
      <c r="D661" t="str">
        <f>IF('Raw RetailSalesData'!D661="","UNKNOW",'Raw RetailSalesData'!D661)</f>
        <v>C301</v>
      </c>
      <c r="E661" s="5">
        <f>IF('Raw RetailSalesData'!E661="",'Raw RetailSalesData'!F661/'Raw RetailSalesData'!G661,'Raw RetailSalesData'!E661)</f>
        <v>18</v>
      </c>
      <c r="F661" s="7">
        <f>IF('Raw RetailSalesData'!F661="",'Raw RetailSalesData'!G661/'Raw RetailSalesData'!E661,'Raw RetailSalesData'!F661)</f>
        <v>55</v>
      </c>
      <c r="G661" s="7">
        <f t="shared" si="10"/>
        <v>990</v>
      </c>
      <c r="H661" s="5" t="str">
        <f>IF('Raw RetailSalesData'!H661="","Unknown",'Raw RetailSalesData'!H661)</f>
        <v>APAC</v>
      </c>
      <c r="I661" t="s">
        <v>151</v>
      </c>
      <c r="J661" t="s">
        <v>152</v>
      </c>
      <c r="K661" t="str">
        <f>TRIM('Raw RetailSalesData'!K661)</f>
        <v>Aarav Patel</v>
      </c>
      <c r="L661" t="s">
        <v>46</v>
      </c>
    </row>
    <row r="662" spans="1:12" x14ac:dyDescent="0.3">
      <c r="A662" t="str">
        <f>IF(COUNTIF('Raw RetailSalesData'!$A:$L,'Raw RetailSalesData'!A662)=1,'Raw RetailSalesData'!A662,"")</f>
        <v>ORD-10724</v>
      </c>
      <c r="B662" t="str">
        <f>IF('Raw RetailSalesData'!B662="","UNKNOWN",'Raw RetailSalesData'!B662)</f>
        <v>2025-08-18</v>
      </c>
      <c r="C662" t="str">
        <f>IF('Raw RetailSalesData'!C662="","UNKNOW",'Raw RetailSalesData'!C662)</f>
        <v>CUST-1037</v>
      </c>
      <c r="D662" t="str">
        <f>IF('Raw RetailSalesData'!D662="","UNKNOW",'Raw RetailSalesData'!D662)</f>
        <v>P101</v>
      </c>
      <c r="E662" s="5">
        <f>IF('Raw RetailSalesData'!E662="",'Raw RetailSalesData'!F662/'Raw RetailSalesData'!G662,'Raw RetailSalesData'!E662)</f>
        <v>18</v>
      </c>
      <c r="F662" s="7">
        <f>IF('Raw RetailSalesData'!F662="",'Raw RetailSalesData'!G662/'Raw RetailSalesData'!E662,'Raw RetailSalesData'!F662)</f>
        <v>90</v>
      </c>
      <c r="G662" s="7">
        <f t="shared" si="10"/>
        <v>1620</v>
      </c>
      <c r="H662" s="5" t="str">
        <f>IF('Raw RetailSalesData'!H662="","Unknown",'Raw RetailSalesData'!H662)</f>
        <v>NA</v>
      </c>
      <c r="I662" t="s">
        <v>28</v>
      </c>
      <c r="J662" t="s">
        <v>29</v>
      </c>
      <c r="K662" t="str">
        <f>TRIM('Raw RetailSalesData'!K662)</f>
        <v>Sales Rep 4</v>
      </c>
      <c r="L662" t="s">
        <v>21</v>
      </c>
    </row>
    <row r="663" spans="1:12" x14ac:dyDescent="0.3">
      <c r="A663" t="str">
        <f>IF(COUNTIF('Raw RetailSalesData'!$A:$L,'Raw RetailSalesData'!A663)=1,'Raw RetailSalesData'!A663,"")</f>
        <v>ORD-10726</v>
      </c>
      <c r="B663" t="str">
        <f>IF('Raw RetailSalesData'!B663="","UNKNOWN",'Raw RetailSalesData'!B663)</f>
        <v>2025-08-03</v>
      </c>
      <c r="C663" t="str">
        <f>IF('Raw RetailSalesData'!C663="","UNKNOW",'Raw RetailSalesData'!C663)</f>
        <v>CUST-1164</v>
      </c>
      <c r="D663" t="str">
        <f>IF('Raw RetailSalesData'!D663="","UNKNOW",'Raw RetailSalesData'!D663)</f>
        <v xml:space="preserve"> P102 </v>
      </c>
      <c r="E663" s="5">
        <f>IF('Raw RetailSalesData'!E663="",'Raw RetailSalesData'!F663/'Raw RetailSalesData'!G663,'Raw RetailSalesData'!E663)</f>
        <v>12</v>
      </c>
      <c r="F663" s="7">
        <f>IF('Raw RetailSalesData'!F663="",'Raw RetailSalesData'!G663/'Raw RetailSalesData'!E663,'Raw RetailSalesData'!F663)</f>
        <v>85</v>
      </c>
      <c r="G663" s="7">
        <f t="shared" si="10"/>
        <v>1020</v>
      </c>
      <c r="H663" s="5" t="str">
        <f>IF('Raw RetailSalesData'!H663="","Unknown",'Raw RetailSalesData'!H663)</f>
        <v>NA</v>
      </c>
      <c r="I663" t="s">
        <v>28</v>
      </c>
      <c r="J663" t="s">
        <v>29</v>
      </c>
      <c r="K663" t="str">
        <f>TRIM('Raw RetailSalesData'!K663)</f>
        <v>Sales Rep 3</v>
      </c>
      <c r="L663" t="s">
        <v>46</v>
      </c>
    </row>
    <row r="664" spans="1:12" x14ac:dyDescent="0.3">
      <c r="A664" t="str">
        <f>IF(COUNTIF('Raw RetailSalesData'!$A:$L,'Raw RetailSalesData'!A664)=1,'Raw RetailSalesData'!A664,"")</f>
        <v>ORD-10727</v>
      </c>
      <c r="B664" t="str">
        <f>IF('Raw RetailSalesData'!B664="","UNKNOWN",'Raw RetailSalesData'!B664)</f>
        <v>2022-10-31</v>
      </c>
      <c r="C664" t="str">
        <f>IF('Raw RetailSalesData'!C664="","UNKNOW",'Raw RetailSalesData'!C664)</f>
        <v>CUST-1149</v>
      </c>
      <c r="D664" t="str">
        <f>IF('Raw RetailSalesData'!D664="","UNKNOW",'Raw RetailSalesData'!D664)</f>
        <v>P101</v>
      </c>
      <c r="E664" s="5">
        <f>IF('Raw RetailSalesData'!E664="",'Raw RetailSalesData'!F664/'Raw RetailSalesData'!G664,'Raw RetailSalesData'!E664)</f>
        <v>7</v>
      </c>
      <c r="F664" s="7">
        <f>IF('Raw RetailSalesData'!F664="",'Raw RetailSalesData'!G664/'Raw RetailSalesData'!E664,'Raw RetailSalesData'!F664)</f>
        <v>80</v>
      </c>
      <c r="G664" s="7">
        <f t="shared" si="10"/>
        <v>560</v>
      </c>
      <c r="H664" s="5" t="str">
        <f>IF('Raw RetailSalesData'!H664="","Unknown",'Raw RetailSalesData'!H664)</f>
        <v>LATAM</v>
      </c>
      <c r="I664" t="s">
        <v>18</v>
      </c>
      <c r="J664" t="s">
        <v>2197</v>
      </c>
      <c r="K664" t="str">
        <f>TRIM('Raw RetailSalesData'!K664)</f>
        <v>Sales Rep 5</v>
      </c>
      <c r="L664" t="s">
        <v>31</v>
      </c>
    </row>
    <row r="665" spans="1:12" x14ac:dyDescent="0.3">
      <c r="A665" t="str">
        <f>IF(COUNTIF('Raw RetailSalesData'!$A:$L,'Raw RetailSalesData'!A665)=1,'Raw RetailSalesData'!A665,"")</f>
        <v>ORD-10728</v>
      </c>
      <c r="B665" t="str">
        <f>IF('Raw RetailSalesData'!B665="","UNKNOWN",'Raw RetailSalesData'!B665)</f>
        <v>2024-05-26</v>
      </c>
      <c r="C665" t="str">
        <f>IF('Raw RetailSalesData'!C665="","UNKNOW",'Raw RetailSalesData'!C665)</f>
        <v>CUST-1012</v>
      </c>
      <c r="D665" t="str">
        <f>IF('Raw RetailSalesData'!D665="","UNKNOW",'Raw RetailSalesData'!D665)</f>
        <v>C302</v>
      </c>
      <c r="E665" s="5">
        <f>IF('Raw RetailSalesData'!E665="",'Raw RetailSalesData'!F665/'Raw RetailSalesData'!G665,'Raw RetailSalesData'!E665)</f>
        <v>2</v>
      </c>
      <c r="F665" s="7">
        <f>IF('Raw RetailSalesData'!F665="",'Raw RetailSalesData'!G665/'Raw RetailSalesData'!E665,'Raw RetailSalesData'!F665)</f>
        <v>55</v>
      </c>
      <c r="G665" s="7">
        <f t="shared" si="10"/>
        <v>110</v>
      </c>
      <c r="H665" s="5" t="str">
        <f>IF('Raw RetailSalesData'!H665="","Unknown",'Raw RetailSalesData'!H665)</f>
        <v>Unknown</v>
      </c>
      <c r="I665" t="s">
        <v>28</v>
      </c>
      <c r="J665" t="s">
        <v>29</v>
      </c>
      <c r="K665" t="str">
        <f>TRIM('Raw RetailSalesData'!K665)</f>
        <v>Sales Rep 2</v>
      </c>
      <c r="L665" t="s">
        <v>2190</v>
      </c>
    </row>
    <row r="666" spans="1:12" x14ac:dyDescent="0.3">
      <c r="A666" t="str">
        <f>IF(COUNTIF('Raw RetailSalesData'!$A:$L,'Raw RetailSalesData'!A666)=1,'Raw RetailSalesData'!A666,"")</f>
        <v>ORD-10729</v>
      </c>
      <c r="B666" t="str">
        <f>IF('Raw RetailSalesData'!B666="","UNKNOWN",'Raw RetailSalesData'!B666)</f>
        <v>2026-09-06</v>
      </c>
      <c r="C666" t="str">
        <f>IF('Raw RetailSalesData'!C666="","UNKNOW",'Raw RetailSalesData'!C666)</f>
        <v>CUST-1152</v>
      </c>
      <c r="D666" t="str">
        <f>IF('Raw RetailSalesData'!D666="","UNKNOW",'Raw RetailSalesData'!D666)</f>
        <v>C301</v>
      </c>
      <c r="E666" s="5">
        <f>IF('Raw RetailSalesData'!E666="",'Raw RetailSalesData'!F666/'Raw RetailSalesData'!G666,'Raw RetailSalesData'!E666)</f>
        <v>9</v>
      </c>
      <c r="F666" s="7">
        <f>IF('Raw RetailSalesData'!F666="",'Raw RetailSalesData'!G666/'Raw RetailSalesData'!E666,'Raw RetailSalesData'!F666)</f>
        <v>50</v>
      </c>
      <c r="G666" s="7">
        <f t="shared" si="10"/>
        <v>450</v>
      </c>
      <c r="H666" s="5" t="str">
        <f>IF('Raw RetailSalesData'!H666="","Unknown",'Raw RetailSalesData'!H666)</f>
        <v xml:space="preserve"> LATAM </v>
      </c>
      <c r="I666" t="s">
        <v>18</v>
      </c>
      <c r="J666" t="s">
        <v>2197</v>
      </c>
      <c r="K666" t="str">
        <f>TRIM('Raw RetailSalesData'!K666)</f>
        <v>Sales Rep 2</v>
      </c>
      <c r="L666" t="s">
        <v>46</v>
      </c>
    </row>
    <row r="667" spans="1:12" x14ac:dyDescent="0.3">
      <c r="A667" t="str">
        <f>IF(COUNTIF('Raw RetailSalesData'!$A:$L,'Raw RetailSalesData'!A667)=1,'Raw RetailSalesData'!A667,"")</f>
        <v>ORD-10730</v>
      </c>
      <c r="B667" t="str">
        <f>IF('Raw RetailSalesData'!B667="","UNKNOWN",'Raw RetailSalesData'!B667)</f>
        <v>2026-08-01</v>
      </c>
      <c r="C667" t="str">
        <f>IF('Raw RetailSalesData'!C667="","UNKNOW",'Raw RetailSalesData'!C667)</f>
        <v>CUST-1015</v>
      </c>
      <c r="D667" t="str">
        <f>IF('Raw RetailSalesData'!D667="","UNKNOW",'Raw RetailSalesData'!D667)</f>
        <v>P102</v>
      </c>
      <c r="E667" s="5">
        <f>IF('Raw RetailSalesData'!E667="",'Raw RetailSalesData'!F667/'Raw RetailSalesData'!G667,'Raw RetailSalesData'!E667)</f>
        <v>5</v>
      </c>
      <c r="F667" s="7">
        <f>IF('Raw RetailSalesData'!F667="",'Raw RetailSalesData'!G667/'Raw RetailSalesData'!E667,'Raw RetailSalesData'!F667)</f>
        <v>85</v>
      </c>
      <c r="G667" s="7">
        <f t="shared" si="10"/>
        <v>425</v>
      </c>
      <c r="H667" s="5" t="str">
        <f>IF('Raw RetailSalesData'!H667="","Unknown",'Raw RetailSalesData'!H667)</f>
        <v>NA</v>
      </c>
      <c r="I667" t="s">
        <v>100</v>
      </c>
      <c r="J667" t="s">
        <v>101</v>
      </c>
      <c r="K667" t="str">
        <f>TRIM('Raw RetailSalesData'!K667)</f>
        <v>Sales Rep 5</v>
      </c>
      <c r="L667" t="s">
        <v>21</v>
      </c>
    </row>
    <row r="668" spans="1:12" x14ac:dyDescent="0.3">
      <c r="A668" t="str">
        <f>IF(COUNTIF('Raw RetailSalesData'!$A:$L,'Raw RetailSalesData'!A668)=1,'Raw RetailSalesData'!A668,"")</f>
        <v>ORD-10731</v>
      </c>
      <c r="B668" t="str">
        <f>IF('Raw RetailSalesData'!B668="","UNKNOWN",'Raw RetailSalesData'!B668)</f>
        <v>2025-10-19</v>
      </c>
      <c r="C668" t="str">
        <f>IF('Raw RetailSalesData'!C668="","UNKNOW",'Raw RetailSalesData'!C668)</f>
        <v>CUST-1172</v>
      </c>
      <c r="D668" t="str">
        <f>IF('Raw RetailSalesData'!D668="","UNKNOW",'Raw RetailSalesData'!D668)</f>
        <v>C302</v>
      </c>
      <c r="E668" s="5">
        <f>IF('Raw RetailSalesData'!E668="",'Raw RetailSalesData'!F668/'Raw RetailSalesData'!G668,'Raw RetailSalesData'!E668)</f>
        <v>10</v>
      </c>
      <c r="F668" s="7">
        <f>IF('Raw RetailSalesData'!F668="",'Raw RetailSalesData'!G668/'Raw RetailSalesData'!E668,'Raw RetailSalesData'!F668)</f>
        <v>55</v>
      </c>
      <c r="G668" s="7">
        <f t="shared" si="10"/>
        <v>550</v>
      </c>
      <c r="H668" s="5" t="str">
        <f>IF('Raw RetailSalesData'!H668="","Unknown",'Raw RetailSalesData'!H668)</f>
        <v xml:space="preserve"> NA </v>
      </c>
      <c r="I668" t="s">
        <v>100</v>
      </c>
      <c r="J668" t="s">
        <v>101</v>
      </c>
      <c r="K668" t="str">
        <f>TRIM('Raw RetailSalesData'!K668)</f>
        <v>Sales Rep 3</v>
      </c>
      <c r="L668" t="s">
        <v>46</v>
      </c>
    </row>
    <row r="669" spans="1:12" x14ac:dyDescent="0.3">
      <c r="A669" t="str">
        <f>IF(COUNTIF('Raw RetailSalesData'!$A:$L,'Raw RetailSalesData'!A669)=1,'Raw RetailSalesData'!A669,"")</f>
        <v>ORD-10732</v>
      </c>
      <c r="B669" t="str">
        <f>IF('Raw RetailSalesData'!B669="","UNKNOWN",'Raw RetailSalesData'!B669)</f>
        <v>UNKNOWN</v>
      </c>
      <c r="C669" t="str">
        <f>IF('Raw RetailSalesData'!C669="","UNKNOW",'Raw RetailSalesData'!C669)</f>
        <v>CUST-1096</v>
      </c>
      <c r="D669" t="str">
        <f>IF('Raw RetailSalesData'!D669="","UNKNOW",'Raw RetailSalesData'!D669)</f>
        <v>P103</v>
      </c>
      <c r="E669" s="5">
        <f>IF('Raw RetailSalesData'!E669="",'Raw RetailSalesData'!F669/'Raw RetailSalesData'!G669,'Raw RetailSalesData'!E669)</f>
        <v>8</v>
      </c>
      <c r="F669" s="7">
        <f>IF('Raw RetailSalesData'!F669="",'Raw RetailSalesData'!G669/'Raw RetailSalesData'!E669,'Raw RetailSalesData'!F669)</f>
        <v>90</v>
      </c>
      <c r="G669" s="7">
        <f t="shared" si="10"/>
        <v>720</v>
      </c>
      <c r="H669" s="5" t="str">
        <f>IF('Raw RetailSalesData'!H669="","Unknown",'Raw RetailSalesData'!H669)</f>
        <v>LATAM</v>
      </c>
      <c r="I669" t="s">
        <v>18</v>
      </c>
      <c r="J669" t="s">
        <v>2197</v>
      </c>
      <c r="K669" t="str">
        <f>TRIM('Raw RetailSalesData'!K669)</f>
        <v>Sales Rep 4</v>
      </c>
      <c r="L669" t="s">
        <v>46</v>
      </c>
    </row>
    <row r="670" spans="1:12" x14ac:dyDescent="0.3">
      <c r="A670" t="str">
        <f>IF(COUNTIF('Raw RetailSalesData'!$A:$L,'Raw RetailSalesData'!A670)=1,'Raw RetailSalesData'!A670,"")</f>
        <v>ORD-10733</v>
      </c>
      <c r="B670" t="str">
        <f>IF('Raw RetailSalesData'!B670="","UNKNOWN",'Raw RetailSalesData'!B670)</f>
        <v>2023-05-04</v>
      </c>
      <c r="C670" t="str">
        <f>IF('Raw RetailSalesData'!C670="","UNKNOW",'Raw RetailSalesData'!C670)</f>
        <v>CUST-1122</v>
      </c>
      <c r="D670" t="str">
        <f>IF('Raw RetailSalesData'!D670="","UNKNOW",'Raw RetailSalesData'!D670)</f>
        <v xml:space="preserve"> P103 </v>
      </c>
      <c r="E670" s="5">
        <f>IF('Raw RetailSalesData'!E670="",'Raw RetailSalesData'!F670/'Raw RetailSalesData'!G670,'Raw RetailSalesData'!E670)</f>
        <v>11</v>
      </c>
      <c r="F670" s="7">
        <f>IF('Raw RetailSalesData'!F670="",'Raw RetailSalesData'!G670/'Raw RetailSalesData'!E670,'Raw RetailSalesData'!F670)</f>
        <v>95</v>
      </c>
      <c r="G670" s="7">
        <f t="shared" si="10"/>
        <v>1045</v>
      </c>
      <c r="H670" s="5" t="str">
        <f>IF('Raw RetailSalesData'!H670="","Unknown",'Raw RetailSalesData'!H670)</f>
        <v>APAC</v>
      </c>
      <c r="I670" t="s">
        <v>71</v>
      </c>
      <c r="J670" t="s">
        <v>72</v>
      </c>
      <c r="K670" t="str">
        <f>TRIM('Raw RetailSalesData'!K670)</f>
        <v>Hiroshi Tanaka</v>
      </c>
      <c r="L670" t="s">
        <v>31</v>
      </c>
    </row>
    <row r="671" spans="1:12" x14ac:dyDescent="0.3">
      <c r="A671" t="str">
        <f>IF(COUNTIF('Raw RetailSalesData'!$A:$L,'Raw RetailSalesData'!A671)=1,'Raw RetailSalesData'!A671,"")</f>
        <v>ORD-10734</v>
      </c>
      <c r="B671" t="str">
        <f>IF('Raw RetailSalesData'!B671="","UNKNOWN",'Raw RetailSalesData'!B671)</f>
        <v>2026-04-02</v>
      </c>
      <c r="C671" t="str">
        <f>IF('Raw RetailSalesData'!C671="","UNKNOW",'Raw RetailSalesData'!C671)</f>
        <v>CUST-1052</v>
      </c>
      <c r="D671" t="str">
        <f>IF('Raw RetailSalesData'!D671="","UNKNOW",'Raw RetailSalesData'!D671)</f>
        <v>P201</v>
      </c>
      <c r="E671" s="5">
        <f>IF('Raw RetailSalesData'!E671="",'Raw RetailSalesData'!F671/'Raw RetailSalesData'!G671,'Raw RetailSalesData'!E671)</f>
        <v>6</v>
      </c>
      <c r="F671" s="7">
        <f>IF('Raw RetailSalesData'!F671="",'Raw RetailSalesData'!G671/'Raw RetailSalesData'!E671,'Raw RetailSalesData'!F671)</f>
        <v>75</v>
      </c>
      <c r="G671" s="7">
        <f t="shared" si="10"/>
        <v>450</v>
      </c>
      <c r="H671" s="5" t="str">
        <f>IF('Raw RetailSalesData'!H671="","Unknown",'Raw RetailSalesData'!H671)</f>
        <v>NA</v>
      </c>
      <c r="I671" t="s">
        <v>28</v>
      </c>
      <c r="J671" t="s">
        <v>29</v>
      </c>
      <c r="K671" t="str">
        <f>TRIM('Raw RetailSalesData'!K671)</f>
        <v>Sales Rep 5</v>
      </c>
      <c r="L671" t="s">
        <v>31</v>
      </c>
    </row>
    <row r="672" spans="1:12" x14ac:dyDescent="0.3">
      <c r="A672" t="str">
        <f>IF(COUNTIF('Raw RetailSalesData'!$A:$L,'Raw RetailSalesData'!A672)=1,'Raw RetailSalesData'!A672,"")</f>
        <v>ORD-10735</v>
      </c>
      <c r="B672" t="str">
        <f>IF('Raw RetailSalesData'!B672="","UNKNOWN",'Raw RetailSalesData'!B672)</f>
        <v>2023-10-16</v>
      </c>
      <c r="C672" t="str">
        <f>IF('Raw RetailSalesData'!C672="","UNKNOW",'Raw RetailSalesData'!C672)</f>
        <v>CUST-1100</v>
      </c>
      <c r="D672" t="str">
        <f>IF('Raw RetailSalesData'!D672="","UNKNOW",'Raw RetailSalesData'!D672)</f>
        <v>P203</v>
      </c>
      <c r="E672" s="5">
        <f>IF('Raw RetailSalesData'!E672="",'Raw RetailSalesData'!F672/'Raw RetailSalesData'!G672,'Raw RetailSalesData'!E672)</f>
        <v>12</v>
      </c>
      <c r="F672" s="7">
        <f>IF('Raw RetailSalesData'!F672="",'Raw RetailSalesData'!G672/'Raw RetailSalesData'!E672,'Raw RetailSalesData'!F672)</f>
        <v>68</v>
      </c>
      <c r="G672" s="7">
        <f t="shared" si="10"/>
        <v>816</v>
      </c>
      <c r="H672" s="5" t="str">
        <f>IF('Raw RetailSalesData'!H672="","Unknown",'Raw RetailSalesData'!H672)</f>
        <v>EMEA</v>
      </c>
      <c r="I672" t="s">
        <v>225</v>
      </c>
      <c r="J672" t="s">
        <v>226</v>
      </c>
      <c r="K672" t="str">
        <f>TRIM('Raw RetailSalesData'!K672)</f>
        <v>Sales Rep 4</v>
      </c>
      <c r="L672" t="s">
        <v>21</v>
      </c>
    </row>
    <row r="673" spans="1:12" x14ac:dyDescent="0.3">
      <c r="A673" t="str">
        <f>IF(COUNTIF('Raw RetailSalesData'!$A:$L,'Raw RetailSalesData'!A673)=1,'Raw RetailSalesData'!A673,"")</f>
        <v>ORD-10737</v>
      </c>
      <c r="B673" t="str">
        <f>IF('Raw RetailSalesData'!B673="","UNKNOWN",'Raw RetailSalesData'!B673)</f>
        <v>2025-09-18</v>
      </c>
      <c r="C673" t="str">
        <f>IF('Raw RetailSalesData'!C673="","UNKNOW",'Raw RetailSalesData'!C673)</f>
        <v>CUST-1167</v>
      </c>
      <c r="D673" t="str">
        <f>IF('Raw RetailSalesData'!D673="","UNKNOW",'Raw RetailSalesData'!D673)</f>
        <v>P203</v>
      </c>
      <c r="E673" s="5">
        <f>IF('Raw RetailSalesData'!E673="",'Raw RetailSalesData'!F673/'Raw RetailSalesData'!G673,'Raw RetailSalesData'!E673)</f>
        <v>18</v>
      </c>
      <c r="F673" s="7">
        <f>IF('Raw RetailSalesData'!F673="",'Raw RetailSalesData'!G673/'Raw RetailSalesData'!E673,'Raw RetailSalesData'!F673)</f>
        <v>63</v>
      </c>
      <c r="G673" s="7">
        <f t="shared" si="10"/>
        <v>1134</v>
      </c>
      <c r="H673" s="5" t="str">
        <f>IF('Raw RetailSalesData'!H673="","Unknown",'Raw RetailSalesData'!H673)</f>
        <v>LATAM</v>
      </c>
      <c r="I673" t="s">
        <v>90</v>
      </c>
      <c r="J673" t="s">
        <v>2198</v>
      </c>
      <c r="K673" t="str">
        <f>TRIM('Raw RetailSalesData'!K673)</f>
        <v>Sales Rep 5</v>
      </c>
      <c r="L673" t="s">
        <v>46</v>
      </c>
    </row>
    <row r="674" spans="1:12" x14ac:dyDescent="0.3">
      <c r="A674" t="str">
        <f>IF(COUNTIF('Raw RetailSalesData'!$A:$L,'Raw RetailSalesData'!A674)=1,'Raw RetailSalesData'!A674,"")</f>
        <v>ORD-10738</v>
      </c>
      <c r="B674" t="str">
        <f>IF('Raw RetailSalesData'!B674="","UNKNOWN",'Raw RetailSalesData'!B674)</f>
        <v>2024-04-13</v>
      </c>
      <c r="C674" t="str">
        <f>IF('Raw RetailSalesData'!C674="","UNKNOW",'Raw RetailSalesData'!C674)</f>
        <v>CUST-1009</v>
      </c>
      <c r="D674" t="str">
        <f>IF('Raw RetailSalesData'!D674="","UNKNOW",'Raw RetailSalesData'!D674)</f>
        <v>P101</v>
      </c>
      <c r="E674" s="5">
        <f>IF('Raw RetailSalesData'!E674="",'Raw RetailSalesData'!F674/'Raw RetailSalesData'!G674,'Raw RetailSalesData'!E674)</f>
        <v>3</v>
      </c>
      <c r="F674" s="7">
        <f>IF('Raw RetailSalesData'!F674="",'Raw RetailSalesData'!G674/'Raw RetailSalesData'!E674,'Raw RetailSalesData'!F674)</f>
        <v>80</v>
      </c>
      <c r="G674" s="7">
        <f t="shared" si="10"/>
        <v>240</v>
      </c>
      <c r="H674" s="5" t="str">
        <f>IF('Raw RetailSalesData'!H674="","Unknown",'Raw RetailSalesData'!H674)</f>
        <v>LATAM</v>
      </c>
      <c r="I674" t="s">
        <v>18</v>
      </c>
      <c r="J674" t="s">
        <v>2197</v>
      </c>
      <c r="K674" t="str">
        <f>TRIM('Raw RetailSalesData'!K674)</f>
        <v>Sales Rep 4</v>
      </c>
      <c r="L674" t="s">
        <v>31</v>
      </c>
    </row>
    <row r="675" spans="1:12" x14ac:dyDescent="0.3">
      <c r="A675" t="str">
        <f>IF(COUNTIF('Raw RetailSalesData'!$A:$L,'Raw RetailSalesData'!A675)=1,'Raw RetailSalesData'!A675,"")</f>
        <v>ORD-10739</v>
      </c>
      <c r="B675" t="str">
        <f>IF('Raw RetailSalesData'!B675="","UNKNOWN",'Raw RetailSalesData'!B675)</f>
        <v>2026-08-23</v>
      </c>
      <c r="C675" t="str">
        <f>IF('Raw RetailSalesData'!C675="","UNKNOW",'Raw RetailSalesData'!C675)</f>
        <v>CUST-1026</v>
      </c>
      <c r="D675" t="str">
        <f>IF('Raw RetailSalesData'!D675="","UNKNOW",'Raw RetailSalesData'!D675)</f>
        <v>C301</v>
      </c>
      <c r="E675" s="5">
        <f>IF('Raw RetailSalesData'!E675="",'Raw RetailSalesData'!F675/'Raw RetailSalesData'!G675,'Raw RetailSalesData'!E675)</f>
        <v>15</v>
      </c>
      <c r="F675" s="7">
        <f>IF('Raw RetailSalesData'!F675="",'Raw RetailSalesData'!G675/'Raw RetailSalesData'!E675,'Raw RetailSalesData'!F675)</f>
        <v>55</v>
      </c>
      <c r="G675" s="7">
        <f t="shared" si="10"/>
        <v>825</v>
      </c>
      <c r="H675" s="5" t="str">
        <f>IF('Raw RetailSalesData'!H675="","Unknown",'Raw RetailSalesData'!H675)</f>
        <v>EMEA</v>
      </c>
      <c r="I675" t="s">
        <v>38</v>
      </c>
      <c r="J675" t="s">
        <v>39</v>
      </c>
      <c r="K675" t="str">
        <f>TRIM('Raw RetailSalesData'!K675)</f>
        <v>Sales Rep 5</v>
      </c>
      <c r="L675" t="s">
        <v>21</v>
      </c>
    </row>
    <row r="676" spans="1:12" x14ac:dyDescent="0.3">
      <c r="A676" t="str">
        <f>IF(COUNTIF('Raw RetailSalesData'!$A:$L,'Raw RetailSalesData'!A676)=1,'Raw RetailSalesData'!A676,"")</f>
        <v>ORD-10740</v>
      </c>
      <c r="B676" t="str">
        <f>IF('Raw RetailSalesData'!B676="","UNKNOWN",'Raw RetailSalesData'!B676)</f>
        <v>2026-04-03</v>
      </c>
      <c r="C676" t="str">
        <f>IF('Raw RetailSalesData'!C676="","UNKNOW",'Raw RetailSalesData'!C676)</f>
        <v>CUST-1044</v>
      </c>
      <c r="D676" t="str">
        <f>IF('Raw RetailSalesData'!D676="","UNKNOW",'Raw RetailSalesData'!D676)</f>
        <v>P201</v>
      </c>
      <c r="E676" s="5">
        <f>IF('Raw RetailSalesData'!E676="",'Raw RetailSalesData'!F676/'Raw RetailSalesData'!G676,'Raw RetailSalesData'!E676)</f>
        <v>18</v>
      </c>
      <c r="F676" s="7">
        <f>IF('Raw RetailSalesData'!F676="",'Raw RetailSalesData'!G676/'Raw RetailSalesData'!E676,'Raw RetailSalesData'!F676)</f>
        <v>70</v>
      </c>
      <c r="G676" s="7">
        <f t="shared" si="10"/>
        <v>1260</v>
      </c>
      <c r="H676" s="5" t="str">
        <f>IF('Raw RetailSalesData'!H676="","Unknown",'Raw RetailSalesData'!H676)</f>
        <v>APAC</v>
      </c>
      <c r="I676" t="s">
        <v>71</v>
      </c>
      <c r="J676" t="s">
        <v>72</v>
      </c>
      <c r="K676" t="str">
        <f>TRIM('Raw RetailSalesData'!K676)</f>
        <v>Hiroshi Tanaka</v>
      </c>
      <c r="L676" t="s">
        <v>21</v>
      </c>
    </row>
    <row r="677" spans="1:12" x14ac:dyDescent="0.3">
      <c r="A677" t="str">
        <f>IF(COUNTIF('Raw RetailSalesData'!$A:$L,'Raw RetailSalesData'!A677)=1,'Raw RetailSalesData'!A677,"")</f>
        <v>ORD-10741</v>
      </c>
      <c r="B677" t="str">
        <f>IF('Raw RetailSalesData'!B677="","UNKNOWN",'Raw RetailSalesData'!B677)</f>
        <v>2026-02-13</v>
      </c>
      <c r="C677" t="str">
        <f>IF('Raw RetailSalesData'!C677="","UNKNOW",'Raw RetailSalesData'!C677)</f>
        <v>CUST-1036</v>
      </c>
      <c r="D677" t="str">
        <f>IF('Raw RetailSalesData'!D677="","UNKNOW",'Raw RetailSalesData'!D677)</f>
        <v>P102</v>
      </c>
      <c r="E677" s="5">
        <f>IF('Raw RetailSalesData'!E677="",'Raw RetailSalesData'!F677/'Raw RetailSalesData'!G677,'Raw RetailSalesData'!E677)</f>
        <v>12</v>
      </c>
      <c r="F677" s="7">
        <f>IF('Raw RetailSalesData'!F677="",'Raw RetailSalesData'!G677/'Raw RetailSalesData'!E677,'Raw RetailSalesData'!F677)</f>
        <v>80</v>
      </c>
      <c r="G677" s="7">
        <f t="shared" si="10"/>
        <v>960</v>
      </c>
      <c r="H677" s="5" t="str">
        <f>IF('Raw RetailSalesData'!H677="","Unknown",'Raw RetailSalesData'!H677)</f>
        <v>APAC</v>
      </c>
      <c r="I677" t="s">
        <v>71</v>
      </c>
      <c r="J677" t="s">
        <v>72</v>
      </c>
      <c r="K677" t="str">
        <f>TRIM('Raw RetailSalesData'!K677)</f>
        <v>Hiroshi Tanaka</v>
      </c>
      <c r="L677" t="s">
        <v>2190</v>
      </c>
    </row>
    <row r="678" spans="1:12" x14ac:dyDescent="0.3">
      <c r="A678" t="str">
        <f>IF(COUNTIF('Raw RetailSalesData'!$A:$L,'Raw RetailSalesData'!A678)=1,'Raw RetailSalesData'!A678,"")</f>
        <v>ORD-10742</v>
      </c>
      <c r="B678" t="str">
        <f>IF('Raw RetailSalesData'!B678="","UNKNOWN",'Raw RetailSalesData'!B678)</f>
        <v>2023-10-02</v>
      </c>
      <c r="C678" t="str">
        <f>IF('Raw RetailSalesData'!C678="","UNKNOW",'Raw RetailSalesData'!C678)</f>
        <v>CUST-1167</v>
      </c>
      <c r="D678" t="str">
        <f>IF('Raw RetailSalesData'!D678="","UNKNOW",'Raw RetailSalesData'!D678)</f>
        <v>P102</v>
      </c>
      <c r="E678" s="5">
        <f>IF('Raw RetailSalesData'!E678="",'Raw RetailSalesData'!F678/'Raw RetailSalesData'!G678,'Raw RetailSalesData'!E678)</f>
        <v>4</v>
      </c>
      <c r="F678" s="7">
        <f>IF('Raw RetailSalesData'!F678="",'Raw RetailSalesData'!G678/'Raw RetailSalesData'!E678,'Raw RetailSalesData'!F678)</f>
        <v>85</v>
      </c>
      <c r="G678" s="7">
        <f t="shared" si="10"/>
        <v>340</v>
      </c>
      <c r="H678" s="5" t="str">
        <f>IF('Raw RetailSalesData'!H678="","Unknown",'Raw RetailSalesData'!H678)</f>
        <v>NA</v>
      </c>
      <c r="I678" t="s">
        <v>100</v>
      </c>
      <c r="J678" t="s">
        <v>101</v>
      </c>
      <c r="K678" t="str">
        <f>TRIM('Raw RetailSalesData'!K678)</f>
        <v>Sales Rep 1</v>
      </c>
      <c r="L678" t="s">
        <v>46</v>
      </c>
    </row>
    <row r="679" spans="1:12" x14ac:dyDescent="0.3">
      <c r="A679" t="str">
        <f>IF(COUNTIF('Raw RetailSalesData'!$A:$L,'Raw RetailSalesData'!A679)=1,'Raw RetailSalesData'!A679,"")</f>
        <v>ORD-10743</v>
      </c>
      <c r="B679" t="str">
        <f>IF('Raw RetailSalesData'!B679="","UNKNOWN",'Raw RetailSalesData'!B679)</f>
        <v>2024-01-19</v>
      </c>
      <c r="C679" t="str">
        <f>IF('Raw RetailSalesData'!C679="","UNKNOW",'Raw RetailSalesData'!C679)</f>
        <v xml:space="preserve"> CUST-1095 </v>
      </c>
      <c r="D679" t="str">
        <f>IF('Raw RetailSalesData'!D679="","UNKNOW",'Raw RetailSalesData'!D679)</f>
        <v>C301</v>
      </c>
      <c r="E679" s="5">
        <f>IF('Raw RetailSalesData'!E679="",'Raw RetailSalesData'!F679/'Raw RetailSalesData'!G679,'Raw RetailSalesData'!E679)</f>
        <v>4</v>
      </c>
      <c r="F679" s="7">
        <f>IF('Raw RetailSalesData'!F679="",'Raw RetailSalesData'!G679/'Raw RetailSalesData'!E679,'Raw RetailSalesData'!F679)</f>
        <v>55</v>
      </c>
      <c r="G679" s="7">
        <f t="shared" si="10"/>
        <v>220</v>
      </c>
      <c r="H679" s="5" t="str">
        <f>IF('Raw RetailSalesData'!H679="","Unknown",'Raw RetailSalesData'!H679)</f>
        <v>APAC</v>
      </c>
      <c r="I679" t="s">
        <v>183</v>
      </c>
      <c r="J679" t="s">
        <v>184</v>
      </c>
      <c r="K679" t="str">
        <f>TRIM('Raw RetailSalesData'!K679)</f>
        <v>Sales Rep 3</v>
      </c>
      <c r="L679" t="s">
        <v>31</v>
      </c>
    </row>
    <row r="680" spans="1:12" x14ac:dyDescent="0.3">
      <c r="A680" t="str">
        <f>IF(COUNTIF('Raw RetailSalesData'!$A:$L,'Raw RetailSalesData'!A680)=1,'Raw RetailSalesData'!A680,"")</f>
        <v>ORD-10745</v>
      </c>
      <c r="B680" t="str">
        <f>IF('Raw RetailSalesData'!B680="","UNKNOWN",'Raw RetailSalesData'!B680)</f>
        <v>2025-08-13</v>
      </c>
      <c r="C680" t="str">
        <f>IF('Raw RetailSalesData'!C680="","UNKNOW",'Raw RetailSalesData'!C680)</f>
        <v>CUST-1138</v>
      </c>
      <c r="D680" t="str">
        <f>IF('Raw RetailSalesData'!D680="","UNKNOW",'Raw RetailSalesData'!D680)</f>
        <v>P102</v>
      </c>
      <c r="E680" s="5">
        <f>IF('Raw RetailSalesData'!E680="",'Raw RetailSalesData'!F680/'Raw RetailSalesData'!G680,'Raw RetailSalesData'!E680)</f>
        <v>10</v>
      </c>
      <c r="F680" s="7">
        <f>IF('Raw RetailSalesData'!F680="",'Raw RetailSalesData'!G680/'Raw RetailSalesData'!E680,'Raw RetailSalesData'!F680)</f>
        <v>80</v>
      </c>
      <c r="G680" s="7">
        <f t="shared" si="10"/>
        <v>800</v>
      </c>
      <c r="H680" s="5" t="str">
        <f>IF('Raw RetailSalesData'!H680="","Unknown",'Raw RetailSalesData'!H680)</f>
        <v>APAC</v>
      </c>
      <c r="I680" t="s">
        <v>151</v>
      </c>
      <c r="J680" t="s">
        <v>152</v>
      </c>
      <c r="K680" t="str">
        <f>TRIM('Raw RetailSalesData'!K680)</f>
        <v>Aarav Patel</v>
      </c>
      <c r="L680" t="s">
        <v>21</v>
      </c>
    </row>
    <row r="681" spans="1:12" x14ac:dyDescent="0.3">
      <c r="A681" t="str">
        <f>IF(COUNTIF('Raw RetailSalesData'!$A:$L,'Raw RetailSalesData'!A681)=1,'Raw RetailSalesData'!A681,"")</f>
        <v>ORD-10746</v>
      </c>
      <c r="B681" t="str">
        <f>IF('Raw RetailSalesData'!B681="","UNKNOWN",'Raw RetailSalesData'!B681)</f>
        <v>2026-03-27</v>
      </c>
      <c r="C681" t="str">
        <f>IF('Raw RetailSalesData'!C681="","UNKNOW",'Raw RetailSalesData'!C681)</f>
        <v>CUST-1196</v>
      </c>
      <c r="D681" t="str">
        <f>IF('Raw RetailSalesData'!D681="","UNKNOW",'Raw RetailSalesData'!D681)</f>
        <v>C302</v>
      </c>
      <c r="E681" s="5">
        <f>IF('Raw RetailSalesData'!E681="",'Raw RetailSalesData'!F681/'Raw RetailSalesData'!G681,'Raw RetailSalesData'!E681)</f>
        <v>7</v>
      </c>
      <c r="F681" s="7">
        <f>IF('Raw RetailSalesData'!F681="",'Raw RetailSalesData'!G681/'Raw RetailSalesData'!E681,'Raw RetailSalesData'!F681)</f>
        <v>50</v>
      </c>
      <c r="G681" s="7">
        <f t="shared" si="10"/>
        <v>350</v>
      </c>
      <c r="H681" s="5" t="str">
        <f>IF('Raw RetailSalesData'!H681="","Unknown",'Raw RetailSalesData'!H681)</f>
        <v xml:space="preserve"> APAC </v>
      </c>
      <c r="I681" t="s">
        <v>71</v>
      </c>
      <c r="J681" t="s">
        <v>72</v>
      </c>
      <c r="K681" t="str">
        <f>TRIM('Raw RetailSalesData'!K681)</f>
        <v>Unknown</v>
      </c>
      <c r="L681" t="s">
        <v>21</v>
      </c>
    </row>
    <row r="682" spans="1:12" x14ac:dyDescent="0.3">
      <c r="A682" t="str">
        <f>IF(COUNTIF('Raw RetailSalesData'!$A:$L,'Raw RetailSalesData'!A682)=1,'Raw RetailSalesData'!A682,"")</f>
        <v>ORD-10747</v>
      </c>
      <c r="B682" t="str">
        <f>IF('Raw RetailSalesData'!B682="","UNKNOWN",'Raw RetailSalesData'!B682)</f>
        <v>2025-10-07</v>
      </c>
      <c r="C682" t="str">
        <f>IF('Raw RetailSalesData'!C682="","UNKNOW",'Raw RetailSalesData'!C682)</f>
        <v>CUST-1037</v>
      </c>
      <c r="D682" t="str">
        <f>IF('Raw RetailSalesData'!D682="","UNKNOW",'Raw RetailSalesData'!D682)</f>
        <v>P103</v>
      </c>
      <c r="E682" s="5">
        <f>IF('Raw RetailSalesData'!E682="",'Raw RetailSalesData'!F682/'Raw RetailSalesData'!G682,'Raw RetailSalesData'!E682)</f>
        <v>1</v>
      </c>
      <c r="F682" s="7">
        <f>IF('Raw RetailSalesData'!F682="",'Raw RetailSalesData'!G682/'Raw RetailSalesData'!E682,'Raw RetailSalesData'!F682)</f>
        <v>95</v>
      </c>
      <c r="G682" s="7">
        <f t="shared" si="10"/>
        <v>95</v>
      </c>
      <c r="H682" s="5" t="str">
        <f>IF('Raw RetailSalesData'!H682="","Unknown",'Raw RetailSalesData'!H682)</f>
        <v>EMEA</v>
      </c>
      <c r="I682" t="s">
        <v>83</v>
      </c>
      <c r="J682" t="s">
        <v>84</v>
      </c>
      <c r="K682" t="str">
        <f>TRIM('Raw RetailSalesData'!K682)</f>
        <v>John Smith</v>
      </c>
      <c r="L682" t="s">
        <v>46</v>
      </c>
    </row>
    <row r="683" spans="1:12" x14ac:dyDescent="0.3">
      <c r="A683" t="str">
        <f>IF(COUNTIF('Raw RetailSalesData'!$A:$L,'Raw RetailSalesData'!A683)=1,'Raw RetailSalesData'!A683,"")</f>
        <v>ORD-10748</v>
      </c>
      <c r="B683" t="str">
        <f>IF('Raw RetailSalesData'!B683="","UNKNOWN",'Raw RetailSalesData'!B683)</f>
        <v>2026-02-03</v>
      </c>
      <c r="C683" t="str">
        <f>IF('Raw RetailSalesData'!C683="","UNKNOW",'Raw RetailSalesData'!C683)</f>
        <v>CUST-1030</v>
      </c>
      <c r="D683" t="str">
        <f>IF('Raw RetailSalesData'!D683="","UNKNOW",'Raw RetailSalesData'!D683)</f>
        <v>P201</v>
      </c>
      <c r="E683" s="5">
        <f>IF('Raw RetailSalesData'!E683="",'Raw RetailSalesData'!F683/'Raw RetailSalesData'!G683,'Raw RetailSalesData'!E683)</f>
        <v>1</v>
      </c>
      <c r="F683" s="7">
        <f>IF('Raw RetailSalesData'!F683="",'Raw RetailSalesData'!G683/'Raw RetailSalesData'!E683,'Raw RetailSalesData'!F683)</f>
        <v>75</v>
      </c>
      <c r="G683" s="7">
        <f t="shared" si="10"/>
        <v>75</v>
      </c>
      <c r="H683" s="5" t="str">
        <f>IF('Raw RetailSalesData'!H683="","Unknown",'Raw RetailSalesData'!H683)</f>
        <v>NA</v>
      </c>
      <c r="I683" t="s">
        <v>28</v>
      </c>
      <c r="J683" t="s">
        <v>2196</v>
      </c>
      <c r="K683" t="str">
        <f>TRIM('Raw RetailSalesData'!K683)</f>
        <v>Michael Johnson</v>
      </c>
      <c r="L683" t="s">
        <v>46</v>
      </c>
    </row>
    <row r="684" spans="1:12" x14ac:dyDescent="0.3">
      <c r="A684" t="str">
        <f>IF(COUNTIF('Raw RetailSalesData'!$A:$L,'Raw RetailSalesData'!A684)=1,'Raw RetailSalesData'!A684,"")</f>
        <v>ORD-10749</v>
      </c>
      <c r="B684" t="str">
        <f>IF('Raw RetailSalesData'!B684="","UNKNOWN",'Raw RetailSalesData'!B684)</f>
        <v>2023-06-25</v>
      </c>
      <c r="C684" t="str">
        <f>IF('Raw RetailSalesData'!C684="","UNKNOW",'Raw RetailSalesData'!C684)</f>
        <v>CUST-1051</v>
      </c>
      <c r="D684" t="str">
        <f>IF('Raw RetailSalesData'!D684="","UNKNOW",'Raw RetailSalesData'!D684)</f>
        <v xml:space="preserve"> P202 </v>
      </c>
      <c r="E684" s="5">
        <f>IF('Raw RetailSalesData'!E684="",'Raw RetailSalesData'!F684/'Raw RetailSalesData'!G684,'Raw RetailSalesData'!E684)</f>
        <v>17</v>
      </c>
      <c r="F684" s="7">
        <f>IF('Raw RetailSalesData'!F684="",'Raw RetailSalesData'!G684/'Raw RetailSalesData'!E684,'Raw RetailSalesData'!F684)</f>
        <v>70</v>
      </c>
      <c r="G684" s="7">
        <f t="shared" si="10"/>
        <v>1190</v>
      </c>
      <c r="H684" s="5" t="str">
        <f>IF('Raw RetailSalesData'!H684="","Unknown",'Raw RetailSalesData'!H684)</f>
        <v>Unknown</v>
      </c>
      <c r="I684" t="s">
        <v>100</v>
      </c>
      <c r="J684" t="s">
        <v>101</v>
      </c>
      <c r="K684" t="str">
        <f>TRIM('Raw RetailSalesData'!K684)</f>
        <v>Sales Rep 3</v>
      </c>
      <c r="L684" t="s">
        <v>31</v>
      </c>
    </row>
    <row r="685" spans="1:12" x14ac:dyDescent="0.3">
      <c r="A685" t="str">
        <f>IF(COUNTIF('Raw RetailSalesData'!$A:$L,'Raw RetailSalesData'!A685)=1,'Raw RetailSalesData'!A685,"")</f>
        <v>ORD-10751</v>
      </c>
      <c r="B685" t="str">
        <f>IF('Raw RetailSalesData'!B685="","UNKNOWN",'Raw RetailSalesData'!B685)</f>
        <v>UNKNOWN</v>
      </c>
      <c r="C685" t="str">
        <f>IF('Raw RetailSalesData'!C685="","UNKNOW",'Raw RetailSalesData'!C685)</f>
        <v>CUST-1165</v>
      </c>
      <c r="D685" t="str">
        <f>IF('Raw RetailSalesData'!D685="","UNKNOW",'Raw RetailSalesData'!D685)</f>
        <v>P103</v>
      </c>
      <c r="E685" s="5">
        <f>IF('Raw RetailSalesData'!E685="",'Raw RetailSalesData'!F685/'Raw RetailSalesData'!G685,'Raw RetailSalesData'!E685)</f>
        <v>7</v>
      </c>
      <c r="F685" s="7">
        <f>IF('Raw RetailSalesData'!F685="",'Raw RetailSalesData'!G685/'Raw RetailSalesData'!E685,'Raw RetailSalesData'!F685)</f>
        <v>95</v>
      </c>
      <c r="G685" s="7">
        <f t="shared" si="10"/>
        <v>665</v>
      </c>
      <c r="H685" s="5" t="str">
        <f>IF('Raw RetailSalesData'!H685="","Unknown",'Raw RetailSalesData'!H685)</f>
        <v>APAC</v>
      </c>
      <c r="I685" t="s">
        <v>183</v>
      </c>
      <c r="J685" t="s">
        <v>184</v>
      </c>
      <c r="K685" t="str">
        <f>TRIM('Raw RetailSalesData'!K685)</f>
        <v>Sales Rep 2</v>
      </c>
      <c r="L685" t="s">
        <v>31</v>
      </c>
    </row>
    <row r="686" spans="1:12" x14ac:dyDescent="0.3">
      <c r="A686" t="str">
        <f>IF(COUNTIF('Raw RetailSalesData'!$A:$L,'Raw RetailSalesData'!A686)=1,'Raw RetailSalesData'!A686,"")</f>
        <v>ORD-10752</v>
      </c>
      <c r="B686" t="str">
        <f>IF('Raw RetailSalesData'!B686="","UNKNOWN",'Raw RetailSalesData'!B686)</f>
        <v>2025-09-21</v>
      </c>
      <c r="C686" t="str">
        <f>IF('Raw RetailSalesData'!C686="","UNKNOW",'Raw RetailSalesData'!C686)</f>
        <v>CUST-1165</v>
      </c>
      <c r="D686" t="str">
        <f>IF('Raw RetailSalesData'!D686="","UNKNOW",'Raw RetailSalesData'!D686)</f>
        <v>P103</v>
      </c>
      <c r="E686" s="5">
        <f>IF('Raw RetailSalesData'!E686="",'Raw RetailSalesData'!F686/'Raw RetailSalesData'!G686,'Raw RetailSalesData'!E686)</f>
        <v>7</v>
      </c>
      <c r="F686" s="7">
        <f>IF('Raw RetailSalesData'!F686="",'Raw RetailSalesData'!G686/'Raw RetailSalesData'!E686,'Raw RetailSalesData'!F686)</f>
        <v>95</v>
      </c>
      <c r="G686" s="7">
        <f t="shared" si="10"/>
        <v>665</v>
      </c>
      <c r="H686" s="5" t="str">
        <f>IF('Raw RetailSalesData'!H686="","Unknown",'Raw RetailSalesData'!H686)</f>
        <v>APAC</v>
      </c>
      <c r="I686" t="s">
        <v>183</v>
      </c>
      <c r="J686" t="s">
        <v>184</v>
      </c>
      <c r="K686" t="str">
        <f>TRIM('Raw RetailSalesData'!K686)</f>
        <v>Sales Rep 2</v>
      </c>
      <c r="L686" t="s">
        <v>31</v>
      </c>
    </row>
    <row r="687" spans="1:12" x14ac:dyDescent="0.3">
      <c r="A687" t="str">
        <f>IF(COUNTIF('Raw RetailSalesData'!$A:$L,'Raw RetailSalesData'!A687)=1,'Raw RetailSalesData'!A687,"")</f>
        <v>ORD-10753</v>
      </c>
      <c r="B687" t="str">
        <f>IF('Raw RetailSalesData'!B687="","UNKNOWN",'Raw RetailSalesData'!B687)</f>
        <v>2025-02-24</v>
      </c>
      <c r="C687" t="str">
        <f>IF('Raw RetailSalesData'!C687="","UNKNOW",'Raw RetailSalesData'!C687)</f>
        <v>CUST-1047</v>
      </c>
      <c r="D687" t="str">
        <f>IF('Raw RetailSalesData'!D687="","UNKNOW",'Raw RetailSalesData'!D687)</f>
        <v>C303</v>
      </c>
      <c r="E687" s="5">
        <f>IF('Raw RetailSalesData'!E687="",'Raw RetailSalesData'!F687/'Raw RetailSalesData'!G687,'Raw RetailSalesData'!E687)</f>
        <v>12</v>
      </c>
      <c r="F687" s="7">
        <f>IF('Raw RetailSalesData'!F687="",'Raw RetailSalesData'!G687/'Raw RetailSalesData'!E687,'Raw RetailSalesData'!F687)</f>
        <v>55</v>
      </c>
      <c r="G687" s="7">
        <f t="shared" si="10"/>
        <v>660</v>
      </c>
      <c r="H687" s="5" t="str">
        <f>IF('Raw RetailSalesData'!H687="","Unknown",'Raw RetailSalesData'!H687)</f>
        <v>LATAM</v>
      </c>
      <c r="I687" t="s">
        <v>18</v>
      </c>
      <c r="J687" t="s">
        <v>2197</v>
      </c>
      <c r="K687" t="str">
        <f>TRIM('Raw RetailSalesData'!K687)</f>
        <v>Sales Rep 4</v>
      </c>
      <c r="L687" t="s">
        <v>31</v>
      </c>
    </row>
    <row r="688" spans="1:12" x14ac:dyDescent="0.3">
      <c r="A688" t="str">
        <f>IF(COUNTIF('Raw RetailSalesData'!$A:$L,'Raw RetailSalesData'!A688)=1,'Raw RetailSalesData'!A688,"")</f>
        <v>ORD-10755</v>
      </c>
      <c r="B688" t="str">
        <f>IF('Raw RetailSalesData'!B688="","UNKNOWN",'Raw RetailSalesData'!B688)</f>
        <v>2024-11-05</v>
      </c>
      <c r="C688" t="str">
        <f>IF('Raw RetailSalesData'!C688="","UNKNOW",'Raw RetailSalesData'!C688)</f>
        <v>CUST-1191</v>
      </c>
      <c r="D688" t="str">
        <f>IF('Raw RetailSalesData'!D688="","UNKNOW",'Raw RetailSalesData'!D688)</f>
        <v>P202</v>
      </c>
      <c r="E688" s="5">
        <f>IF('Raw RetailSalesData'!E688="",'Raw RetailSalesData'!F688/'Raw RetailSalesData'!G688,'Raw RetailSalesData'!E688)</f>
        <v>18</v>
      </c>
      <c r="F688" s="7">
        <f>IF('Raw RetailSalesData'!F688="",'Raw RetailSalesData'!G688/'Raw RetailSalesData'!E688,'Raw RetailSalesData'!F688)</f>
        <v>65</v>
      </c>
      <c r="G688" s="7">
        <f t="shared" si="10"/>
        <v>1170</v>
      </c>
      <c r="H688" s="5" t="str">
        <f>IF('Raw RetailSalesData'!H688="","Unknown",'Raw RetailSalesData'!H688)</f>
        <v>#N/A</v>
      </c>
      <c r="I688" t="s">
        <v>38</v>
      </c>
      <c r="J688" t="s">
        <v>39</v>
      </c>
      <c r="K688" t="str">
        <f>TRIM('Raw RetailSalesData'!K688)</f>
        <v>Sales Rep 4</v>
      </c>
      <c r="L688" t="s">
        <v>2190</v>
      </c>
    </row>
    <row r="689" spans="1:12" x14ac:dyDescent="0.3">
      <c r="A689" t="str">
        <f>IF(COUNTIF('Raw RetailSalesData'!$A:$L,'Raw RetailSalesData'!A689)=1,'Raw RetailSalesData'!A689,"")</f>
        <v>ORD-10756</v>
      </c>
      <c r="B689" t="str">
        <f>IF('Raw RetailSalesData'!B689="","UNKNOWN",'Raw RetailSalesData'!B689)</f>
        <v>2023-02-15</v>
      </c>
      <c r="C689" t="str">
        <f>IF('Raw RetailSalesData'!C689="","UNKNOW",'Raw RetailSalesData'!C689)</f>
        <v>CUST-1039</v>
      </c>
      <c r="D689" t="str">
        <f>IF('Raw RetailSalesData'!D689="","UNKNOW",'Raw RetailSalesData'!D689)</f>
        <v>P103</v>
      </c>
      <c r="E689" s="5">
        <f>IF('Raw RetailSalesData'!E689="",'Raw RetailSalesData'!F689/'Raw RetailSalesData'!G689,'Raw RetailSalesData'!E689)</f>
        <v>4</v>
      </c>
      <c r="F689" s="7">
        <f>IF('Raw RetailSalesData'!F689="",'Raw RetailSalesData'!G689/'Raw RetailSalesData'!E689,'Raw RetailSalesData'!F689)</f>
        <v>100</v>
      </c>
      <c r="G689" s="7">
        <f t="shared" si="10"/>
        <v>400</v>
      </c>
      <c r="H689" s="5" t="str">
        <f>IF('Raw RetailSalesData'!H689="","Unknown",'Raw RetailSalesData'!H689)</f>
        <v>Unknown</v>
      </c>
      <c r="I689" t="s">
        <v>28</v>
      </c>
      <c r="J689" t="s">
        <v>2196</v>
      </c>
      <c r="K689" t="str">
        <f>TRIM('Raw RetailSalesData'!K689)</f>
        <v>Michael Johnson</v>
      </c>
      <c r="L689" t="s">
        <v>46</v>
      </c>
    </row>
    <row r="690" spans="1:12" x14ac:dyDescent="0.3">
      <c r="A690" t="str">
        <f>IF(COUNTIF('Raw RetailSalesData'!$A:$L,'Raw RetailSalesData'!A690)=1,'Raw RetailSalesData'!A690,"")</f>
        <v>ORD-10757</v>
      </c>
      <c r="B690" t="str">
        <f>IF('Raw RetailSalesData'!B690="","UNKNOWN",'Raw RetailSalesData'!B690)</f>
        <v xml:space="preserve"> 2024-10-03 </v>
      </c>
      <c r="C690" t="str">
        <f>IF('Raw RetailSalesData'!C690="","UNKNOW",'Raw RetailSalesData'!C690)</f>
        <v>CUST-1015</v>
      </c>
      <c r="D690" t="str">
        <f>IF('Raw RetailSalesData'!D690="","UNKNOW",'Raw RetailSalesData'!D690)</f>
        <v>C301</v>
      </c>
      <c r="E690" s="5">
        <f>IF('Raw RetailSalesData'!E690="",'Raw RetailSalesData'!F690/'Raw RetailSalesData'!G690,'Raw RetailSalesData'!E690)</f>
        <v>8</v>
      </c>
      <c r="F690" s="7">
        <f>IF('Raw RetailSalesData'!F690="",'Raw RetailSalesData'!G690/'Raw RetailSalesData'!E690,'Raw RetailSalesData'!F690)</f>
        <v>60</v>
      </c>
      <c r="G690" s="7">
        <f t="shared" si="10"/>
        <v>480</v>
      </c>
      <c r="H690" s="5" t="str">
        <f>IF('Raw RetailSalesData'!H690="","Unknown",'Raw RetailSalesData'!H690)</f>
        <v>NA</v>
      </c>
      <c r="I690" t="s">
        <v>100</v>
      </c>
      <c r="J690" t="s">
        <v>101</v>
      </c>
      <c r="K690" t="str">
        <f>TRIM('Raw RetailSalesData'!K690)</f>
        <v>Sales Rep 2</v>
      </c>
      <c r="L690" t="s">
        <v>46</v>
      </c>
    </row>
    <row r="691" spans="1:12" x14ac:dyDescent="0.3">
      <c r="A691" t="str">
        <f>IF(COUNTIF('Raw RetailSalesData'!$A:$L,'Raw RetailSalesData'!A691)=1,'Raw RetailSalesData'!A691,"")</f>
        <v>ORD-10758</v>
      </c>
      <c r="B691" t="str">
        <f>IF('Raw RetailSalesData'!B691="","UNKNOWN",'Raw RetailSalesData'!B691)</f>
        <v>2022-12-24</v>
      </c>
      <c r="C691" t="str">
        <f>IF('Raw RetailSalesData'!C691="","UNKNOW",'Raw RetailSalesData'!C691)</f>
        <v>CUST-1033</v>
      </c>
      <c r="D691" t="str">
        <f>IF('Raw RetailSalesData'!D691="","UNKNOW",'Raw RetailSalesData'!D691)</f>
        <v>UNKNOW</v>
      </c>
      <c r="E691" s="5">
        <f>IF('Raw RetailSalesData'!E691="",'Raw RetailSalesData'!F691/'Raw RetailSalesData'!G691,'Raw RetailSalesData'!E691)</f>
        <v>9</v>
      </c>
      <c r="F691" s="7">
        <f>IF('Raw RetailSalesData'!F691="",'Raw RetailSalesData'!G691/'Raw RetailSalesData'!E691,'Raw RetailSalesData'!F691)</f>
        <v>80</v>
      </c>
      <c r="G691" s="7">
        <f t="shared" si="10"/>
        <v>720</v>
      </c>
      <c r="H691" s="5" t="str">
        <f>IF('Raw RetailSalesData'!H691="","Unknown",'Raw RetailSalesData'!H691)</f>
        <v>EMEA</v>
      </c>
      <c r="I691" t="s">
        <v>38</v>
      </c>
      <c r="J691" t="s">
        <v>2190</v>
      </c>
      <c r="K691" t="str">
        <f>TRIM('Raw RetailSalesData'!K691)</f>
        <v>Sales Rep 1</v>
      </c>
      <c r="L691" t="s">
        <v>21</v>
      </c>
    </row>
    <row r="692" spans="1:12" x14ac:dyDescent="0.3">
      <c r="A692" t="str">
        <f>IF(COUNTIF('Raw RetailSalesData'!$A:$L,'Raw RetailSalesData'!A692)=1,'Raw RetailSalesData'!A692,"")</f>
        <v>ORD-10759</v>
      </c>
      <c r="B692" t="str">
        <f>IF('Raw RetailSalesData'!B692="","UNKNOWN",'Raw RetailSalesData'!B692)</f>
        <v>2022-12-24</v>
      </c>
      <c r="C692" t="str">
        <f>IF('Raw RetailSalesData'!C692="","UNKNOW",'Raw RetailSalesData'!C692)</f>
        <v>CUST-1033</v>
      </c>
      <c r="D692" t="str">
        <f>IF('Raw RetailSalesData'!D692="","UNKNOW",'Raw RetailSalesData'!D692)</f>
        <v>P102</v>
      </c>
      <c r="E692" s="5">
        <f>IF('Raw RetailSalesData'!E692="",'Raw RetailSalesData'!F692/'Raw RetailSalesData'!G692,'Raw RetailSalesData'!E692)</f>
        <v>9</v>
      </c>
      <c r="F692" s="7">
        <f>IF('Raw RetailSalesData'!F692="",'Raw RetailSalesData'!G692/'Raw RetailSalesData'!E692,'Raw RetailSalesData'!F692)</f>
        <v>80</v>
      </c>
      <c r="G692" s="7">
        <f t="shared" si="10"/>
        <v>720</v>
      </c>
      <c r="H692" s="5" t="str">
        <f>IF('Raw RetailSalesData'!H692="","Unknown",'Raw RetailSalesData'!H692)</f>
        <v>EMEA</v>
      </c>
      <c r="I692" t="s">
        <v>38</v>
      </c>
      <c r="J692" t="s">
        <v>39</v>
      </c>
      <c r="K692" t="str">
        <f>TRIM('Raw RetailSalesData'!K692)</f>
        <v>Sales Rep 1</v>
      </c>
      <c r="L692" t="s">
        <v>21</v>
      </c>
    </row>
    <row r="693" spans="1:12" x14ac:dyDescent="0.3">
      <c r="A693" t="str">
        <f>IF(COUNTIF('Raw RetailSalesData'!$A:$L,'Raw RetailSalesData'!A693)=1,'Raw RetailSalesData'!A693,"")</f>
        <v>ORD-10760</v>
      </c>
      <c r="B693" t="str">
        <f>IF('Raw RetailSalesData'!B693="","UNKNOWN",'Raw RetailSalesData'!B693)</f>
        <v>2022-12-07</v>
      </c>
      <c r="C693" t="str">
        <f>IF('Raw RetailSalesData'!C693="","UNKNOW",'Raw RetailSalesData'!C693)</f>
        <v>CUST-1038</v>
      </c>
      <c r="D693" t="str">
        <f>IF('Raw RetailSalesData'!D693="","UNKNOW",'Raw RetailSalesData'!D693)</f>
        <v>P203</v>
      </c>
      <c r="E693" s="5">
        <f>IF('Raw RetailSalesData'!E693="",'Raw RetailSalesData'!F693/'Raw RetailSalesData'!G693,'Raw RetailSalesData'!E693)</f>
        <v>0.1</v>
      </c>
      <c r="F693" s="7">
        <f>IF('Raw RetailSalesData'!F693="",'Raw RetailSalesData'!G693/'Raw RetailSalesData'!E693,'Raw RetailSalesData'!F693)</f>
        <v>68</v>
      </c>
      <c r="G693" s="7">
        <f t="shared" si="10"/>
        <v>6.8000000000000007</v>
      </c>
      <c r="H693" s="5" t="str">
        <f>IF('Raw RetailSalesData'!H693="","Unknown",'Raw RetailSalesData'!H693)</f>
        <v>APAC</v>
      </c>
      <c r="I693" t="s">
        <v>151</v>
      </c>
      <c r="J693" t="s">
        <v>188</v>
      </c>
      <c r="K693" t="str">
        <f>TRIM('Raw RetailSalesData'!K693)</f>
        <v>#N/A</v>
      </c>
      <c r="L693" t="s">
        <v>31</v>
      </c>
    </row>
    <row r="694" spans="1:12" x14ac:dyDescent="0.3">
      <c r="A694" t="str">
        <f>IF(COUNTIF('Raw RetailSalesData'!$A:$L,'Raw RetailSalesData'!A694)=1,'Raw RetailSalesData'!A694,"")</f>
        <v>ORD-10761</v>
      </c>
      <c r="B694" t="str">
        <f>IF('Raw RetailSalesData'!B694="","UNKNOWN",'Raw RetailSalesData'!B694)</f>
        <v>2026-04-21</v>
      </c>
      <c r="C694" t="str">
        <f>IF('Raw RetailSalesData'!C694="","UNKNOW",'Raw RetailSalesData'!C694)</f>
        <v>CUST-1037</v>
      </c>
      <c r="D694" t="str">
        <f>IF('Raw RetailSalesData'!D694="","UNKNOW",'Raw RetailSalesData'!D694)</f>
        <v>P102</v>
      </c>
      <c r="E694" s="5">
        <f>IF('Raw RetailSalesData'!E694="",'Raw RetailSalesData'!F694/'Raw RetailSalesData'!G694,'Raw RetailSalesData'!E694)</f>
        <v>9</v>
      </c>
      <c r="F694" s="7">
        <f>IF('Raw RetailSalesData'!F694="",'Raw RetailSalesData'!G694/'Raw RetailSalesData'!E694,'Raw RetailSalesData'!F694)</f>
        <v>80</v>
      </c>
      <c r="G694" s="7">
        <f t="shared" si="10"/>
        <v>720</v>
      </c>
      <c r="H694" s="5" t="str">
        <f>IF('Raw RetailSalesData'!H694="","Unknown",'Raw RetailSalesData'!H694)</f>
        <v>APAC</v>
      </c>
      <c r="I694" t="s">
        <v>151</v>
      </c>
      <c r="J694" t="s">
        <v>152</v>
      </c>
      <c r="K694" t="str">
        <f>TRIM('Raw RetailSalesData'!K694)</f>
        <v>Aarav Patel</v>
      </c>
      <c r="L694" t="s">
        <v>21</v>
      </c>
    </row>
    <row r="695" spans="1:12" x14ac:dyDescent="0.3">
      <c r="A695" t="str">
        <f>IF(COUNTIF('Raw RetailSalesData'!$A:$L,'Raw RetailSalesData'!A695)=1,'Raw RetailSalesData'!A695,"")</f>
        <v>ORD-10762</v>
      </c>
      <c r="B695" t="str">
        <f>IF('Raw RetailSalesData'!B695="","UNKNOWN",'Raw RetailSalesData'!B695)</f>
        <v>2023-01-19</v>
      </c>
      <c r="C695" t="str">
        <f>IF('Raw RetailSalesData'!C695="","UNKNOW",'Raw RetailSalesData'!C695)</f>
        <v>CUST-1025</v>
      </c>
      <c r="D695" t="str">
        <f>IF('Raw RetailSalesData'!D695="","UNKNOW",'Raw RetailSalesData'!D695)</f>
        <v>C301</v>
      </c>
      <c r="E695" s="5">
        <f>IF('Raw RetailSalesData'!E695="",'Raw RetailSalesData'!F695/'Raw RetailSalesData'!G695,'Raw RetailSalesData'!E695)</f>
        <v>7</v>
      </c>
      <c r="F695" s="7">
        <f>IF('Raw RetailSalesData'!F695="",'Raw RetailSalesData'!G695/'Raw RetailSalesData'!E695,'Raw RetailSalesData'!F695)</f>
        <v>55</v>
      </c>
      <c r="G695" s="7">
        <f t="shared" si="10"/>
        <v>385</v>
      </c>
      <c r="H695" s="5" t="str">
        <f>IF('Raw RetailSalesData'!H695="","Unknown",'Raw RetailSalesData'!H695)</f>
        <v>APAC</v>
      </c>
      <c r="I695" t="s">
        <v>71</v>
      </c>
      <c r="J695" t="s">
        <v>72</v>
      </c>
      <c r="K695" t="str">
        <f>TRIM('Raw RetailSalesData'!K695)</f>
        <v>Hiroshi Tanaka</v>
      </c>
      <c r="L695" t="s">
        <v>21</v>
      </c>
    </row>
    <row r="696" spans="1:12" x14ac:dyDescent="0.3">
      <c r="A696" t="str">
        <f>IF(COUNTIF('Raw RetailSalesData'!$A:$L,'Raw RetailSalesData'!A696)=1,'Raw RetailSalesData'!A696,"")</f>
        <v>ORD-10763</v>
      </c>
      <c r="B696" t="str">
        <f>IF('Raw RetailSalesData'!B696="","UNKNOWN",'Raw RetailSalesData'!B696)</f>
        <v>2024-12-15</v>
      </c>
      <c r="C696" t="str">
        <f>IF('Raw RetailSalesData'!C696="","UNKNOW",'Raw RetailSalesData'!C696)</f>
        <v>CUST-1020</v>
      </c>
      <c r="D696" t="str">
        <f>IF('Raw RetailSalesData'!D696="","UNKNOW",'Raw RetailSalesData'!D696)</f>
        <v>C301</v>
      </c>
      <c r="E696" s="5">
        <f>IF('Raw RetailSalesData'!E696="",'Raw RetailSalesData'!F696/'Raw RetailSalesData'!G696,'Raw RetailSalesData'!E696)</f>
        <v>5</v>
      </c>
      <c r="F696" s="7">
        <f>IF('Raw RetailSalesData'!F696="",'Raw RetailSalesData'!G696/'Raw RetailSalesData'!E696,'Raw RetailSalesData'!F696)</f>
        <v>55</v>
      </c>
      <c r="G696" s="7">
        <f t="shared" si="10"/>
        <v>275</v>
      </c>
      <c r="H696" s="5" t="str">
        <f>IF('Raw RetailSalesData'!H696="","Unknown",'Raw RetailSalesData'!H696)</f>
        <v>EMEA</v>
      </c>
      <c r="I696" t="s">
        <v>225</v>
      </c>
      <c r="J696" t="s">
        <v>226</v>
      </c>
      <c r="K696" t="str">
        <f>TRIM('Raw RetailSalesData'!K696)</f>
        <v>Sales Rep 5</v>
      </c>
      <c r="L696" t="s">
        <v>2190</v>
      </c>
    </row>
    <row r="697" spans="1:12" x14ac:dyDescent="0.3">
      <c r="A697" t="str">
        <f>IF(COUNTIF('Raw RetailSalesData'!$A:$L,'Raw RetailSalesData'!A697)=1,'Raw RetailSalesData'!A697,"")</f>
        <v>ORD-10764</v>
      </c>
      <c r="B697" t="str">
        <f>IF('Raw RetailSalesData'!B697="","UNKNOWN",'Raw RetailSalesData'!B697)</f>
        <v>2024-12-16</v>
      </c>
      <c r="C697" t="str">
        <f>IF('Raw RetailSalesData'!C697="","UNKNOW",'Raw RetailSalesData'!C697)</f>
        <v>CUST-1018</v>
      </c>
      <c r="D697" t="str">
        <f>IF('Raw RetailSalesData'!D697="","UNKNOW",'Raw RetailSalesData'!D697)</f>
        <v>C303</v>
      </c>
      <c r="E697" s="5">
        <f>IF('Raw RetailSalesData'!E697="",'Raw RetailSalesData'!F697/'Raw RetailSalesData'!G697,'Raw RetailSalesData'!E697)</f>
        <v>3</v>
      </c>
      <c r="F697" s="7">
        <f>IF('Raw RetailSalesData'!F697="",'Raw RetailSalesData'!G697/'Raw RetailSalesData'!E697,'Raw RetailSalesData'!F697)</f>
        <v>55</v>
      </c>
      <c r="G697" s="7">
        <f t="shared" si="10"/>
        <v>165</v>
      </c>
      <c r="H697" s="5" t="str">
        <f>IF('Raw RetailSalesData'!H697="","Unknown",'Raw RetailSalesData'!H697)</f>
        <v xml:space="preserve"> LATAM </v>
      </c>
      <c r="I697" t="s">
        <v>90</v>
      </c>
      <c r="J697" t="s">
        <v>2198</v>
      </c>
      <c r="K697" t="str">
        <f>TRIM('Raw RetailSalesData'!K697)</f>
        <v>Sales Rep 4</v>
      </c>
      <c r="L697" t="s">
        <v>21</v>
      </c>
    </row>
    <row r="698" spans="1:12" x14ac:dyDescent="0.3">
      <c r="A698" t="str">
        <f>IF(COUNTIF('Raw RetailSalesData'!$A:$L,'Raw RetailSalesData'!A698)=1,'Raw RetailSalesData'!A698,"")</f>
        <v>ORD-10765</v>
      </c>
      <c r="B698" t="str">
        <f>IF('Raw RetailSalesData'!B698="","UNKNOWN",'Raw RetailSalesData'!B698)</f>
        <v>2024-03-14</v>
      </c>
      <c r="C698" t="str">
        <f>IF('Raw RetailSalesData'!C698="","UNKNOW",'Raw RetailSalesData'!C698)</f>
        <v>CUST-1022</v>
      </c>
      <c r="D698" t="str">
        <f>IF('Raw RetailSalesData'!D698="","UNKNOW",'Raw RetailSalesData'!D698)</f>
        <v xml:space="preserve"> P102 </v>
      </c>
      <c r="E698" s="5">
        <f>IF('Raw RetailSalesData'!E698="",'Raw RetailSalesData'!F698/'Raw RetailSalesData'!G698,'Raw RetailSalesData'!E698)</f>
        <v>11</v>
      </c>
      <c r="F698" s="7">
        <f>IF('Raw RetailSalesData'!F698="",'Raw RetailSalesData'!G698/'Raw RetailSalesData'!E698,'Raw RetailSalesData'!F698)</f>
        <v>80</v>
      </c>
      <c r="G698" s="7">
        <f t="shared" si="10"/>
        <v>880</v>
      </c>
      <c r="H698" s="5" t="str">
        <f>IF('Raw RetailSalesData'!H698="","Unknown",'Raw RetailSalesData'!H698)</f>
        <v>APAC</v>
      </c>
      <c r="I698" t="s">
        <v>151</v>
      </c>
      <c r="J698" t="s">
        <v>152</v>
      </c>
      <c r="K698" t="str">
        <f>TRIM('Raw RetailSalesData'!K698)</f>
        <v>Aarav Patel</v>
      </c>
      <c r="L698" t="s">
        <v>46</v>
      </c>
    </row>
    <row r="699" spans="1:12" x14ac:dyDescent="0.3">
      <c r="A699" t="str">
        <f>IF(COUNTIF('Raw RetailSalesData'!$A:$L,'Raw RetailSalesData'!A699)=1,'Raw RetailSalesData'!A699,"")</f>
        <v>ORD-10766</v>
      </c>
      <c r="B699" t="str">
        <f>IF('Raw RetailSalesData'!B699="","UNKNOWN",'Raw RetailSalesData'!B699)</f>
        <v>2024-02-18</v>
      </c>
      <c r="C699" t="str">
        <f>IF('Raw RetailSalesData'!C699="","UNKNOW",'Raw RetailSalesData'!C699)</f>
        <v>CUST-1090</v>
      </c>
      <c r="D699" t="str">
        <f>IF('Raw RetailSalesData'!D699="","UNKNOW",'Raw RetailSalesData'!D699)</f>
        <v>C303</v>
      </c>
      <c r="E699" s="5">
        <f>IF('Raw RetailSalesData'!E699="",'Raw RetailSalesData'!F699/'Raw RetailSalesData'!G699,'Raw RetailSalesData'!E699)</f>
        <v>13</v>
      </c>
      <c r="F699" s="7">
        <f>IF('Raw RetailSalesData'!F699="",'Raw RetailSalesData'!G699/'Raw RetailSalesData'!E699,'Raw RetailSalesData'!F699)</f>
        <v>65</v>
      </c>
      <c r="G699" s="7">
        <f t="shared" si="10"/>
        <v>845</v>
      </c>
      <c r="H699" s="5" t="str">
        <f>IF('Raw RetailSalesData'!H699="","Unknown",'Raw RetailSalesData'!H699)</f>
        <v>NA</v>
      </c>
      <c r="I699" t="s">
        <v>28</v>
      </c>
      <c r="J699" t="s">
        <v>2196</v>
      </c>
      <c r="K699" t="str">
        <f>TRIM('Raw RetailSalesData'!K699)</f>
        <v>Michael Johnson</v>
      </c>
      <c r="L699" t="s">
        <v>21</v>
      </c>
    </row>
    <row r="700" spans="1:12" x14ac:dyDescent="0.3">
      <c r="A700" t="str">
        <f>IF(COUNTIF('Raw RetailSalesData'!$A:$L,'Raw RetailSalesData'!A700)=1,'Raw RetailSalesData'!A700,"")</f>
        <v>ORD-10767</v>
      </c>
      <c r="B700" t="str">
        <f>IF('Raw RetailSalesData'!B700="","UNKNOWN",'Raw RetailSalesData'!B700)</f>
        <v>UNKNOWN</v>
      </c>
      <c r="C700" t="str">
        <f>IF('Raw RetailSalesData'!C700="","UNKNOW",'Raw RetailSalesData'!C700)</f>
        <v>CUST-1193</v>
      </c>
      <c r="D700" t="str">
        <f>IF('Raw RetailSalesData'!D700="","UNKNOW",'Raw RetailSalesData'!D700)</f>
        <v>C301</v>
      </c>
      <c r="E700" s="5">
        <f>IF('Raw RetailSalesData'!E700="",'Raw RetailSalesData'!F700/'Raw RetailSalesData'!G700,'Raw RetailSalesData'!E700)</f>
        <v>1</v>
      </c>
      <c r="F700" s="7">
        <f>IF('Raw RetailSalesData'!F700="",'Raw RetailSalesData'!G700/'Raw RetailSalesData'!E700,'Raw RetailSalesData'!F700)</f>
        <v>60</v>
      </c>
      <c r="G700" s="7">
        <f t="shared" si="10"/>
        <v>60</v>
      </c>
      <c r="H700" s="5" t="str">
        <f>IF('Raw RetailSalesData'!H700="","Unknown",'Raw RetailSalesData'!H700)</f>
        <v>NA</v>
      </c>
      <c r="I700" t="s">
        <v>100</v>
      </c>
      <c r="J700" t="s">
        <v>101</v>
      </c>
      <c r="K700" t="str">
        <f>TRIM('Raw RetailSalesData'!K700)</f>
        <v>Sales Rep 5</v>
      </c>
      <c r="L700" t="s">
        <v>21</v>
      </c>
    </row>
    <row r="701" spans="1:12" x14ac:dyDescent="0.3">
      <c r="A701" t="str">
        <f>IF(COUNTIF('Raw RetailSalesData'!$A:$L,'Raw RetailSalesData'!A701)=1,'Raw RetailSalesData'!A701,"")</f>
        <v>ORD-10768</v>
      </c>
      <c r="B701" t="str">
        <f>IF('Raw RetailSalesData'!B701="","UNKNOWN",'Raw RetailSalesData'!B701)</f>
        <v>2023-04-03</v>
      </c>
      <c r="C701" t="str">
        <f>IF('Raw RetailSalesData'!C701="","UNKNOW",'Raw RetailSalesData'!C701)</f>
        <v>CUST-1185</v>
      </c>
      <c r="D701" t="str">
        <f>IF('Raw RetailSalesData'!D701="","UNKNOW",'Raw RetailSalesData'!D701)</f>
        <v>P201</v>
      </c>
      <c r="E701" s="5">
        <f>IF('Raw RetailSalesData'!E701="",'Raw RetailSalesData'!F701/'Raw RetailSalesData'!G701,'Raw RetailSalesData'!E701)</f>
        <v>13</v>
      </c>
      <c r="F701" s="7">
        <f>IF('Raw RetailSalesData'!F701="",'Raw RetailSalesData'!G701/'Raw RetailSalesData'!E701,'Raw RetailSalesData'!F701)</f>
        <v>70</v>
      </c>
      <c r="G701" s="7">
        <f t="shared" si="10"/>
        <v>910</v>
      </c>
      <c r="H701" s="5" t="str">
        <f>IF('Raw RetailSalesData'!H701="","Unknown",'Raw RetailSalesData'!H701)</f>
        <v>APAC</v>
      </c>
      <c r="I701" t="s">
        <v>183</v>
      </c>
      <c r="J701" t="s">
        <v>184</v>
      </c>
      <c r="K701" t="str">
        <f>TRIM('Raw RetailSalesData'!K701)</f>
        <v>Sales Rep 5</v>
      </c>
      <c r="L701" t="s">
        <v>31</v>
      </c>
    </row>
    <row r="702" spans="1:12" x14ac:dyDescent="0.3">
      <c r="A702" t="str">
        <f>IF(COUNTIF('Raw RetailSalesData'!$A:$L,'Raw RetailSalesData'!A702)=1,'Raw RetailSalesData'!A702,"")</f>
        <v>ORD-10769</v>
      </c>
      <c r="B702" t="str">
        <f>IF('Raw RetailSalesData'!B702="","UNKNOWN",'Raw RetailSalesData'!B702)</f>
        <v>2022-01-18</v>
      </c>
      <c r="C702" t="str">
        <f>IF('Raw RetailSalesData'!C702="","UNKNOW",'Raw RetailSalesData'!C702)</f>
        <v xml:space="preserve"> CUST-1139 </v>
      </c>
      <c r="D702" t="str">
        <f>IF('Raw RetailSalesData'!D702="","UNKNOW",'Raw RetailSalesData'!D702)</f>
        <v>P202</v>
      </c>
      <c r="E702" s="5">
        <f>IF('Raw RetailSalesData'!E702="",'Raw RetailSalesData'!F702/'Raw RetailSalesData'!G702,'Raw RetailSalesData'!E702)</f>
        <v>13</v>
      </c>
      <c r="F702" s="7">
        <f>IF('Raw RetailSalesData'!F702="",'Raw RetailSalesData'!G702/'Raw RetailSalesData'!E702,'Raw RetailSalesData'!F702)</f>
        <v>70</v>
      </c>
      <c r="G702" s="7">
        <f t="shared" si="10"/>
        <v>910</v>
      </c>
      <c r="H702" s="5" t="str">
        <f>IF('Raw RetailSalesData'!H702="","Unknown",'Raw RetailSalesData'!H702)</f>
        <v xml:space="preserve"> NA </v>
      </c>
      <c r="I702" t="s">
        <v>28</v>
      </c>
      <c r="J702" t="s">
        <v>2196</v>
      </c>
      <c r="K702" t="str">
        <f>TRIM('Raw RetailSalesData'!K702)</f>
        <v>Michael Johnson</v>
      </c>
      <c r="L702" t="s">
        <v>31</v>
      </c>
    </row>
    <row r="703" spans="1:12" x14ac:dyDescent="0.3">
      <c r="A703" t="str">
        <f>IF(COUNTIF('Raw RetailSalesData'!$A:$L,'Raw RetailSalesData'!A703)=1,'Raw RetailSalesData'!A703,"")</f>
        <v>ORD-10770</v>
      </c>
      <c r="B703" t="str">
        <f>IF('Raw RetailSalesData'!B703="","UNKNOWN",'Raw RetailSalesData'!B703)</f>
        <v>2023-11-05</v>
      </c>
      <c r="C703" t="str">
        <f>IF('Raw RetailSalesData'!C703="","UNKNOW",'Raw RetailSalesData'!C703)</f>
        <v>#N/A</v>
      </c>
      <c r="D703" t="str">
        <f>IF('Raw RetailSalesData'!D703="","UNKNOW",'Raw RetailSalesData'!D703)</f>
        <v>P203</v>
      </c>
      <c r="E703" s="5">
        <f>IF('Raw RetailSalesData'!E703="",'Raw RetailSalesData'!F703/'Raw RetailSalesData'!G703,'Raw RetailSalesData'!E703)</f>
        <v>11</v>
      </c>
      <c r="F703" s="7">
        <f>IF('Raw RetailSalesData'!F703="",'Raw RetailSalesData'!G703/'Raw RetailSalesData'!E703,'Raw RetailSalesData'!F703)</f>
        <v>68</v>
      </c>
      <c r="G703" s="7">
        <f t="shared" si="10"/>
        <v>748</v>
      </c>
      <c r="H703" s="5" t="str">
        <f>IF('Raw RetailSalesData'!H703="","Unknown",'Raw RetailSalesData'!H703)</f>
        <v>EMEA</v>
      </c>
      <c r="I703" t="s">
        <v>38</v>
      </c>
      <c r="J703" t="s">
        <v>39</v>
      </c>
      <c r="K703" t="str">
        <f>TRIM('Raw RetailSalesData'!K703)</f>
        <v>Sales Rep 2</v>
      </c>
      <c r="L703" t="s">
        <v>31</v>
      </c>
    </row>
    <row r="704" spans="1:12" x14ac:dyDescent="0.3">
      <c r="A704" t="str">
        <f>IF(COUNTIF('Raw RetailSalesData'!$A:$L,'Raw RetailSalesData'!A704)=1,'Raw RetailSalesData'!A704,"")</f>
        <v>ORD-10771</v>
      </c>
      <c r="B704" t="str">
        <f>IF('Raw RetailSalesData'!B704="","UNKNOWN",'Raw RetailSalesData'!B704)</f>
        <v>2022-06-06</v>
      </c>
      <c r="C704" t="str">
        <f>IF('Raw RetailSalesData'!C704="","UNKNOW",'Raw RetailSalesData'!C704)</f>
        <v>CUST-1099</v>
      </c>
      <c r="D704" t="str">
        <f>IF('Raw RetailSalesData'!D704="","UNKNOW",'Raw RetailSalesData'!D704)</f>
        <v>P103</v>
      </c>
      <c r="E704" s="5">
        <f>IF('Raw RetailSalesData'!E704="",'Raw RetailSalesData'!F704/'Raw RetailSalesData'!G704,'Raw RetailSalesData'!E704)</f>
        <v>6</v>
      </c>
      <c r="F704" s="7">
        <f>IF('Raw RetailSalesData'!F704="",'Raw RetailSalesData'!G704/'Raw RetailSalesData'!E704,'Raw RetailSalesData'!F704)</f>
        <v>95</v>
      </c>
      <c r="G704" s="7">
        <f t="shared" si="10"/>
        <v>570</v>
      </c>
      <c r="H704" s="5" t="str">
        <f>IF('Raw RetailSalesData'!H704="","Unknown",'Raw RetailSalesData'!H704)</f>
        <v>APAC</v>
      </c>
      <c r="I704" t="s">
        <v>71</v>
      </c>
      <c r="J704" t="s">
        <v>72</v>
      </c>
      <c r="K704" t="str">
        <f>TRIM('Raw RetailSalesData'!K704)</f>
        <v>Hiroshi Tanaka</v>
      </c>
      <c r="L704" t="s">
        <v>21</v>
      </c>
    </row>
    <row r="705" spans="1:12" x14ac:dyDescent="0.3">
      <c r="A705" t="str">
        <f>IF(COUNTIF('Raw RetailSalesData'!$A:$L,'Raw RetailSalesData'!A705)=1,'Raw RetailSalesData'!A705,"")</f>
        <v>ORD-10772</v>
      </c>
      <c r="B705" t="str">
        <f>IF('Raw RetailSalesData'!B705="","UNKNOWN",'Raw RetailSalesData'!B705)</f>
        <v>2026-09-14</v>
      </c>
      <c r="C705" t="str">
        <f>IF('Raw RetailSalesData'!C705="","UNKNOW",'Raw RetailSalesData'!C705)</f>
        <v>CUST-1089</v>
      </c>
      <c r="D705" t="str">
        <f>IF('Raw RetailSalesData'!D705="","UNKNOW",'Raw RetailSalesData'!D705)</f>
        <v>C304</v>
      </c>
      <c r="E705" s="5">
        <f>IF('Raw RetailSalesData'!E705="",'Raw RetailSalesData'!F705/'Raw RetailSalesData'!G705,'Raw RetailSalesData'!E705)</f>
        <v>5</v>
      </c>
      <c r="F705" s="7">
        <f>IF('Raw RetailSalesData'!F705="",'Raw RetailSalesData'!G705/'Raw RetailSalesData'!E705,'Raw RetailSalesData'!F705)</f>
        <v>58</v>
      </c>
      <c r="G705" s="7">
        <f t="shared" si="10"/>
        <v>290</v>
      </c>
      <c r="H705" s="5" t="str">
        <f>IF('Raw RetailSalesData'!H705="","Unknown",'Raw RetailSalesData'!H705)</f>
        <v>APAC</v>
      </c>
      <c r="I705" t="s">
        <v>183</v>
      </c>
      <c r="J705" t="s">
        <v>184</v>
      </c>
      <c r="K705" t="str">
        <f>TRIM('Raw RetailSalesData'!K705)</f>
        <v>Sales Rep 5</v>
      </c>
      <c r="L705" t="s">
        <v>31</v>
      </c>
    </row>
    <row r="706" spans="1:12" x14ac:dyDescent="0.3">
      <c r="A706" t="str">
        <f>IF(COUNTIF('Raw RetailSalesData'!$A:$L,'Raw RetailSalesData'!A706)=1,'Raw RetailSalesData'!A706,"")</f>
        <v>ORD-10773</v>
      </c>
      <c r="B706" t="str">
        <f>IF('Raw RetailSalesData'!B706="","UNKNOWN",'Raw RetailSalesData'!B706)</f>
        <v>UNKNOWN</v>
      </c>
      <c r="C706" t="str">
        <f>IF('Raw RetailSalesData'!C706="","UNKNOW",'Raw RetailSalesData'!C706)</f>
        <v>CUST-1183</v>
      </c>
      <c r="D706" t="str">
        <f>IF('Raw RetailSalesData'!D706="","UNKNOW",'Raw RetailSalesData'!D706)</f>
        <v>P102</v>
      </c>
      <c r="E706" s="5">
        <f>IF('Raw RetailSalesData'!E706="",'Raw RetailSalesData'!F706/'Raw RetailSalesData'!G706,'Raw RetailSalesData'!E706)</f>
        <v>12</v>
      </c>
      <c r="F706" s="7">
        <f>IF('Raw RetailSalesData'!F706="",'Raw RetailSalesData'!G706/'Raw RetailSalesData'!E706,'Raw RetailSalesData'!F706)</f>
        <v>75</v>
      </c>
      <c r="G706" s="7">
        <f t="shared" si="10"/>
        <v>900</v>
      </c>
      <c r="H706" s="5" t="str">
        <f>IF('Raw RetailSalesData'!H706="","Unknown",'Raw RetailSalesData'!H706)</f>
        <v>LATAM</v>
      </c>
      <c r="I706" t="s">
        <v>90</v>
      </c>
      <c r="J706" t="s">
        <v>2198</v>
      </c>
      <c r="K706" t="str">
        <f>TRIM('Raw RetailSalesData'!K706)</f>
        <v>Sales Rep 2</v>
      </c>
      <c r="L706" t="s">
        <v>21</v>
      </c>
    </row>
    <row r="707" spans="1:12" x14ac:dyDescent="0.3">
      <c r="A707" t="str">
        <f>IF(COUNTIF('Raw RetailSalesData'!$A:$L,'Raw RetailSalesData'!A707)=1,'Raw RetailSalesData'!A707,"")</f>
        <v>ORD-10774</v>
      </c>
      <c r="B707" t="str">
        <f>IF('Raw RetailSalesData'!B707="","UNKNOWN",'Raw RetailSalesData'!B707)</f>
        <v>2022-02-15</v>
      </c>
      <c r="C707" t="str">
        <f>IF('Raw RetailSalesData'!C707="","UNKNOW",'Raw RetailSalesData'!C707)</f>
        <v>CUST-1010</v>
      </c>
      <c r="D707" t="str">
        <f>IF('Raw RetailSalesData'!D707="","UNKNOW",'Raw RetailSalesData'!D707)</f>
        <v>P103</v>
      </c>
      <c r="E707" s="5">
        <f>IF('Raw RetailSalesData'!E707="",'Raw RetailSalesData'!F707/'Raw RetailSalesData'!G707,'Raw RetailSalesData'!E707)</f>
        <v>8</v>
      </c>
      <c r="F707" s="7">
        <f>IF('Raw RetailSalesData'!F707="",'Raw RetailSalesData'!G707/'Raw RetailSalesData'!E707,'Raw RetailSalesData'!F707)</f>
        <v>95</v>
      </c>
      <c r="G707" s="7">
        <f t="shared" ref="G707:G770" si="11">F707*E707</f>
        <v>760</v>
      </c>
      <c r="H707" s="5" t="str">
        <f>IF('Raw RetailSalesData'!H707="","Unknown",'Raw RetailSalesData'!H707)</f>
        <v>APAC</v>
      </c>
      <c r="I707" t="s">
        <v>71</v>
      </c>
      <c r="J707" t="s">
        <v>72</v>
      </c>
      <c r="K707" t="str">
        <f>TRIM('Raw RetailSalesData'!K707)</f>
        <v>Hiroshi Tanaka</v>
      </c>
      <c r="L707" t="s">
        <v>46</v>
      </c>
    </row>
    <row r="708" spans="1:12" x14ac:dyDescent="0.3">
      <c r="A708" t="str">
        <f>IF(COUNTIF('Raw RetailSalesData'!$A:$L,'Raw RetailSalesData'!A708)=1,'Raw RetailSalesData'!A708,"")</f>
        <v>ORD-10775</v>
      </c>
      <c r="B708" t="str">
        <f>IF('Raw RetailSalesData'!B708="","UNKNOWN",'Raw RetailSalesData'!B708)</f>
        <v>2023-11-14</v>
      </c>
      <c r="C708" t="str">
        <f>IF('Raw RetailSalesData'!C708="","UNKNOW",'Raw RetailSalesData'!C708)</f>
        <v>CUST-1005</v>
      </c>
      <c r="D708" t="str">
        <f>IF('Raw RetailSalesData'!D708="","UNKNOW",'Raw RetailSalesData'!D708)</f>
        <v xml:space="preserve"> P201 </v>
      </c>
      <c r="E708" s="5">
        <f>IF('Raw RetailSalesData'!E708="",'Raw RetailSalesData'!F708/'Raw RetailSalesData'!G708,'Raw RetailSalesData'!E708)</f>
        <v>13</v>
      </c>
      <c r="F708" s="7">
        <f>IF('Raw RetailSalesData'!F708="",'Raw RetailSalesData'!G708/'Raw RetailSalesData'!E708,'Raw RetailSalesData'!F708)</f>
        <v>70</v>
      </c>
      <c r="G708" s="7">
        <f t="shared" si="11"/>
        <v>910</v>
      </c>
      <c r="H708" s="5" t="str">
        <f>IF('Raw RetailSalesData'!H708="","Unknown",'Raw RetailSalesData'!H708)</f>
        <v>APAC</v>
      </c>
      <c r="I708" t="s">
        <v>2190</v>
      </c>
      <c r="J708" t="s">
        <v>184</v>
      </c>
      <c r="K708" t="str">
        <f>TRIM('Raw RetailSalesData'!K708)</f>
        <v>Sales Rep 5</v>
      </c>
      <c r="L708" t="s">
        <v>31</v>
      </c>
    </row>
    <row r="709" spans="1:12" x14ac:dyDescent="0.3">
      <c r="A709" t="str">
        <f>IF(COUNTIF('Raw RetailSalesData'!$A:$L,'Raw RetailSalesData'!A709)=1,'Raw RetailSalesData'!A709,"")</f>
        <v>ORD-10776</v>
      </c>
      <c r="B709" t="str">
        <f>IF('Raw RetailSalesData'!B709="","UNKNOWN",'Raw RetailSalesData'!B709)</f>
        <v>2022-02-20</v>
      </c>
      <c r="C709" t="str">
        <f>IF('Raw RetailSalesData'!C709="","UNKNOW",'Raw RetailSalesData'!C709)</f>
        <v>CUST-1124</v>
      </c>
      <c r="D709" t="str">
        <f>IF('Raw RetailSalesData'!D709="","UNKNOW",'Raw RetailSalesData'!D709)</f>
        <v>P203</v>
      </c>
      <c r="E709" s="5">
        <f>IF('Raw RetailSalesData'!E709="",'Raw RetailSalesData'!F709/'Raw RetailSalesData'!G709,'Raw RetailSalesData'!E709)</f>
        <v>9</v>
      </c>
      <c r="F709" s="7">
        <f>IF('Raw RetailSalesData'!F709="",'Raw RetailSalesData'!G709/'Raw RetailSalesData'!E709,'Raw RetailSalesData'!F709)</f>
        <v>73</v>
      </c>
      <c r="G709" s="7">
        <f t="shared" si="11"/>
        <v>657</v>
      </c>
      <c r="H709" s="5" t="str">
        <f>IF('Raw RetailSalesData'!H709="","Unknown",'Raw RetailSalesData'!H709)</f>
        <v>NA</v>
      </c>
      <c r="I709" t="s">
        <v>28</v>
      </c>
      <c r="J709" t="s">
        <v>2196</v>
      </c>
      <c r="K709" t="str">
        <f>TRIM('Raw RetailSalesData'!K709)</f>
        <v>Michael Johnson</v>
      </c>
      <c r="L709" t="s">
        <v>21</v>
      </c>
    </row>
    <row r="710" spans="1:12" x14ac:dyDescent="0.3">
      <c r="A710" t="str">
        <f>IF(COUNTIF('Raw RetailSalesData'!$A:$L,'Raw RetailSalesData'!A710)=1,'Raw RetailSalesData'!A710,"")</f>
        <v>ORD-10777</v>
      </c>
      <c r="B710" t="str">
        <f>IF('Raw RetailSalesData'!B710="","UNKNOWN",'Raw RetailSalesData'!B710)</f>
        <v>2025-10-30</v>
      </c>
      <c r="C710" t="str">
        <f>IF('Raw RetailSalesData'!C710="","UNKNOW",'Raw RetailSalesData'!C710)</f>
        <v>CUST-1045</v>
      </c>
      <c r="D710" t="str">
        <f>IF('Raw RetailSalesData'!D710="","UNKNOW",'Raw RetailSalesData'!D710)</f>
        <v>UNKNOW</v>
      </c>
      <c r="E710" s="5">
        <f>IF('Raw RetailSalesData'!E710="",'Raw RetailSalesData'!F710/'Raw RetailSalesData'!G710,'Raw RetailSalesData'!E710)</f>
        <v>2</v>
      </c>
      <c r="F710" s="7">
        <f>IF('Raw RetailSalesData'!F710="",'Raw RetailSalesData'!G710/'Raw RetailSalesData'!E710,'Raw RetailSalesData'!F710)</f>
        <v>95</v>
      </c>
      <c r="G710" s="7">
        <f t="shared" si="11"/>
        <v>190</v>
      </c>
      <c r="H710" s="5" t="str">
        <f>IF('Raw RetailSalesData'!H710="","Unknown",'Raw RetailSalesData'!H710)</f>
        <v>EMEA</v>
      </c>
      <c r="I710" t="s">
        <v>83</v>
      </c>
      <c r="J710" t="s">
        <v>84</v>
      </c>
      <c r="K710" t="str">
        <f>TRIM('Raw RetailSalesData'!K710)</f>
        <v>John Smith</v>
      </c>
      <c r="L710" t="s">
        <v>46</v>
      </c>
    </row>
    <row r="711" spans="1:12" x14ac:dyDescent="0.3">
      <c r="A711" t="str">
        <f>IF(COUNTIF('Raw RetailSalesData'!$A:$L,'Raw RetailSalesData'!A711)=1,'Raw RetailSalesData'!A711,"")</f>
        <v>ORD-10778</v>
      </c>
      <c r="B711" t="str">
        <f>IF('Raw RetailSalesData'!B711="","UNKNOWN",'Raw RetailSalesData'!B711)</f>
        <v>2023-02-27</v>
      </c>
      <c r="C711" t="str">
        <f>IF('Raw RetailSalesData'!C711="","UNKNOW",'Raw RetailSalesData'!C711)</f>
        <v>CUST-1075</v>
      </c>
      <c r="D711" t="str">
        <f>IF('Raw RetailSalesData'!D711="","UNKNOW",'Raw RetailSalesData'!D711)</f>
        <v>P203</v>
      </c>
      <c r="E711" s="5">
        <f>IF('Raw RetailSalesData'!E711="",'Raw RetailSalesData'!F711/'Raw RetailSalesData'!G711,'Raw RetailSalesData'!E711)</f>
        <v>8</v>
      </c>
      <c r="F711" s="7">
        <f>IF('Raw RetailSalesData'!F711="",'Raw RetailSalesData'!G711/'Raw RetailSalesData'!E711,'Raw RetailSalesData'!F711)</f>
        <v>63</v>
      </c>
      <c r="G711" s="7">
        <f t="shared" si="11"/>
        <v>504</v>
      </c>
      <c r="H711" s="5" t="str">
        <f>IF('Raw RetailSalesData'!H711="","Unknown",'Raw RetailSalesData'!H711)</f>
        <v>LATAM</v>
      </c>
      <c r="I711" t="s">
        <v>90</v>
      </c>
      <c r="J711" t="s">
        <v>2190</v>
      </c>
      <c r="K711" t="str">
        <f>TRIM('Raw RetailSalesData'!K711)</f>
        <v>Sales Rep 1</v>
      </c>
      <c r="L711" t="s">
        <v>21</v>
      </c>
    </row>
    <row r="712" spans="1:12" x14ac:dyDescent="0.3">
      <c r="A712" t="str">
        <f>IF(COUNTIF('Raw RetailSalesData'!$A:$L,'Raw RetailSalesData'!A712)=1,'Raw RetailSalesData'!A712,"")</f>
        <v>ORD-10779</v>
      </c>
      <c r="B712" t="str">
        <f>IF('Raw RetailSalesData'!B712="","UNKNOWN",'Raw RetailSalesData'!B712)</f>
        <v>2024-04-13</v>
      </c>
      <c r="C712" t="str">
        <f>IF('Raw RetailSalesData'!C712="","UNKNOW",'Raw RetailSalesData'!C712)</f>
        <v>CUST-1080</v>
      </c>
      <c r="D712" t="str">
        <f>IF('Raw RetailSalesData'!D712="","UNKNOW",'Raw RetailSalesData'!D712)</f>
        <v>P101</v>
      </c>
      <c r="E712" s="5">
        <f>IF('Raw RetailSalesData'!E712="",'Raw RetailSalesData'!F712/'Raw RetailSalesData'!G712,'Raw RetailSalesData'!E712)</f>
        <v>17</v>
      </c>
      <c r="F712" s="7">
        <f>IF('Raw RetailSalesData'!F712="",'Raw RetailSalesData'!G712/'Raw RetailSalesData'!E712,'Raw RetailSalesData'!F712)</f>
        <v>85</v>
      </c>
      <c r="G712" s="7">
        <f t="shared" si="11"/>
        <v>1445</v>
      </c>
      <c r="H712" s="5" t="str">
        <f>IF('Raw RetailSalesData'!H712="","Unknown",'Raw RetailSalesData'!H712)</f>
        <v xml:space="preserve"> EMEA </v>
      </c>
      <c r="I712" t="s">
        <v>225</v>
      </c>
      <c r="J712" t="s">
        <v>226</v>
      </c>
      <c r="K712" t="str">
        <f>TRIM('Raw RetailSalesData'!K712)</f>
        <v>Sales Rep 5</v>
      </c>
      <c r="L712" t="s">
        <v>46</v>
      </c>
    </row>
    <row r="713" spans="1:12" x14ac:dyDescent="0.3">
      <c r="A713" t="str">
        <f>IF(COUNTIF('Raw RetailSalesData'!$A:$L,'Raw RetailSalesData'!A713)=1,'Raw RetailSalesData'!A713,"")</f>
        <v>ORD-10780</v>
      </c>
      <c r="B713" t="str">
        <f>IF('Raw RetailSalesData'!B713="","UNKNOWN",'Raw RetailSalesData'!B713)</f>
        <v>2025-07-10</v>
      </c>
      <c r="C713" t="str">
        <f>IF('Raw RetailSalesData'!C713="","UNKNOW",'Raw RetailSalesData'!C713)</f>
        <v>CUST-1071</v>
      </c>
      <c r="D713" t="str">
        <f>IF('Raw RetailSalesData'!D713="","UNKNOW",'Raw RetailSalesData'!D713)</f>
        <v>C303</v>
      </c>
      <c r="E713" s="5">
        <f>IF('Raw RetailSalesData'!E713="",'Raw RetailSalesData'!F713/'Raw RetailSalesData'!G713,'Raw RetailSalesData'!E713)</f>
        <v>6</v>
      </c>
      <c r="F713" s="7">
        <f>IF('Raw RetailSalesData'!F713="",'Raw RetailSalesData'!G713/'Raw RetailSalesData'!E713,'Raw RetailSalesData'!F713)</f>
        <v>65</v>
      </c>
      <c r="G713" s="7">
        <f t="shared" si="11"/>
        <v>390</v>
      </c>
      <c r="H713" s="5" t="str">
        <f>IF('Raw RetailSalesData'!H713="","Unknown",'Raw RetailSalesData'!H713)</f>
        <v>NA</v>
      </c>
      <c r="I713" t="s">
        <v>100</v>
      </c>
      <c r="J713" t="s">
        <v>101</v>
      </c>
      <c r="K713" t="str">
        <f>TRIM('Raw RetailSalesData'!K713)</f>
        <v>Sales Rep 3</v>
      </c>
      <c r="L713" t="s">
        <v>46</v>
      </c>
    </row>
    <row r="714" spans="1:12" x14ac:dyDescent="0.3">
      <c r="A714" t="str">
        <f>IF(COUNTIF('Raw RetailSalesData'!$A:$L,'Raw RetailSalesData'!A714)=1,'Raw RetailSalesData'!A714,"")</f>
        <v>ORD-10781</v>
      </c>
      <c r="B714" t="str">
        <f>IF('Raw RetailSalesData'!B714="","UNKNOWN",'Raw RetailSalesData'!B714)</f>
        <v>2025-06-21</v>
      </c>
      <c r="C714" t="str">
        <f>IF('Raw RetailSalesData'!C714="","UNKNOW",'Raw RetailSalesData'!C714)</f>
        <v>CUST-1007</v>
      </c>
      <c r="D714" t="str">
        <f>IF('Raw RetailSalesData'!D714="","UNKNOW",'Raw RetailSalesData'!D714)</f>
        <v>C303</v>
      </c>
      <c r="E714" s="5">
        <f>IF('Raw RetailSalesData'!E714="",'Raw RetailSalesData'!F714/'Raw RetailSalesData'!G714,'Raw RetailSalesData'!E714)</f>
        <v>13</v>
      </c>
      <c r="F714" s="7">
        <f>IF('Raw RetailSalesData'!F714="",'Raw RetailSalesData'!G714/'Raw RetailSalesData'!E714,'Raw RetailSalesData'!F714)</f>
        <v>60</v>
      </c>
      <c r="G714" s="7">
        <f t="shared" si="11"/>
        <v>780</v>
      </c>
      <c r="H714" s="5" t="str">
        <f>IF('Raw RetailSalesData'!H714="","Unknown",'Raw RetailSalesData'!H714)</f>
        <v>EMEA</v>
      </c>
      <c r="I714" t="s">
        <v>225</v>
      </c>
      <c r="J714" t="s">
        <v>226</v>
      </c>
      <c r="K714" t="str">
        <f>TRIM('Raw RetailSalesData'!K714)</f>
        <v>Sales Rep 3</v>
      </c>
      <c r="L714" t="s">
        <v>31</v>
      </c>
    </row>
    <row r="715" spans="1:12" x14ac:dyDescent="0.3">
      <c r="A715" t="str">
        <f>IF(COUNTIF('Raw RetailSalesData'!$A:$L,'Raw RetailSalesData'!A715)=1,'Raw RetailSalesData'!A715,"")</f>
        <v>ORD-10782</v>
      </c>
      <c r="B715" t="str">
        <f>IF('Raw RetailSalesData'!B715="","UNKNOWN",'Raw RetailSalesData'!B715)</f>
        <v>2023-05-28</v>
      </c>
      <c r="C715" t="str">
        <f>IF('Raw RetailSalesData'!C715="","UNKNOW",'Raw RetailSalesData'!C715)</f>
        <v>CUST-1071</v>
      </c>
      <c r="D715" t="str">
        <f>IF('Raw RetailSalesData'!D715="","UNKNOW",'Raw RetailSalesData'!D715)</f>
        <v>C304</v>
      </c>
      <c r="E715" s="5">
        <f>IF('Raw RetailSalesData'!E715="",'Raw RetailSalesData'!F715/'Raw RetailSalesData'!G715,'Raw RetailSalesData'!E715)</f>
        <v>16</v>
      </c>
      <c r="F715" s="7">
        <f>IF('Raw RetailSalesData'!F715="",'Raw RetailSalesData'!G715/'Raw RetailSalesData'!E715,'Raw RetailSalesData'!F715)</f>
        <v>58</v>
      </c>
      <c r="G715" s="7">
        <f t="shared" si="11"/>
        <v>928</v>
      </c>
      <c r="H715" s="5" t="str">
        <f>IF('Raw RetailSalesData'!H715="","Unknown",'Raw RetailSalesData'!H715)</f>
        <v>EMEA</v>
      </c>
      <c r="I715" t="s">
        <v>83</v>
      </c>
      <c r="J715" t="s">
        <v>84</v>
      </c>
      <c r="K715" t="str">
        <f>TRIM('Raw RetailSalesData'!K715)</f>
        <v>John Smith</v>
      </c>
      <c r="L715" t="s">
        <v>21</v>
      </c>
    </row>
    <row r="716" spans="1:12" x14ac:dyDescent="0.3">
      <c r="A716" t="str">
        <f>IF(COUNTIF('Raw RetailSalesData'!$A:$L,'Raw RetailSalesData'!A716)=1,'Raw RetailSalesData'!A716,"")</f>
        <v>ORD-10783</v>
      </c>
      <c r="B716" t="str">
        <f>IF('Raw RetailSalesData'!B716="","UNKNOWN",'Raw RetailSalesData'!B716)</f>
        <v>2022-11-29</v>
      </c>
      <c r="C716" t="str">
        <f>IF('Raw RetailSalesData'!C716="","UNKNOW",'Raw RetailSalesData'!C716)</f>
        <v>CUST-1086</v>
      </c>
      <c r="D716" t="str">
        <f>IF('Raw RetailSalesData'!D716="","UNKNOW",'Raw RetailSalesData'!D716)</f>
        <v>C301</v>
      </c>
      <c r="E716" s="5">
        <f>IF('Raw RetailSalesData'!E716="",'Raw RetailSalesData'!F716/'Raw RetailSalesData'!G716,'Raw RetailSalesData'!E716)</f>
        <v>18</v>
      </c>
      <c r="F716" s="7">
        <f>IF('Raw RetailSalesData'!F716="",'Raw RetailSalesData'!G716/'Raw RetailSalesData'!E716,'Raw RetailSalesData'!F716)</f>
        <v>55</v>
      </c>
      <c r="G716" s="7">
        <f t="shared" si="11"/>
        <v>990</v>
      </c>
      <c r="H716" s="5" t="str">
        <f>IF('Raw RetailSalesData'!H716="","Unknown",'Raw RetailSalesData'!H716)</f>
        <v>EMEA</v>
      </c>
      <c r="I716" t="s">
        <v>83</v>
      </c>
      <c r="J716" t="s">
        <v>84</v>
      </c>
      <c r="K716" t="str">
        <f>TRIM('Raw RetailSalesData'!K716)</f>
        <v>John Smith</v>
      </c>
      <c r="L716" t="s">
        <v>21</v>
      </c>
    </row>
    <row r="717" spans="1:12" x14ac:dyDescent="0.3">
      <c r="A717" t="str">
        <f>IF(COUNTIF('Raw RetailSalesData'!$A:$L,'Raw RetailSalesData'!A717)=1,'Raw RetailSalesData'!A717,"")</f>
        <v>ORD-10784</v>
      </c>
      <c r="B717" t="str">
        <f>IF('Raw RetailSalesData'!B717="","UNKNOWN",'Raw RetailSalesData'!B717)</f>
        <v>2025-12-13</v>
      </c>
      <c r="C717" t="str">
        <f>IF('Raw RetailSalesData'!C717="","UNKNOW",'Raw RetailSalesData'!C717)</f>
        <v>CUST-1107</v>
      </c>
      <c r="D717" t="str">
        <f>IF('Raw RetailSalesData'!D717="","UNKNOW",'Raw RetailSalesData'!D717)</f>
        <v>C301</v>
      </c>
      <c r="E717" s="5">
        <f>IF('Raw RetailSalesData'!E717="",'Raw RetailSalesData'!F717/'Raw RetailSalesData'!G717,'Raw RetailSalesData'!E717)</f>
        <v>12</v>
      </c>
      <c r="F717" s="7">
        <f>IF('Raw RetailSalesData'!F717="",'Raw RetailSalesData'!G717/'Raw RetailSalesData'!E717,'Raw RetailSalesData'!F717)</f>
        <v>55</v>
      </c>
      <c r="G717" s="7">
        <f t="shared" si="11"/>
        <v>660</v>
      </c>
      <c r="H717" s="5" t="str">
        <f>IF('Raw RetailSalesData'!H717="","Unknown",'Raw RetailSalesData'!H717)</f>
        <v>APAC</v>
      </c>
      <c r="I717" t="s">
        <v>71</v>
      </c>
      <c r="J717" t="s">
        <v>72</v>
      </c>
      <c r="K717" t="str">
        <f>TRIM('Raw RetailSalesData'!K717)</f>
        <v>Hiroshi Tanaka</v>
      </c>
      <c r="L717" t="s">
        <v>46</v>
      </c>
    </row>
    <row r="718" spans="1:12" x14ac:dyDescent="0.3">
      <c r="A718" t="str">
        <f>IF(COUNTIF('Raw RetailSalesData'!$A:$L,'Raw RetailSalesData'!A718)=1,'Raw RetailSalesData'!A718,"")</f>
        <v>ORD-10785</v>
      </c>
      <c r="B718" t="str">
        <f>IF('Raw RetailSalesData'!B718="","UNKNOWN",'Raw RetailSalesData'!B718)</f>
        <v>2024-04-22</v>
      </c>
      <c r="C718" t="str">
        <f>IF('Raw RetailSalesData'!C718="","UNKNOW",'Raw RetailSalesData'!C718)</f>
        <v>CUST-1109</v>
      </c>
      <c r="D718" t="str">
        <f>IF('Raw RetailSalesData'!D718="","UNKNOW",'Raw RetailSalesData'!D718)</f>
        <v>C304</v>
      </c>
      <c r="E718" s="5">
        <f>IF('Raw RetailSalesData'!E718="",'Raw RetailSalesData'!F718/'Raw RetailSalesData'!G718,'Raw RetailSalesData'!E718)</f>
        <v>14</v>
      </c>
      <c r="F718" s="7">
        <f>IF('Raw RetailSalesData'!F718="",'Raw RetailSalesData'!G718/'Raw RetailSalesData'!E718,'Raw RetailSalesData'!F718)</f>
        <v>58</v>
      </c>
      <c r="G718" s="7">
        <f t="shared" si="11"/>
        <v>812</v>
      </c>
      <c r="H718" s="5" t="str">
        <f>IF('Raw RetailSalesData'!H718="","Unknown",'Raw RetailSalesData'!H718)</f>
        <v>APAC</v>
      </c>
      <c r="I718" t="s">
        <v>151</v>
      </c>
      <c r="J718" t="s">
        <v>152</v>
      </c>
      <c r="K718" t="str">
        <f>TRIM('Raw RetailSalesData'!K718)</f>
        <v>Aarav Patel</v>
      </c>
      <c r="L718" t="s">
        <v>2190</v>
      </c>
    </row>
    <row r="719" spans="1:12" x14ac:dyDescent="0.3">
      <c r="A719" t="str">
        <f>IF(COUNTIF('Raw RetailSalesData'!$A:$L,'Raw RetailSalesData'!A719)=1,'Raw RetailSalesData'!A719,"")</f>
        <v>ORD-10786</v>
      </c>
      <c r="B719" t="str">
        <f>IF('Raw RetailSalesData'!B719="","UNKNOWN",'Raw RetailSalesData'!B719)</f>
        <v>2022-05-02</v>
      </c>
      <c r="C719" t="str">
        <f>IF('Raw RetailSalesData'!C719="","UNKNOW",'Raw RetailSalesData'!C719)</f>
        <v>CUST-1140</v>
      </c>
      <c r="D719" t="str">
        <f>IF('Raw RetailSalesData'!D719="","UNKNOW",'Raw RetailSalesData'!D719)</f>
        <v>C302</v>
      </c>
      <c r="E719" s="5">
        <f>IF('Raw RetailSalesData'!E719="",'Raw RetailSalesData'!F719/'Raw RetailSalesData'!G719,'Raw RetailSalesData'!E719)</f>
        <v>5</v>
      </c>
      <c r="F719" s="7">
        <f>IF('Raw RetailSalesData'!F719="",'Raw RetailSalesData'!G719/'Raw RetailSalesData'!E719,'Raw RetailSalesData'!F719)</f>
        <v>50</v>
      </c>
      <c r="G719" s="7">
        <f t="shared" si="11"/>
        <v>250</v>
      </c>
      <c r="H719" s="5" t="str">
        <f>IF('Raw RetailSalesData'!H719="","Unknown",'Raw RetailSalesData'!H719)</f>
        <v>EMEA</v>
      </c>
      <c r="I719" t="s">
        <v>38</v>
      </c>
      <c r="J719" t="s">
        <v>39</v>
      </c>
      <c r="K719" t="str">
        <f>TRIM('Raw RetailSalesData'!K719)</f>
        <v>Sales Rep 2</v>
      </c>
      <c r="L719" t="s">
        <v>21</v>
      </c>
    </row>
    <row r="720" spans="1:12" x14ac:dyDescent="0.3">
      <c r="A720" t="str">
        <f>IF(COUNTIF('Raw RetailSalesData'!$A:$L,'Raw RetailSalesData'!A720)=1,'Raw RetailSalesData'!A720,"")</f>
        <v>ORD-10787</v>
      </c>
      <c r="B720" t="str">
        <f>IF('Raw RetailSalesData'!B720="","UNKNOWN",'Raw RetailSalesData'!B720)</f>
        <v>2025-03-22</v>
      </c>
      <c r="C720" t="str">
        <f>IF('Raw RetailSalesData'!C720="","UNKNOW",'Raw RetailSalesData'!C720)</f>
        <v>CUST-1154</v>
      </c>
      <c r="D720" t="str">
        <f>IF('Raw RetailSalesData'!D720="","UNKNOW",'Raw RetailSalesData'!D720)</f>
        <v>C304</v>
      </c>
      <c r="E720" s="5">
        <f>IF('Raw RetailSalesData'!E720="",'Raw RetailSalesData'!F720/'Raw RetailSalesData'!G720,'Raw RetailSalesData'!E720)</f>
        <v>19</v>
      </c>
      <c r="F720" s="7">
        <f>IF('Raw RetailSalesData'!F720="",'Raw RetailSalesData'!G720/'Raw RetailSalesData'!E720,'Raw RetailSalesData'!F720)</f>
        <v>58</v>
      </c>
      <c r="G720" s="7">
        <f t="shared" si="11"/>
        <v>1102</v>
      </c>
      <c r="H720" s="5" t="str">
        <f>IF('Raw RetailSalesData'!H720="","Unknown",'Raw RetailSalesData'!H720)</f>
        <v>EMEA</v>
      </c>
      <c r="I720" t="s">
        <v>83</v>
      </c>
      <c r="J720" t="s">
        <v>84</v>
      </c>
      <c r="K720" t="str">
        <f>TRIM('Raw RetailSalesData'!K720)</f>
        <v>John Smith</v>
      </c>
      <c r="L720" t="s">
        <v>21</v>
      </c>
    </row>
    <row r="721" spans="1:12" x14ac:dyDescent="0.3">
      <c r="A721" t="str">
        <f>IF(COUNTIF('Raw RetailSalesData'!$A:$L,'Raw RetailSalesData'!A721)=1,'Raw RetailSalesData'!A721,"")</f>
        <v>ORD-10788</v>
      </c>
      <c r="B721" t="str">
        <f>IF('Raw RetailSalesData'!B721="","UNKNOWN",'Raw RetailSalesData'!B721)</f>
        <v>2026-09-22</v>
      </c>
      <c r="C721" t="str">
        <f>IF('Raw RetailSalesData'!C721="","UNKNOW",'Raw RetailSalesData'!C721)</f>
        <v>CUST-1101</v>
      </c>
      <c r="D721" t="str">
        <f>IF('Raw RetailSalesData'!D721="","UNKNOW",'Raw RetailSalesData'!D721)</f>
        <v>P103</v>
      </c>
      <c r="E721" s="5">
        <f>IF('Raw RetailSalesData'!E721="",'Raw RetailSalesData'!F721/'Raw RetailSalesData'!G721,'Raw RetailSalesData'!E721)</f>
        <v>20</v>
      </c>
      <c r="F721" s="7">
        <f>IF('Raw RetailSalesData'!F721="",'Raw RetailSalesData'!G721/'Raw RetailSalesData'!E721,'Raw RetailSalesData'!F721)</f>
        <v>90</v>
      </c>
      <c r="G721" s="7">
        <f t="shared" si="11"/>
        <v>1800</v>
      </c>
      <c r="H721" s="5" t="str">
        <f>IF('Raw RetailSalesData'!H721="","Unknown",'Raw RetailSalesData'!H721)</f>
        <v>Unknown</v>
      </c>
      <c r="I721" t="s">
        <v>90</v>
      </c>
      <c r="J721" t="s">
        <v>2198</v>
      </c>
      <c r="K721" t="str">
        <f>TRIM('Raw RetailSalesData'!K721)</f>
        <v>Sales Rep 3</v>
      </c>
      <c r="L721" t="s">
        <v>21</v>
      </c>
    </row>
    <row r="722" spans="1:12" x14ac:dyDescent="0.3">
      <c r="A722" t="str">
        <f>IF(COUNTIF('Raw RetailSalesData'!$A:$L,'Raw RetailSalesData'!A722)=1,'Raw RetailSalesData'!A722,"")</f>
        <v>ORD-10789</v>
      </c>
      <c r="B722" t="str">
        <f>IF('Raw RetailSalesData'!B722="","UNKNOWN",'Raw RetailSalesData'!B722)</f>
        <v>2024-10-26</v>
      </c>
      <c r="C722" t="str">
        <f>IF('Raw RetailSalesData'!C722="","UNKNOW",'Raw RetailSalesData'!C722)</f>
        <v>CUST-1006</v>
      </c>
      <c r="D722" t="str">
        <f>IF('Raw RetailSalesData'!D722="","UNKNOW",'Raw RetailSalesData'!D722)</f>
        <v>P101</v>
      </c>
      <c r="E722" s="5">
        <f>IF('Raw RetailSalesData'!E722="",'Raw RetailSalesData'!F722/'Raw RetailSalesData'!G722,'Raw RetailSalesData'!E722)</f>
        <v>18</v>
      </c>
      <c r="F722" s="7">
        <f>IF('Raw RetailSalesData'!F722="",'Raw RetailSalesData'!G722/'Raw RetailSalesData'!E722,'Raw RetailSalesData'!F722)</f>
        <v>85</v>
      </c>
      <c r="G722" s="7">
        <f t="shared" si="11"/>
        <v>1530</v>
      </c>
      <c r="H722" s="5" t="str">
        <f>IF('Raw RetailSalesData'!H722="","Unknown",'Raw RetailSalesData'!H722)</f>
        <v>APAC</v>
      </c>
      <c r="I722" t="s">
        <v>71</v>
      </c>
      <c r="J722" t="s">
        <v>72</v>
      </c>
      <c r="K722" t="str">
        <f>TRIM('Raw RetailSalesData'!K722)</f>
        <v>Hiroshi Tanaka</v>
      </c>
      <c r="L722" t="s">
        <v>31</v>
      </c>
    </row>
    <row r="723" spans="1:12" x14ac:dyDescent="0.3">
      <c r="A723" t="str">
        <f>IF(COUNTIF('Raw RetailSalesData'!$A:$L,'Raw RetailSalesData'!A723)=1,'Raw RetailSalesData'!A723,"")</f>
        <v>ORD-10790</v>
      </c>
      <c r="B723" t="str">
        <f>IF('Raw RetailSalesData'!B723="","UNKNOWN",'Raw RetailSalesData'!B723)</f>
        <v>2022-11-25</v>
      </c>
      <c r="C723" t="str">
        <f>IF('Raw RetailSalesData'!C723="","UNKNOW",'Raw RetailSalesData'!C723)</f>
        <v>CUST-1192</v>
      </c>
      <c r="D723" t="str">
        <f>IF('Raw RetailSalesData'!D723="","UNKNOW",'Raw RetailSalesData'!D723)</f>
        <v>P202</v>
      </c>
      <c r="E723" s="5">
        <f>IF('Raw RetailSalesData'!E723="",'Raw RetailSalesData'!F723/'Raw RetailSalesData'!G723,'Raw RetailSalesData'!E723)</f>
        <v>17</v>
      </c>
      <c r="F723" s="7">
        <f>IF('Raw RetailSalesData'!F723="",'Raw RetailSalesData'!G723/'Raw RetailSalesData'!E723,'Raw RetailSalesData'!F723)</f>
        <v>70</v>
      </c>
      <c r="G723" s="7">
        <f t="shared" si="11"/>
        <v>1190</v>
      </c>
      <c r="H723" s="5" t="str">
        <f>IF('Raw RetailSalesData'!H723="","Unknown",'Raw RetailSalesData'!H723)</f>
        <v>NA</v>
      </c>
      <c r="I723" t="s">
        <v>28</v>
      </c>
      <c r="J723" t="s">
        <v>29</v>
      </c>
      <c r="K723" t="str">
        <f>TRIM('Raw RetailSalesData'!K723)</f>
        <v>Sales Rep 5</v>
      </c>
      <c r="L723" t="s">
        <v>46</v>
      </c>
    </row>
    <row r="724" spans="1:12" x14ac:dyDescent="0.3">
      <c r="A724" t="str">
        <f>IF(COUNTIF('Raw RetailSalesData'!$A:$L,'Raw RetailSalesData'!A724)=1,'Raw RetailSalesData'!A724,"")</f>
        <v>ORD-10791</v>
      </c>
      <c r="B724" t="str">
        <f>IF('Raw RetailSalesData'!B724="","UNKNOWN",'Raw RetailSalesData'!B724)</f>
        <v>2026-06-05</v>
      </c>
      <c r="C724" t="str">
        <f>IF('Raw RetailSalesData'!C724="","UNKNOW",'Raw RetailSalesData'!C724)</f>
        <v>CUST-1138</v>
      </c>
      <c r="D724" t="str">
        <f>IF('Raw RetailSalesData'!D724="","UNKNOW",'Raw RetailSalesData'!D724)</f>
        <v>P201</v>
      </c>
      <c r="E724" s="5">
        <f>IF('Raw RetailSalesData'!E724="",'Raw RetailSalesData'!F724/'Raw RetailSalesData'!G724,'Raw RetailSalesData'!E724)</f>
        <v>20</v>
      </c>
      <c r="F724" s="7">
        <f>IF('Raw RetailSalesData'!F724="",'Raw RetailSalesData'!G724/'Raw RetailSalesData'!E724,'Raw RetailSalesData'!F724)</f>
        <v>75</v>
      </c>
      <c r="G724" s="7">
        <f t="shared" si="11"/>
        <v>1500</v>
      </c>
      <c r="H724" s="5" t="str">
        <f>IF('Raw RetailSalesData'!H724="","Unknown",'Raw RetailSalesData'!H724)</f>
        <v>NA</v>
      </c>
      <c r="I724" t="s">
        <v>28</v>
      </c>
      <c r="J724" t="s">
        <v>2196</v>
      </c>
      <c r="K724" t="str">
        <f>TRIM('Raw RetailSalesData'!K724)</f>
        <v>Michael Johnson</v>
      </c>
      <c r="L724" t="s">
        <v>31</v>
      </c>
    </row>
    <row r="725" spans="1:12" x14ac:dyDescent="0.3">
      <c r="A725" t="str">
        <f>IF(COUNTIF('Raw RetailSalesData'!$A:$L,'Raw RetailSalesData'!A725)=1,'Raw RetailSalesData'!A725,"")</f>
        <v>ORD-10792</v>
      </c>
      <c r="B725" t="str">
        <f>IF('Raw RetailSalesData'!B725="","UNKNOWN",'Raw RetailSalesData'!B725)</f>
        <v>2022-01-09</v>
      </c>
      <c r="C725" t="str">
        <f>IF('Raw RetailSalesData'!C725="","UNKNOW",'Raw RetailSalesData'!C725)</f>
        <v>CUST-1038</v>
      </c>
      <c r="D725" t="str">
        <f>IF('Raw RetailSalesData'!D725="","UNKNOW",'Raw RetailSalesData'!D725)</f>
        <v>C302</v>
      </c>
      <c r="E725" s="5">
        <f>IF('Raw RetailSalesData'!E725="",'Raw RetailSalesData'!F725/'Raw RetailSalesData'!G725,'Raw RetailSalesData'!E725)</f>
        <v>4</v>
      </c>
      <c r="F725" s="7">
        <f>IF('Raw RetailSalesData'!F725="",'Raw RetailSalesData'!G725/'Raw RetailSalesData'!E725,'Raw RetailSalesData'!F725)</f>
        <v>50</v>
      </c>
      <c r="G725" s="7">
        <f t="shared" si="11"/>
        <v>200</v>
      </c>
      <c r="H725" s="5" t="str">
        <f>IF('Raw RetailSalesData'!H725="","Unknown",'Raw RetailSalesData'!H725)</f>
        <v>APAC</v>
      </c>
      <c r="I725" t="s">
        <v>183</v>
      </c>
      <c r="J725" t="s">
        <v>184</v>
      </c>
      <c r="K725" t="str">
        <f>TRIM('Raw RetailSalesData'!K725)</f>
        <v>Sales Rep 3</v>
      </c>
      <c r="L725" t="s">
        <v>21</v>
      </c>
    </row>
    <row r="726" spans="1:12" x14ac:dyDescent="0.3">
      <c r="A726" t="str">
        <f>IF(COUNTIF('Raw RetailSalesData'!$A:$L,'Raw RetailSalesData'!A726)=1,'Raw RetailSalesData'!A726,"")</f>
        <v>ORD-10793</v>
      </c>
      <c r="B726" t="str">
        <f>IF('Raw RetailSalesData'!B726="","UNKNOWN",'Raw RetailSalesData'!B726)</f>
        <v>2022-01-09</v>
      </c>
      <c r="C726" t="str">
        <f>IF('Raw RetailSalesData'!C726="","UNKNOW",'Raw RetailSalesData'!C726)</f>
        <v>CUST-1038</v>
      </c>
      <c r="D726" t="str">
        <f>IF('Raw RetailSalesData'!D726="","UNKNOW",'Raw RetailSalesData'!D726)</f>
        <v>C302</v>
      </c>
      <c r="E726" s="5">
        <f>IF('Raw RetailSalesData'!E726="",'Raw RetailSalesData'!F726/'Raw RetailSalesData'!G726,'Raw RetailSalesData'!E726)</f>
        <v>4</v>
      </c>
      <c r="F726" s="7">
        <f>IF('Raw RetailSalesData'!F726="",'Raw RetailSalesData'!G726/'Raw RetailSalesData'!E726,'Raw RetailSalesData'!F726)</f>
        <v>50</v>
      </c>
      <c r="G726" s="7">
        <f t="shared" si="11"/>
        <v>200</v>
      </c>
      <c r="H726" s="5" t="str">
        <f>IF('Raw RetailSalesData'!H726="","Unknown",'Raw RetailSalesData'!H726)</f>
        <v>APAC</v>
      </c>
      <c r="I726" t="s">
        <v>183</v>
      </c>
      <c r="J726" t="s">
        <v>184</v>
      </c>
      <c r="K726" t="str">
        <f>TRIM('Raw RetailSalesData'!K726)</f>
        <v>Sales Rep 3</v>
      </c>
      <c r="L726" t="s">
        <v>21</v>
      </c>
    </row>
    <row r="727" spans="1:12" x14ac:dyDescent="0.3">
      <c r="A727" t="str">
        <f>IF(COUNTIF('Raw RetailSalesData'!$A:$L,'Raw RetailSalesData'!A727)=1,'Raw RetailSalesData'!A727,"")</f>
        <v>ORD-10794</v>
      </c>
      <c r="B727" t="str">
        <f>IF('Raw RetailSalesData'!B727="","UNKNOWN",'Raw RetailSalesData'!B727)</f>
        <v>2026-07-10</v>
      </c>
      <c r="C727" t="str">
        <f>IF('Raw RetailSalesData'!C727="","UNKNOW",'Raw RetailSalesData'!C727)</f>
        <v>CUST-1089</v>
      </c>
      <c r="D727" t="str">
        <f>IF('Raw RetailSalesData'!D727="","UNKNOW",'Raw RetailSalesData'!D727)</f>
        <v>P102</v>
      </c>
      <c r="E727" s="5">
        <f>IF('Raw RetailSalesData'!E727="",'Raw RetailSalesData'!F727/'Raw RetailSalesData'!G727,'Raw RetailSalesData'!E727)</f>
        <v>7</v>
      </c>
      <c r="F727" s="7">
        <f>IF('Raw RetailSalesData'!F727="",'Raw RetailSalesData'!G727/'Raw RetailSalesData'!E727,'Raw RetailSalesData'!F727)</f>
        <v>80</v>
      </c>
      <c r="G727" s="7">
        <f t="shared" si="11"/>
        <v>560</v>
      </c>
      <c r="H727" s="5" t="str">
        <f>IF('Raw RetailSalesData'!H727="","Unknown",'Raw RetailSalesData'!H727)</f>
        <v>EMEA</v>
      </c>
      <c r="I727" t="s">
        <v>38</v>
      </c>
      <c r="J727" t="s">
        <v>39</v>
      </c>
      <c r="K727" t="str">
        <f>TRIM('Raw RetailSalesData'!K727)</f>
        <v>Sales Rep 4</v>
      </c>
      <c r="L727" t="s">
        <v>46</v>
      </c>
    </row>
    <row r="728" spans="1:12" x14ac:dyDescent="0.3">
      <c r="A728" t="str">
        <f>IF(COUNTIF('Raw RetailSalesData'!$A:$L,'Raw RetailSalesData'!A728)=1,'Raw RetailSalesData'!A728,"")</f>
        <v>ORD-10795</v>
      </c>
      <c r="B728" t="str">
        <f>IF('Raw RetailSalesData'!B728="","UNKNOWN",'Raw RetailSalesData'!B728)</f>
        <v>2025-11-17</v>
      </c>
      <c r="C728" t="str">
        <f>IF('Raw RetailSalesData'!C728="","UNKNOW",'Raw RetailSalesData'!C728)</f>
        <v>CUST-1198</v>
      </c>
      <c r="D728" t="str">
        <f>IF('Raw RetailSalesData'!D728="","UNKNOW",'Raw RetailSalesData'!D728)</f>
        <v xml:space="preserve"> P101 </v>
      </c>
      <c r="E728" s="5">
        <f>IF('Raw RetailSalesData'!E728="",'Raw RetailSalesData'!F728/'Raw RetailSalesData'!G728,'Raw RetailSalesData'!E728)</f>
        <v>8</v>
      </c>
      <c r="F728" s="7">
        <f>IF('Raw RetailSalesData'!F728="",'Raw RetailSalesData'!G728/'Raw RetailSalesData'!E728,'Raw RetailSalesData'!F728)</f>
        <v>85</v>
      </c>
      <c r="G728" s="7">
        <f t="shared" si="11"/>
        <v>680</v>
      </c>
      <c r="H728" s="5" t="str">
        <f>IF('Raw RetailSalesData'!H728="","Unknown",'Raw RetailSalesData'!H728)</f>
        <v>EMEA</v>
      </c>
      <c r="I728" t="s">
        <v>83</v>
      </c>
      <c r="J728" t="s">
        <v>84</v>
      </c>
      <c r="K728" t="str">
        <f>TRIM('Raw RetailSalesData'!K728)</f>
        <v>Unknown</v>
      </c>
      <c r="L728" t="s">
        <v>21</v>
      </c>
    </row>
    <row r="729" spans="1:12" x14ac:dyDescent="0.3">
      <c r="A729" t="str">
        <f>IF(COUNTIF('Raw RetailSalesData'!$A:$L,'Raw RetailSalesData'!A729)=1,'Raw RetailSalesData'!A729,"")</f>
        <v>ORD-10796</v>
      </c>
      <c r="B729" t="str">
        <f>IF('Raw RetailSalesData'!B729="","UNKNOWN",'Raw RetailSalesData'!B729)</f>
        <v xml:space="preserve"> 2026-02-04 </v>
      </c>
      <c r="C729" t="str">
        <f>IF('Raw RetailSalesData'!C729="","UNKNOW",'Raw RetailSalesData'!C729)</f>
        <v>CUST-1024</v>
      </c>
      <c r="D729" t="str">
        <f>IF('Raw RetailSalesData'!D729="","UNKNOW",'Raw RetailSalesData'!D729)</f>
        <v>P101</v>
      </c>
      <c r="E729" s="5">
        <f>IF('Raw RetailSalesData'!E729="",'Raw RetailSalesData'!F729/'Raw RetailSalesData'!G729,'Raw RetailSalesData'!E729)</f>
        <v>20</v>
      </c>
      <c r="F729" s="7">
        <f>IF('Raw RetailSalesData'!F729="",'Raw RetailSalesData'!G729/'Raw RetailSalesData'!E729,'Raw RetailSalesData'!F729)</f>
        <v>85</v>
      </c>
      <c r="G729" s="7">
        <f t="shared" si="11"/>
        <v>1700</v>
      </c>
      <c r="H729" s="5" t="str">
        <f>IF('Raw RetailSalesData'!H729="","Unknown",'Raw RetailSalesData'!H729)</f>
        <v>APAC</v>
      </c>
      <c r="I729" t="s">
        <v>151</v>
      </c>
      <c r="J729" t="s">
        <v>152</v>
      </c>
      <c r="K729" t="str">
        <f>TRIM('Raw RetailSalesData'!K729)</f>
        <v>Aarav Patel</v>
      </c>
      <c r="L729" t="s">
        <v>21</v>
      </c>
    </row>
    <row r="730" spans="1:12" x14ac:dyDescent="0.3">
      <c r="A730" t="str">
        <f>IF(COUNTIF('Raw RetailSalesData'!$A:$L,'Raw RetailSalesData'!A730)=1,'Raw RetailSalesData'!A730,"")</f>
        <v>ORD-10797</v>
      </c>
      <c r="B730" t="str">
        <f>IF('Raw RetailSalesData'!B730="","UNKNOWN",'Raw RetailSalesData'!B730)</f>
        <v>2022-06-25</v>
      </c>
      <c r="C730" t="str">
        <f>IF('Raw RetailSalesData'!C730="","UNKNOW",'Raw RetailSalesData'!C730)</f>
        <v>CUST-1130</v>
      </c>
      <c r="D730" t="str">
        <f>IF('Raw RetailSalesData'!D730="","UNKNOW",'Raw RetailSalesData'!D730)</f>
        <v>P102</v>
      </c>
      <c r="E730" s="5">
        <f>IF('Raw RetailSalesData'!E730="",'Raw RetailSalesData'!F730/'Raw RetailSalesData'!G730,'Raw RetailSalesData'!E730)</f>
        <v>3</v>
      </c>
      <c r="F730" s="7">
        <f>IF('Raw RetailSalesData'!F730="",'Raw RetailSalesData'!G730/'Raw RetailSalesData'!E730,'Raw RetailSalesData'!F730)</f>
        <v>80</v>
      </c>
      <c r="G730" s="7">
        <f t="shared" si="11"/>
        <v>240</v>
      </c>
      <c r="H730" s="5" t="str">
        <f>IF('Raw RetailSalesData'!H730="","Unknown",'Raw RetailSalesData'!H730)</f>
        <v>APAC</v>
      </c>
      <c r="I730" t="s">
        <v>151</v>
      </c>
      <c r="J730" t="s">
        <v>188</v>
      </c>
      <c r="K730" t="str">
        <f>TRIM('Raw RetailSalesData'!K730)</f>
        <v>Sales Rep 3</v>
      </c>
      <c r="L730" t="s">
        <v>31</v>
      </c>
    </row>
    <row r="731" spans="1:12" x14ac:dyDescent="0.3">
      <c r="A731" t="str">
        <f>IF(COUNTIF('Raw RetailSalesData'!$A:$L,'Raw RetailSalesData'!A731)=1,'Raw RetailSalesData'!A731,"")</f>
        <v>ORD-10799</v>
      </c>
      <c r="B731" t="str">
        <f>IF('Raw RetailSalesData'!B731="","UNKNOWN",'Raw RetailSalesData'!B731)</f>
        <v>2023-02-16</v>
      </c>
      <c r="C731" t="str">
        <f>IF('Raw RetailSalesData'!C731="","UNKNOW",'Raw RetailSalesData'!C731)</f>
        <v>CUST-1062</v>
      </c>
      <c r="D731" t="str">
        <f>IF('Raw RetailSalesData'!D731="","UNKNOW",'Raw RetailSalesData'!D731)</f>
        <v>P201</v>
      </c>
      <c r="E731" s="5">
        <f>IF('Raw RetailSalesData'!E731="",'Raw RetailSalesData'!F731/'Raw RetailSalesData'!G731,'Raw RetailSalesData'!E731)</f>
        <v>17</v>
      </c>
      <c r="F731" s="7">
        <f>IF('Raw RetailSalesData'!F731="",'Raw RetailSalesData'!G731/'Raw RetailSalesData'!E731,'Raw RetailSalesData'!F731)</f>
        <v>70</v>
      </c>
      <c r="G731" s="7">
        <f t="shared" si="11"/>
        <v>1190</v>
      </c>
      <c r="H731" s="5" t="str">
        <f>IF('Raw RetailSalesData'!H731="","Unknown",'Raw RetailSalesData'!H731)</f>
        <v>APAC</v>
      </c>
      <c r="I731" t="s">
        <v>151</v>
      </c>
      <c r="J731" t="s">
        <v>152</v>
      </c>
      <c r="K731" t="str">
        <f>TRIM('Raw RetailSalesData'!K731)</f>
        <v>Aarav Patel</v>
      </c>
      <c r="L731" t="s">
        <v>46</v>
      </c>
    </row>
    <row r="732" spans="1:12" x14ac:dyDescent="0.3">
      <c r="A732" t="str">
        <f>IF(COUNTIF('Raw RetailSalesData'!$A:$L,'Raw RetailSalesData'!A732)=1,'Raw RetailSalesData'!A732,"")</f>
        <v>ORD-10800</v>
      </c>
      <c r="B732" t="str">
        <f>IF('Raw RetailSalesData'!B732="","UNKNOWN",'Raw RetailSalesData'!B732)</f>
        <v>2025-08-22</v>
      </c>
      <c r="C732" t="str">
        <f>IF('Raw RetailSalesData'!C732="","UNKNOW",'Raw RetailSalesData'!C732)</f>
        <v>CUST-1136</v>
      </c>
      <c r="D732" t="str">
        <f>IF('Raw RetailSalesData'!D732="","UNKNOW",'Raw RetailSalesData'!D732)</f>
        <v>C301</v>
      </c>
      <c r="E732" s="5">
        <f>IF('Raw RetailSalesData'!E732="",'Raw RetailSalesData'!F732/'Raw RetailSalesData'!G732,'Raw RetailSalesData'!E732)</f>
        <v>8</v>
      </c>
      <c r="F732" s="7">
        <f>IF('Raw RetailSalesData'!F732="",'Raw RetailSalesData'!G732/'Raw RetailSalesData'!E732,'Raw RetailSalesData'!F732)</f>
        <v>55</v>
      </c>
      <c r="G732" s="7">
        <f t="shared" si="11"/>
        <v>440</v>
      </c>
      <c r="H732" s="5" t="str">
        <f>IF('Raw RetailSalesData'!H732="","Unknown",'Raw RetailSalesData'!H732)</f>
        <v>APAC</v>
      </c>
      <c r="I732" t="s">
        <v>71</v>
      </c>
      <c r="J732" t="s">
        <v>72</v>
      </c>
      <c r="K732" t="str">
        <f>TRIM('Raw RetailSalesData'!K732)</f>
        <v>Hiroshi Tanaka</v>
      </c>
      <c r="L732" t="s">
        <v>46</v>
      </c>
    </row>
    <row r="733" spans="1:12" x14ac:dyDescent="0.3">
      <c r="A733" t="str">
        <f>IF(COUNTIF('Raw RetailSalesData'!$A:$L,'Raw RetailSalesData'!A733)=1,'Raw RetailSalesData'!A733,"")</f>
        <v>ORD-10801</v>
      </c>
      <c r="B733" t="str">
        <f>IF('Raw RetailSalesData'!B733="","UNKNOWN",'Raw RetailSalesData'!B733)</f>
        <v>2023-05-17</v>
      </c>
      <c r="C733" t="str">
        <f>IF('Raw RetailSalesData'!C733="","UNKNOW",'Raw RetailSalesData'!C733)</f>
        <v>CUST-1123</v>
      </c>
      <c r="D733" t="str">
        <f>IF('Raw RetailSalesData'!D733="","UNKNOW",'Raw RetailSalesData'!D733)</f>
        <v>C302</v>
      </c>
      <c r="E733" s="5">
        <f>IF('Raw RetailSalesData'!E733="",'Raw RetailSalesData'!F733/'Raw RetailSalesData'!G733,'Raw RetailSalesData'!E733)</f>
        <v>7</v>
      </c>
      <c r="F733" s="7">
        <f>IF('Raw RetailSalesData'!F733="",'Raw RetailSalesData'!G733/'Raw RetailSalesData'!E733,'Raw RetailSalesData'!F733)</f>
        <v>55</v>
      </c>
      <c r="G733" s="7">
        <f t="shared" si="11"/>
        <v>385</v>
      </c>
      <c r="H733" s="5" t="str">
        <f>IF('Raw RetailSalesData'!H733="","Unknown",'Raw RetailSalesData'!H733)</f>
        <v>NA</v>
      </c>
      <c r="I733" t="s">
        <v>100</v>
      </c>
      <c r="J733" t="s">
        <v>101</v>
      </c>
      <c r="K733" t="str">
        <f>TRIM('Raw RetailSalesData'!K733)</f>
        <v>Sales Rep 4</v>
      </c>
      <c r="L733" t="s">
        <v>21</v>
      </c>
    </row>
    <row r="734" spans="1:12" x14ac:dyDescent="0.3">
      <c r="A734" t="str">
        <f>IF(COUNTIF('Raw RetailSalesData'!$A:$L,'Raw RetailSalesData'!A734)=1,'Raw RetailSalesData'!A734,"")</f>
        <v>ORD-10803</v>
      </c>
      <c r="B734" t="str">
        <f>IF('Raw RetailSalesData'!B734="","UNKNOWN",'Raw RetailSalesData'!B734)</f>
        <v>2023-11-15</v>
      </c>
      <c r="C734" t="str">
        <f>IF('Raw RetailSalesData'!C734="","UNKNOW",'Raw RetailSalesData'!C734)</f>
        <v>CUST-1020</v>
      </c>
      <c r="D734" t="str">
        <f>IF('Raw RetailSalesData'!D734="","UNKNOW",'Raw RetailSalesData'!D734)</f>
        <v>UNKNOW</v>
      </c>
      <c r="E734" s="5">
        <f>IF('Raw RetailSalesData'!E734="",'Raw RetailSalesData'!F734/'Raw RetailSalesData'!G734,'Raw RetailSalesData'!E734)</f>
        <v>5</v>
      </c>
      <c r="F734" s="7">
        <f>IF('Raw RetailSalesData'!F734="",'Raw RetailSalesData'!G734/'Raw RetailSalesData'!E734,'Raw RetailSalesData'!F734)</f>
        <v>60</v>
      </c>
      <c r="G734" s="7">
        <f t="shared" si="11"/>
        <v>300</v>
      </c>
      <c r="H734" s="5" t="str">
        <f>IF('Raw RetailSalesData'!H734="","Unknown",'Raw RetailSalesData'!H734)</f>
        <v>EMEA</v>
      </c>
      <c r="I734" t="s">
        <v>38</v>
      </c>
      <c r="J734" t="s">
        <v>39</v>
      </c>
      <c r="K734" t="str">
        <f>TRIM('Raw RetailSalesData'!K734)</f>
        <v>Sales Rep 2</v>
      </c>
      <c r="L734" t="s">
        <v>46</v>
      </c>
    </row>
    <row r="735" spans="1:12" x14ac:dyDescent="0.3">
      <c r="A735" t="str">
        <f>IF(COUNTIF('Raw RetailSalesData'!$A:$L,'Raw RetailSalesData'!A735)=1,'Raw RetailSalesData'!A735,"")</f>
        <v>ORD-10804</v>
      </c>
      <c r="B735" t="str">
        <f>IF('Raw RetailSalesData'!B735="","UNKNOWN",'Raw RetailSalesData'!B735)</f>
        <v>2026-10-02</v>
      </c>
      <c r="C735" t="str">
        <f>IF('Raw RetailSalesData'!C735="","UNKNOW",'Raw RetailSalesData'!C735)</f>
        <v>CUST-1002</v>
      </c>
      <c r="D735" t="str">
        <f>IF('Raw RetailSalesData'!D735="","UNKNOW",'Raw RetailSalesData'!D735)</f>
        <v>C304</v>
      </c>
      <c r="E735" s="5">
        <f>IF('Raw RetailSalesData'!E735="",'Raw RetailSalesData'!F735/'Raw RetailSalesData'!G735,'Raw RetailSalesData'!E735)</f>
        <v>18</v>
      </c>
      <c r="F735" s="7">
        <f>IF('Raw RetailSalesData'!F735="",'Raw RetailSalesData'!G735/'Raw RetailSalesData'!E735,'Raw RetailSalesData'!F735)</f>
        <v>63</v>
      </c>
      <c r="G735" s="7">
        <f t="shared" si="11"/>
        <v>1134</v>
      </c>
      <c r="H735" s="5" t="str">
        <f>IF('Raw RetailSalesData'!H735="","Unknown",'Raw RetailSalesData'!H735)</f>
        <v>NA</v>
      </c>
      <c r="I735" t="s">
        <v>100</v>
      </c>
      <c r="J735" t="s">
        <v>101</v>
      </c>
      <c r="K735" t="str">
        <f>TRIM('Raw RetailSalesData'!K735)</f>
        <v>Sales Rep 1</v>
      </c>
      <c r="L735" t="s">
        <v>31</v>
      </c>
    </row>
    <row r="736" spans="1:12" x14ac:dyDescent="0.3">
      <c r="A736" t="str">
        <f>IF(COUNTIF('Raw RetailSalesData'!$A:$L,'Raw RetailSalesData'!A736)=1,'Raw RetailSalesData'!A736,"")</f>
        <v>ORD-10805</v>
      </c>
      <c r="B736" t="str">
        <f>IF('Raw RetailSalesData'!B736="","UNKNOWN",'Raw RetailSalesData'!B736)</f>
        <v>2022-11-06</v>
      </c>
      <c r="C736" t="str">
        <f>IF('Raw RetailSalesData'!C736="","UNKNOW",'Raw RetailSalesData'!C736)</f>
        <v>CUST-1137</v>
      </c>
      <c r="D736" t="str">
        <f>IF('Raw RetailSalesData'!D736="","UNKNOW",'Raw RetailSalesData'!D736)</f>
        <v>C304</v>
      </c>
      <c r="E736" s="5">
        <f>IF('Raw RetailSalesData'!E736="",'Raw RetailSalesData'!F736/'Raw RetailSalesData'!G736,'Raw RetailSalesData'!E736)</f>
        <v>13</v>
      </c>
      <c r="F736" s="7">
        <f>IF('Raw RetailSalesData'!F736="",'Raw RetailSalesData'!G736/'Raw RetailSalesData'!E736,'Raw RetailSalesData'!F736)</f>
        <v>63</v>
      </c>
      <c r="G736" s="7">
        <f t="shared" si="11"/>
        <v>819</v>
      </c>
      <c r="H736" s="5" t="str">
        <f>IF('Raw RetailSalesData'!H736="","Unknown",'Raw RetailSalesData'!H736)</f>
        <v>NA</v>
      </c>
      <c r="I736" t="s">
        <v>28</v>
      </c>
      <c r="J736" t="s">
        <v>29</v>
      </c>
      <c r="K736" t="str">
        <f>TRIM('Raw RetailSalesData'!K736)</f>
        <v>Sales Rep 2</v>
      </c>
      <c r="L736" t="s">
        <v>21</v>
      </c>
    </row>
    <row r="737" spans="1:12" x14ac:dyDescent="0.3">
      <c r="A737" t="str">
        <f>IF(COUNTIF('Raw RetailSalesData'!$A:$L,'Raw RetailSalesData'!A737)=1,'Raw RetailSalesData'!A737,"")</f>
        <v>ORD-10806</v>
      </c>
      <c r="B737" t="str">
        <f>IF('Raw RetailSalesData'!B737="","UNKNOWN",'Raw RetailSalesData'!B737)</f>
        <v>2022-11-06</v>
      </c>
      <c r="C737" t="str">
        <f>IF('Raw RetailSalesData'!C737="","UNKNOW",'Raw RetailSalesData'!C737)</f>
        <v>CUST-1137</v>
      </c>
      <c r="D737" t="str">
        <f>IF('Raw RetailSalesData'!D737="","UNKNOW",'Raw RetailSalesData'!D737)</f>
        <v>C304</v>
      </c>
      <c r="E737" s="5">
        <f>IF('Raw RetailSalesData'!E737="",'Raw RetailSalesData'!F737/'Raw RetailSalesData'!G737,'Raw RetailSalesData'!E737)</f>
        <v>13</v>
      </c>
      <c r="F737" s="7">
        <f>IF('Raw RetailSalesData'!F737="",'Raw RetailSalesData'!G737/'Raw RetailSalesData'!E737,'Raw RetailSalesData'!F737)</f>
        <v>63</v>
      </c>
      <c r="G737" s="7">
        <f t="shared" si="11"/>
        <v>819</v>
      </c>
      <c r="H737" s="5" t="str">
        <f>IF('Raw RetailSalesData'!H737="","Unknown",'Raw RetailSalesData'!H737)</f>
        <v>NA</v>
      </c>
      <c r="I737" t="s">
        <v>28</v>
      </c>
      <c r="J737" t="s">
        <v>29</v>
      </c>
      <c r="K737" t="str">
        <f>TRIM('Raw RetailSalesData'!K737)</f>
        <v>Sales Rep 2</v>
      </c>
      <c r="L737" t="s">
        <v>21</v>
      </c>
    </row>
    <row r="738" spans="1:12" x14ac:dyDescent="0.3">
      <c r="A738" t="str">
        <f>IF(COUNTIF('Raw RetailSalesData'!$A:$L,'Raw RetailSalesData'!A738)=1,'Raw RetailSalesData'!A738,"")</f>
        <v>ORD-10807</v>
      </c>
      <c r="B738" t="str">
        <f>IF('Raw RetailSalesData'!B738="","UNKNOWN",'Raw RetailSalesData'!B738)</f>
        <v>2023-09-06</v>
      </c>
      <c r="C738" t="str">
        <f>IF('Raw RetailSalesData'!C738="","UNKNOW",'Raw RetailSalesData'!C738)</f>
        <v>CUST-1064</v>
      </c>
      <c r="D738" t="str">
        <f>IF('Raw RetailSalesData'!D738="","UNKNOW",'Raw RetailSalesData'!D738)</f>
        <v>P101</v>
      </c>
      <c r="E738" s="5">
        <f>IF('Raw RetailSalesData'!E738="",'Raw RetailSalesData'!F738/'Raw RetailSalesData'!G738,'Raw RetailSalesData'!E738)</f>
        <v>2</v>
      </c>
      <c r="F738" s="7">
        <f>IF('Raw RetailSalesData'!F738="",'Raw RetailSalesData'!G738/'Raw RetailSalesData'!E738,'Raw RetailSalesData'!F738)</f>
        <v>80</v>
      </c>
      <c r="G738" s="7">
        <f t="shared" si="11"/>
        <v>160</v>
      </c>
      <c r="H738" s="5" t="str">
        <f>IF('Raw RetailSalesData'!H738="","Unknown",'Raw RetailSalesData'!H738)</f>
        <v>LATAM</v>
      </c>
      <c r="I738" t="s">
        <v>90</v>
      </c>
      <c r="J738" t="s">
        <v>2198</v>
      </c>
      <c r="K738" t="str">
        <f>TRIM('Raw RetailSalesData'!K738)</f>
        <v>Sales Rep 3</v>
      </c>
      <c r="L738" t="s">
        <v>21</v>
      </c>
    </row>
    <row r="739" spans="1:12" x14ac:dyDescent="0.3">
      <c r="A739" t="str">
        <f>IF(COUNTIF('Raw RetailSalesData'!$A:$L,'Raw RetailSalesData'!A739)=1,'Raw RetailSalesData'!A739,"")</f>
        <v>ORD-10808</v>
      </c>
      <c r="B739" t="str">
        <f>IF('Raw RetailSalesData'!B739="","UNKNOWN",'Raw RetailSalesData'!B739)</f>
        <v>2022-12-26</v>
      </c>
      <c r="C739" t="str">
        <f>IF('Raw RetailSalesData'!C739="","UNKNOW",'Raw RetailSalesData'!C739)</f>
        <v>CUST-1129</v>
      </c>
      <c r="D739" t="str">
        <f>IF('Raw RetailSalesData'!D739="","UNKNOW",'Raw RetailSalesData'!D739)</f>
        <v>P201</v>
      </c>
      <c r="E739" s="5">
        <f>IF('Raw RetailSalesData'!E739="",'Raw RetailSalesData'!F739/'Raw RetailSalesData'!G739,'Raw RetailSalesData'!E739)</f>
        <v>4</v>
      </c>
      <c r="F739" s="7">
        <f>IF('Raw RetailSalesData'!F739="",'Raw RetailSalesData'!G739/'Raw RetailSalesData'!E739,'Raw RetailSalesData'!F739)</f>
        <v>65</v>
      </c>
      <c r="G739" s="7">
        <f t="shared" si="11"/>
        <v>260</v>
      </c>
      <c r="H739" s="5" t="str">
        <f>IF('Raw RetailSalesData'!H739="","Unknown",'Raw RetailSalesData'!H739)</f>
        <v>LATAM</v>
      </c>
      <c r="I739" t="s">
        <v>2190</v>
      </c>
      <c r="J739" t="s">
        <v>2198</v>
      </c>
      <c r="K739" t="str">
        <f>TRIM('Raw RetailSalesData'!K739)</f>
        <v>Sales Rep 1</v>
      </c>
      <c r="L739" t="s">
        <v>21</v>
      </c>
    </row>
    <row r="740" spans="1:12" x14ac:dyDescent="0.3">
      <c r="A740" t="str">
        <f>IF(COUNTIF('Raw RetailSalesData'!$A:$L,'Raw RetailSalesData'!A740)=1,'Raw RetailSalesData'!A740,"")</f>
        <v>ORD-10809</v>
      </c>
      <c r="B740" t="str">
        <f>IF('Raw RetailSalesData'!B740="","UNKNOWN",'Raw RetailSalesData'!B740)</f>
        <v>2025-10-08</v>
      </c>
      <c r="C740" t="str">
        <f>IF('Raw RetailSalesData'!C740="","UNKNOW",'Raw RetailSalesData'!C740)</f>
        <v>#N/A</v>
      </c>
      <c r="D740" t="str">
        <f>IF('Raw RetailSalesData'!D740="","UNKNOW",'Raw RetailSalesData'!D740)</f>
        <v>P103</v>
      </c>
      <c r="E740" s="5">
        <f>IF('Raw RetailSalesData'!E740="",'Raw RetailSalesData'!F740/'Raw RetailSalesData'!G740,'Raw RetailSalesData'!E740)</f>
        <v>5</v>
      </c>
      <c r="F740" s="7">
        <f>IF('Raw RetailSalesData'!F740="",'Raw RetailSalesData'!G740/'Raw RetailSalesData'!E740,'Raw RetailSalesData'!F740)</f>
        <v>100</v>
      </c>
      <c r="G740" s="7">
        <f t="shared" si="11"/>
        <v>500</v>
      </c>
      <c r="H740" s="5" t="str">
        <f>IF('Raw RetailSalesData'!H740="","Unknown",'Raw RetailSalesData'!H740)</f>
        <v>NA</v>
      </c>
      <c r="I740" t="s">
        <v>28</v>
      </c>
      <c r="J740" t="s">
        <v>29</v>
      </c>
      <c r="K740" t="str">
        <f>TRIM('Raw RetailSalesData'!K740)</f>
        <v>Sales Rep 1</v>
      </c>
      <c r="L740" t="s">
        <v>46</v>
      </c>
    </row>
    <row r="741" spans="1:12" x14ac:dyDescent="0.3">
      <c r="A741" t="str">
        <f>IF(COUNTIF('Raw RetailSalesData'!$A:$L,'Raw RetailSalesData'!A741)=1,'Raw RetailSalesData'!A741,"")</f>
        <v>ORD-10810</v>
      </c>
      <c r="B741" t="str">
        <f>IF('Raw RetailSalesData'!B741="","UNKNOWN",'Raw RetailSalesData'!B741)</f>
        <v>2024-06-12</v>
      </c>
      <c r="C741" t="str">
        <f>IF('Raw RetailSalesData'!C741="","UNKNOW",'Raw RetailSalesData'!C741)</f>
        <v>CUST-1013</v>
      </c>
      <c r="D741" t="str">
        <f>IF('Raw RetailSalesData'!D741="","UNKNOW",'Raw RetailSalesData'!D741)</f>
        <v>C303</v>
      </c>
      <c r="E741" s="5">
        <f>IF('Raw RetailSalesData'!E741="",'Raw RetailSalesData'!F741/'Raw RetailSalesData'!G741,'Raw RetailSalesData'!E741)</f>
        <v>4</v>
      </c>
      <c r="F741" s="7">
        <f>IF('Raw RetailSalesData'!F741="",'Raw RetailSalesData'!G741/'Raw RetailSalesData'!E741,'Raw RetailSalesData'!F741)</f>
        <v>60</v>
      </c>
      <c r="G741" s="7">
        <f t="shared" si="11"/>
        <v>240</v>
      </c>
      <c r="H741" s="5" t="str">
        <f>IF('Raw RetailSalesData'!H741="","Unknown",'Raw RetailSalesData'!H741)</f>
        <v>APAC</v>
      </c>
      <c r="I741" t="s">
        <v>183</v>
      </c>
      <c r="J741" t="s">
        <v>184</v>
      </c>
      <c r="K741" t="str">
        <f>TRIM('Raw RetailSalesData'!K741)</f>
        <v>Sales Rep 4</v>
      </c>
      <c r="L741" t="s">
        <v>46</v>
      </c>
    </row>
    <row r="742" spans="1:12" x14ac:dyDescent="0.3">
      <c r="A742" t="str">
        <f>IF(COUNTIF('Raw RetailSalesData'!$A:$L,'Raw RetailSalesData'!A742)=1,'Raw RetailSalesData'!A742,"")</f>
        <v>ORD-10811</v>
      </c>
      <c r="B742" t="str">
        <f>IF('Raw RetailSalesData'!B742="","UNKNOWN",'Raw RetailSalesData'!B742)</f>
        <v>UNKNOWN</v>
      </c>
      <c r="C742" t="str">
        <f>IF('Raw RetailSalesData'!C742="","UNKNOW",'Raw RetailSalesData'!C742)</f>
        <v>CUST-1034</v>
      </c>
      <c r="D742" t="str">
        <f>IF('Raw RetailSalesData'!D742="","UNKNOW",'Raw RetailSalesData'!D742)</f>
        <v>C303</v>
      </c>
      <c r="E742" s="5">
        <f>IF('Raw RetailSalesData'!E742="",'Raw RetailSalesData'!F742/'Raw RetailSalesData'!G742,'Raw RetailSalesData'!E742)</f>
        <v>19</v>
      </c>
      <c r="F742" s="7">
        <f>IF('Raw RetailSalesData'!F742="",'Raw RetailSalesData'!G742/'Raw RetailSalesData'!E742,'Raw RetailSalesData'!F742)</f>
        <v>60</v>
      </c>
      <c r="G742" s="7">
        <f t="shared" si="11"/>
        <v>1140</v>
      </c>
      <c r="H742" s="5" t="str">
        <f>IF('Raw RetailSalesData'!H742="","Unknown",'Raw RetailSalesData'!H742)</f>
        <v>EMEA</v>
      </c>
      <c r="I742" t="s">
        <v>225</v>
      </c>
      <c r="J742" t="s">
        <v>226</v>
      </c>
      <c r="K742" t="str">
        <f>TRIM('Raw RetailSalesData'!K742)</f>
        <v>Sales Rep 5</v>
      </c>
      <c r="L742" t="s">
        <v>21</v>
      </c>
    </row>
    <row r="743" spans="1:12" x14ac:dyDescent="0.3">
      <c r="A743" t="str">
        <f>IF(COUNTIF('Raw RetailSalesData'!$A:$L,'Raw RetailSalesData'!A743)=1,'Raw RetailSalesData'!A743,"")</f>
        <v>ORD-10812</v>
      </c>
      <c r="B743" t="str">
        <f>IF('Raw RetailSalesData'!B743="","UNKNOWN",'Raw RetailSalesData'!B743)</f>
        <v>2022-03-12</v>
      </c>
      <c r="C743" t="str">
        <f>IF('Raw RetailSalesData'!C743="","UNKNOW",'Raw RetailSalesData'!C743)</f>
        <v>CUST-1016</v>
      </c>
      <c r="D743" t="str">
        <f>IF('Raw RetailSalesData'!D743="","UNKNOW",'Raw RetailSalesData'!D743)</f>
        <v>P201</v>
      </c>
      <c r="E743" s="5">
        <f>IF('Raw RetailSalesData'!E743="",'Raw RetailSalesData'!F743/'Raw RetailSalesData'!G743,'Raw RetailSalesData'!E743)</f>
        <v>2</v>
      </c>
      <c r="F743" s="7">
        <f>IF('Raw RetailSalesData'!F743="",'Raw RetailSalesData'!G743/'Raw RetailSalesData'!E743,'Raw RetailSalesData'!F743)</f>
        <v>65</v>
      </c>
      <c r="G743" s="7">
        <f t="shared" si="11"/>
        <v>130</v>
      </c>
      <c r="H743" s="5" t="str">
        <f>IF('Raw RetailSalesData'!H743="","Unknown",'Raw RetailSalesData'!H743)</f>
        <v>LATAM</v>
      </c>
      <c r="I743" t="s">
        <v>18</v>
      </c>
      <c r="J743" t="s">
        <v>2197</v>
      </c>
      <c r="K743" t="str">
        <f>TRIM('Raw RetailSalesData'!K743)</f>
        <v>Sales Rep 5</v>
      </c>
      <c r="L743" t="s">
        <v>46</v>
      </c>
    </row>
    <row r="744" spans="1:12" x14ac:dyDescent="0.3">
      <c r="A744" t="str">
        <f>IF(COUNTIF('Raw RetailSalesData'!$A:$L,'Raw RetailSalesData'!A744)=1,'Raw RetailSalesData'!A744,"")</f>
        <v>ORD-10813</v>
      </c>
      <c r="B744" t="str">
        <f>IF('Raw RetailSalesData'!B744="","UNKNOWN",'Raw RetailSalesData'!B744)</f>
        <v>2024-05-09</v>
      </c>
      <c r="C744" t="str">
        <f>IF('Raw RetailSalesData'!C744="","UNKNOW",'Raw RetailSalesData'!C744)</f>
        <v>CUST-1083</v>
      </c>
      <c r="D744" t="str">
        <f>IF('Raw RetailSalesData'!D744="","UNKNOW",'Raw RetailSalesData'!D744)</f>
        <v>C301</v>
      </c>
      <c r="E744" s="5">
        <f>IF('Raw RetailSalesData'!E744="",'Raw RetailSalesData'!F744/'Raw RetailSalesData'!G744,'Raw RetailSalesData'!E744)</f>
        <v>4</v>
      </c>
      <c r="F744" s="7">
        <f>IF('Raw RetailSalesData'!F744="",'Raw RetailSalesData'!G744/'Raw RetailSalesData'!E744,'Raw RetailSalesData'!F744)</f>
        <v>50</v>
      </c>
      <c r="G744" s="7">
        <f t="shared" si="11"/>
        <v>200</v>
      </c>
      <c r="H744" s="5" t="str">
        <f>IF('Raw RetailSalesData'!H744="","Unknown",'Raw RetailSalesData'!H744)</f>
        <v>LATAM</v>
      </c>
      <c r="I744" t="s">
        <v>18</v>
      </c>
      <c r="J744" t="s">
        <v>2197</v>
      </c>
      <c r="K744" t="str">
        <f>TRIM('Raw RetailSalesData'!K744)</f>
        <v>Sales Rep 5</v>
      </c>
      <c r="L744" t="s">
        <v>31</v>
      </c>
    </row>
    <row r="745" spans="1:12" x14ac:dyDescent="0.3">
      <c r="A745" t="str">
        <f>IF(COUNTIF('Raw RetailSalesData'!$A:$L,'Raw RetailSalesData'!A745)=1,'Raw RetailSalesData'!A745,"")</f>
        <v>ORD-10814</v>
      </c>
      <c r="B745" t="str">
        <f>IF('Raw RetailSalesData'!B745="","UNKNOWN",'Raw RetailSalesData'!B745)</f>
        <v>2024-05-09</v>
      </c>
      <c r="C745" t="str">
        <f>IF('Raw RetailSalesData'!C745="","UNKNOW",'Raw RetailSalesData'!C745)</f>
        <v>CUST-1083</v>
      </c>
      <c r="D745" t="str">
        <f>IF('Raw RetailSalesData'!D745="","UNKNOW",'Raw RetailSalesData'!D745)</f>
        <v>C301</v>
      </c>
      <c r="E745" s="5">
        <f>IF('Raw RetailSalesData'!E745="",'Raw RetailSalesData'!F745/'Raw RetailSalesData'!G745,'Raw RetailSalesData'!E745)</f>
        <v>4</v>
      </c>
      <c r="F745" s="7">
        <f>IF('Raw RetailSalesData'!F745="",'Raw RetailSalesData'!G745/'Raw RetailSalesData'!E745,'Raw RetailSalesData'!F745)</f>
        <v>50</v>
      </c>
      <c r="G745" s="7">
        <f t="shared" si="11"/>
        <v>200</v>
      </c>
      <c r="H745" s="5" t="str">
        <f>IF('Raw RetailSalesData'!H745="","Unknown",'Raw RetailSalesData'!H745)</f>
        <v>LATAM</v>
      </c>
      <c r="I745" t="s">
        <v>18</v>
      </c>
      <c r="J745" t="s">
        <v>2197</v>
      </c>
      <c r="K745" t="str">
        <f>TRIM('Raw RetailSalesData'!K745)</f>
        <v>Sales Rep 5</v>
      </c>
      <c r="L745" t="s">
        <v>31</v>
      </c>
    </row>
    <row r="746" spans="1:12" x14ac:dyDescent="0.3">
      <c r="A746" t="str">
        <f>IF(COUNTIF('Raw RetailSalesData'!$A:$L,'Raw RetailSalesData'!A746)=1,'Raw RetailSalesData'!A746,"")</f>
        <v>ORD-10815</v>
      </c>
      <c r="B746" t="str">
        <f>IF('Raw RetailSalesData'!B746="","UNKNOWN",'Raw RetailSalesData'!B746)</f>
        <v>2024-10-14</v>
      </c>
      <c r="C746" t="str">
        <f>IF('Raw RetailSalesData'!C746="","UNKNOW",'Raw RetailSalesData'!C746)</f>
        <v>CUST-1072</v>
      </c>
      <c r="D746" t="str">
        <f>IF('Raw RetailSalesData'!D746="","UNKNOW",'Raw RetailSalesData'!D746)</f>
        <v>C304</v>
      </c>
      <c r="E746" s="5">
        <f>IF('Raw RetailSalesData'!E746="",'Raw RetailSalesData'!F746/'Raw RetailSalesData'!G746,'Raw RetailSalesData'!E746)</f>
        <v>17</v>
      </c>
      <c r="F746" s="7">
        <f>IF('Raw RetailSalesData'!F746="",'Raw RetailSalesData'!G746/'Raw RetailSalesData'!E746,'Raw RetailSalesData'!F746)</f>
        <v>58</v>
      </c>
      <c r="G746" s="7">
        <f t="shared" si="11"/>
        <v>986</v>
      </c>
      <c r="H746" s="5" t="str">
        <f>IF('Raw RetailSalesData'!H746="","Unknown",'Raw RetailSalesData'!H746)</f>
        <v>APAC</v>
      </c>
      <c r="I746" t="s">
        <v>151</v>
      </c>
      <c r="J746" t="s">
        <v>188</v>
      </c>
      <c r="K746" t="str">
        <f>TRIM('Raw RetailSalesData'!K746)</f>
        <v>Sales Rep 5</v>
      </c>
      <c r="L746" t="s">
        <v>31</v>
      </c>
    </row>
    <row r="747" spans="1:12" x14ac:dyDescent="0.3">
      <c r="A747" t="str">
        <f>IF(COUNTIF('Raw RetailSalesData'!$A:$L,'Raw RetailSalesData'!A747)=1,'Raw RetailSalesData'!A747,"")</f>
        <v>ORD-10816</v>
      </c>
      <c r="B747" t="str">
        <f>IF('Raw RetailSalesData'!B747="","UNKNOWN",'Raw RetailSalesData'!B747)</f>
        <v>#N/A</v>
      </c>
      <c r="C747" t="str">
        <f>IF('Raw RetailSalesData'!C747="","UNKNOW",'Raw RetailSalesData'!C747)</f>
        <v xml:space="preserve"> CUST-1060 </v>
      </c>
      <c r="D747" t="str">
        <f>IF('Raw RetailSalesData'!D747="","UNKNOW",'Raw RetailSalesData'!D747)</f>
        <v>P103</v>
      </c>
      <c r="E747" s="5">
        <f>IF('Raw RetailSalesData'!E747="",'Raw RetailSalesData'!F747/'Raw RetailSalesData'!G747,'Raw RetailSalesData'!E747)</f>
        <v>20</v>
      </c>
      <c r="F747" s="7">
        <f>IF('Raw RetailSalesData'!F747="",'Raw RetailSalesData'!G747/'Raw RetailSalesData'!E747,'Raw RetailSalesData'!F747)</f>
        <v>95</v>
      </c>
      <c r="G747" s="7">
        <f t="shared" si="11"/>
        <v>1900</v>
      </c>
      <c r="H747" s="5" t="str">
        <f>IF('Raw RetailSalesData'!H747="","Unknown",'Raw RetailSalesData'!H747)</f>
        <v>EMEA</v>
      </c>
      <c r="I747" t="s">
        <v>225</v>
      </c>
      <c r="J747" t="s">
        <v>226</v>
      </c>
      <c r="K747" t="str">
        <f>TRIM('Raw RetailSalesData'!K747)</f>
        <v>Sales Rep 4</v>
      </c>
      <c r="L747" t="s">
        <v>46</v>
      </c>
    </row>
    <row r="748" spans="1:12" x14ac:dyDescent="0.3">
      <c r="A748" t="str">
        <f>IF(COUNTIF('Raw RetailSalesData'!$A:$L,'Raw RetailSalesData'!A748)=1,'Raw RetailSalesData'!A748,"")</f>
        <v>ORD-10817</v>
      </c>
      <c r="B748" t="str">
        <f>IF('Raw RetailSalesData'!B748="","UNKNOWN",'Raw RetailSalesData'!B748)</f>
        <v>2022-12-08</v>
      </c>
      <c r="C748" t="str">
        <f>IF('Raw RetailSalesData'!C748="","UNKNOW",'Raw RetailSalesData'!C748)</f>
        <v>CUST-1075</v>
      </c>
      <c r="D748" t="str">
        <f>IF('Raw RetailSalesData'!D748="","UNKNOW",'Raw RetailSalesData'!D748)</f>
        <v>P101</v>
      </c>
      <c r="E748" s="5">
        <f>IF('Raw RetailSalesData'!E748="",'Raw RetailSalesData'!F748/'Raw RetailSalesData'!G748,'Raw RetailSalesData'!E748)</f>
        <v>20</v>
      </c>
      <c r="F748" s="7">
        <f>IF('Raw RetailSalesData'!F748="",'Raw RetailSalesData'!G748/'Raw RetailSalesData'!E748,'Raw RetailSalesData'!F748)</f>
        <v>80</v>
      </c>
      <c r="G748" s="7">
        <f t="shared" si="11"/>
        <v>1600</v>
      </c>
      <c r="H748" s="5" t="str">
        <f>IF('Raw RetailSalesData'!H748="","Unknown",'Raw RetailSalesData'!H748)</f>
        <v>LATAM</v>
      </c>
      <c r="I748" t="s">
        <v>90</v>
      </c>
      <c r="J748" t="s">
        <v>2198</v>
      </c>
      <c r="K748" t="str">
        <f>TRIM('Raw RetailSalesData'!K748)</f>
        <v>Unknown</v>
      </c>
      <c r="L748" t="s">
        <v>31</v>
      </c>
    </row>
    <row r="749" spans="1:12" x14ac:dyDescent="0.3">
      <c r="A749" t="str">
        <f>IF(COUNTIF('Raw RetailSalesData'!$A:$L,'Raw RetailSalesData'!A749)=1,'Raw RetailSalesData'!A749,"")</f>
        <v>ORD-10818</v>
      </c>
      <c r="B749" t="str">
        <f>IF('Raw RetailSalesData'!B749="","UNKNOWN",'Raw RetailSalesData'!B749)</f>
        <v>2023-02-25</v>
      </c>
      <c r="C749" t="str">
        <f>IF('Raw RetailSalesData'!C749="","UNKNOW",'Raw RetailSalesData'!C749)</f>
        <v>CUST-1105</v>
      </c>
      <c r="D749" t="str">
        <f>IF('Raw RetailSalesData'!D749="","UNKNOW",'Raw RetailSalesData'!D749)</f>
        <v>C301</v>
      </c>
      <c r="E749" s="5">
        <f>IF('Raw RetailSalesData'!E749="",'Raw RetailSalesData'!F749/'Raw RetailSalesData'!G749,'Raw RetailSalesData'!E749)</f>
        <v>10</v>
      </c>
      <c r="F749" s="7">
        <f>IF('Raw RetailSalesData'!F749="",'Raw RetailSalesData'!G749/'Raw RetailSalesData'!E749,'Raw RetailSalesData'!F749)</f>
        <v>55</v>
      </c>
      <c r="G749" s="7">
        <f t="shared" si="11"/>
        <v>550</v>
      </c>
      <c r="H749" s="5" t="str">
        <f>IF('Raw RetailSalesData'!H749="","Unknown",'Raw RetailSalesData'!H749)</f>
        <v>APAC</v>
      </c>
      <c r="I749" t="s">
        <v>151</v>
      </c>
      <c r="J749" t="s">
        <v>2190</v>
      </c>
      <c r="K749" t="str">
        <f>TRIM('Raw RetailSalesData'!K749)</f>
        <v>Aarav Patel</v>
      </c>
      <c r="L749" t="s">
        <v>2190</v>
      </c>
    </row>
    <row r="750" spans="1:12" x14ac:dyDescent="0.3">
      <c r="A750" t="str">
        <f>IF(COUNTIF('Raw RetailSalesData'!$A:$L,'Raw RetailSalesData'!A750)=1,'Raw RetailSalesData'!A750,"")</f>
        <v>ORD-10819</v>
      </c>
      <c r="B750" t="str">
        <f>IF('Raw RetailSalesData'!B750="","UNKNOWN",'Raw RetailSalesData'!B750)</f>
        <v>2024-01-04</v>
      </c>
      <c r="C750" t="str">
        <f>IF('Raw RetailSalesData'!C750="","UNKNOW",'Raw RetailSalesData'!C750)</f>
        <v>CUST-1128</v>
      </c>
      <c r="D750" t="str">
        <f>IF('Raw RetailSalesData'!D750="","UNKNOW",'Raw RetailSalesData'!D750)</f>
        <v>C303</v>
      </c>
      <c r="E750" s="5">
        <f>IF('Raw RetailSalesData'!E750="",'Raw RetailSalesData'!F750/'Raw RetailSalesData'!G750,'Raw RetailSalesData'!E750)</f>
        <v>10</v>
      </c>
      <c r="F750" s="7">
        <f>IF('Raw RetailSalesData'!F750="",'Raw RetailSalesData'!G750/'Raw RetailSalesData'!E750,'Raw RetailSalesData'!F750)</f>
        <v>55</v>
      </c>
      <c r="G750" s="7">
        <f t="shared" si="11"/>
        <v>550</v>
      </c>
      <c r="H750" s="5" t="str">
        <f>IF('Raw RetailSalesData'!H750="","Unknown",'Raw RetailSalesData'!H750)</f>
        <v>LATAM</v>
      </c>
      <c r="I750" t="s">
        <v>90</v>
      </c>
      <c r="J750" t="s">
        <v>2198</v>
      </c>
      <c r="K750" t="str">
        <f>TRIM('Raw RetailSalesData'!K750)</f>
        <v>Unknown</v>
      </c>
      <c r="L750" t="s">
        <v>31</v>
      </c>
    </row>
    <row r="751" spans="1:12" x14ac:dyDescent="0.3">
      <c r="A751" t="str">
        <f>IF(COUNTIF('Raw RetailSalesData'!$A:$L,'Raw RetailSalesData'!A751)=1,'Raw RetailSalesData'!A751,"")</f>
        <v>ORD-10821</v>
      </c>
      <c r="B751" t="str">
        <f>IF('Raw RetailSalesData'!B751="","UNKNOWN",'Raw RetailSalesData'!B751)</f>
        <v>2025-09-06</v>
      </c>
      <c r="C751" t="str">
        <f>IF('Raw RetailSalesData'!C751="","UNKNOW",'Raw RetailSalesData'!C751)</f>
        <v>CUST-1117</v>
      </c>
      <c r="D751" t="str">
        <f>IF('Raw RetailSalesData'!D751="","UNKNOW",'Raw RetailSalesData'!D751)</f>
        <v>UNKNOW</v>
      </c>
      <c r="E751" s="5">
        <f>IF('Raw RetailSalesData'!E751="",'Raw RetailSalesData'!F751/'Raw RetailSalesData'!G751,'Raw RetailSalesData'!E751)</f>
        <v>9</v>
      </c>
      <c r="F751" s="7">
        <f>IF('Raw RetailSalesData'!F751="",'Raw RetailSalesData'!G751/'Raw RetailSalesData'!E751,'Raw RetailSalesData'!F751)</f>
        <v>55</v>
      </c>
      <c r="G751" s="7">
        <f t="shared" si="11"/>
        <v>495</v>
      </c>
      <c r="H751" s="5" t="str">
        <f>IF('Raw RetailSalesData'!H751="","Unknown",'Raw RetailSalesData'!H751)</f>
        <v>APAC</v>
      </c>
      <c r="I751" t="s">
        <v>151</v>
      </c>
      <c r="J751" t="s">
        <v>152</v>
      </c>
      <c r="K751" t="str">
        <f>TRIM('Raw RetailSalesData'!K751)</f>
        <v>Aarav Patel</v>
      </c>
      <c r="L751" t="s">
        <v>21</v>
      </c>
    </row>
    <row r="752" spans="1:12" x14ac:dyDescent="0.3">
      <c r="A752" t="str">
        <f>IF(COUNTIF('Raw RetailSalesData'!$A:$L,'Raw RetailSalesData'!A752)=1,'Raw RetailSalesData'!A752,"")</f>
        <v>ORD-10822</v>
      </c>
      <c r="B752" t="str">
        <f>IF('Raw RetailSalesData'!B752="","UNKNOWN",'Raw RetailSalesData'!B752)</f>
        <v xml:space="preserve"> 2025-04-02 </v>
      </c>
      <c r="C752" t="str">
        <f>IF('Raw RetailSalesData'!C752="","UNKNOW",'Raw RetailSalesData'!C752)</f>
        <v>CUST-1073</v>
      </c>
      <c r="D752" t="str">
        <f>IF('Raw RetailSalesData'!D752="","UNKNOW",'Raw RetailSalesData'!D752)</f>
        <v>P202</v>
      </c>
      <c r="E752" s="5">
        <f>IF('Raw RetailSalesData'!E752="",'Raw RetailSalesData'!F752/'Raw RetailSalesData'!G752,'Raw RetailSalesData'!E752)</f>
        <v>14</v>
      </c>
      <c r="F752" s="7">
        <f>IF('Raw RetailSalesData'!F752="",'Raw RetailSalesData'!G752/'Raw RetailSalesData'!E752,'Raw RetailSalesData'!F752)</f>
        <v>70</v>
      </c>
      <c r="G752" s="7">
        <f t="shared" si="11"/>
        <v>980</v>
      </c>
      <c r="H752" s="5" t="str">
        <f>IF('Raw RetailSalesData'!H752="","Unknown",'Raw RetailSalesData'!H752)</f>
        <v>NA</v>
      </c>
      <c r="I752" t="s">
        <v>28</v>
      </c>
      <c r="J752" t="s">
        <v>2196</v>
      </c>
      <c r="K752" t="str">
        <f>TRIM('Raw RetailSalesData'!K752)</f>
        <v>Michael Johnson</v>
      </c>
      <c r="L752" t="s">
        <v>31</v>
      </c>
    </row>
    <row r="753" spans="1:12" x14ac:dyDescent="0.3">
      <c r="A753" t="str">
        <f>IF(COUNTIF('Raw RetailSalesData'!$A:$L,'Raw RetailSalesData'!A753)=1,'Raw RetailSalesData'!A753,"")</f>
        <v>ORD-10823</v>
      </c>
      <c r="B753" t="str">
        <f>IF('Raw RetailSalesData'!B753="","UNKNOWN",'Raw RetailSalesData'!B753)</f>
        <v>2022-07-03</v>
      </c>
      <c r="C753" t="str">
        <f>IF('Raw RetailSalesData'!C753="","UNKNOW",'Raw RetailSalesData'!C753)</f>
        <v>CUST-1035</v>
      </c>
      <c r="D753" t="str">
        <f>IF('Raw RetailSalesData'!D753="","UNKNOW",'Raw RetailSalesData'!D753)</f>
        <v>P202</v>
      </c>
      <c r="E753" s="5">
        <f>IF('Raw RetailSalesData'!E753="",'Raw RetailSalesData'!F753/'Raw RetailSalesData'!G753,'Raw RetailSalesData'!E753)</f>
        <v>17</v>
      </c>
      <c r="F753" s="7">
        <f>IF('Raw RetailSalesData'!F753="",'Raw RetailSalesData'!G753/'Raw RetailSalesData'!E753,'Raw RetailSalesData'!F753)</f>
        <v>65</v>
      </c>
      <c r="G753" s="7">
        <f t="shared" si="11"/>
        <v>1105</v>
      </c>
      <c r="H753" s="5" t="str">
        <f>IF('Raw RetailSalesData'!H753="","Unknown",'Raw RetailSalesData'!H753)</f>
        <v>APAC</v>
      </c>
      <c r="I753" t="s">
        <v>71</v>
      </c>
      <c r="J753" t="s">
        <v>72</v>
      </c>
      <c r="K753" t="str">
        <f>TRIM('Raw RetailSalesData'!K753)</f>
        <v>Hiroshi Tanaka</v>
      </c>
      <c r="L753" t="s">
        <v>31</v>
      </c>
    </row>
    <row r="754" spans="1:12" x14ac:dyDescent="0.3">
      <c r="A754" t="str">
        <f>IF(COUNTIF('Raw RetailSalesData'!$A:$L,'Raw RetailSalesData'!A754)=1,'Raw RetailSalesData'!A754,"")</f>
        <v>ORD-10824</v>
      </c>
      <c r="B754" t="str">
        <f>IF('Raw RetailSalesData'!B754="","UNKNOWN",'Raw RetailSalesData'!B754)</f>
        <v>2022-06-18</v>
      </c>
      <c r="C754" t="str">
        <f>IF('Raw RetailSalesData'!C754="","UNKNOW",'Raw RetailSalesData'!C754)</f>
        <v>CUST-1100</v>
      </c>
      <c r="D754" t="str">
        <f>IF('Raw RetailSalesData'!D754="","UNKNOW",'Raw RetailSalesData'!D754)</f>
        <v>C304</v>
      </c>
      <c r="E754" s="5">
        <f>IF('Raw RetailSalesData'!E754="",'Raw RetailSalesData'!F754/'Raw RetailSalesData'!G754,'Raw RetailSalesData'!E754)</f>
        <v>13</v>
      </c>
      <c r="F754" s="7">
        <f>IF('Raw RetailSalesData'!F754="",'Raw RetailSalesData'!G754/'Raw RetailSalesData'!E754,'Raw RetailSalesData'!F754)</f>
        <v>58</v>
      </c>
      <c r="G754" s="7">
        <f t="shared" si="11"/>
        <v>754</v>
      </c>
      <c r="H754" s="5" t="str">
        <f>IF('Raw RetailSalesData'!H754="","Unknown",'Raw RetailSalesData'!H754)</f>
        <v>APAC</v>
      </c>
      <c r="I754" t="s">
        <v>151</v>
      </c>
      <c r="J754" t="s">
        <v>188</v>
      </c>
      <c r="K754" t="str">
        <f>TRIM('Raw RetailSalesData'!K754)</f>
        <v>Sales Rep 4</v>
      </c>
      <c r="L754" t="s">
        <v>46</v>
      </c>
    </row>
    <row r="755" spans="1:12" x14ac:dyDescent="0.3">
      <c r="A755" t="str">
        <f>IF(COUNTIF('Raw RetailSalesData'!$A:$L,'Raw RetailSalesData'!A755)=1,'Raw RetailSalesData'!A755,"")</f>
        <v>ORD-10825</v>
      </c>
      <c r="B755" t="str">
        <f>IF('Raw RetailSalesData'!B755="","UNKNOWN",'Raw RetailSalesData'!B755)</f>
        <v>2022-06-18</v>
      </c>
      <c r="C755" t="str">
        <f>IF('Raw RetailSalesData'!C755="","UNKNOW",'Raw RetailSalesData'!C755)</f>
        <v>CUST-1100</v>
      </c>
      <c r="D755" t="str">
        <f>IF('Raw RetailSalesData'!D755="","UNKNOW",'Raw RetailSalesData'!D755)</f>
        <v>C304</v>
      </c>
      <c r="E755" s="5">
        <f>IF('Raw RetailSalesData'!E755="",'Raw RetailSalesData'!F755/'Raw RetailSalesData'!G755,'Raw RetailSalesData'!E755)</f>
        <v>13</v>
      </c>
      <c r="F755" s="7">
        <f>IF('Raw RetailSalesData'!F755="",'Raw RetailSalesData'!G755/'Raw RetailSalesData'!E755,'Raw RetailSalesData'!F755)</f>
        <v>58</v>
      </c>
      <c r="G755" s="7">
        <f t="shared" si="11"/>
        <v>754</v>
      </c>
      <c r="H755" s="5" t="str">
        <f>IF('Raw RetailSalesData'!H755="","Unknown",'Raw RetailSalesData'!H755)</f>
        <v>APAC</v>
      </c>
      <c r="I755" t="s">
        <v>151</v>
      </c>
      <c r="J755" t="s">
        <v>188</v>
      </c>
      <c r="K755" t="str">
        <f>TRIM('Raw RetailSalesData'!K755)</f>
        <v>Sales Rep 4</v>
      </c>
      <c r="L755" t="s">
        <v>46</v>
      </c>
    </row>
    <row r="756" spans="1:12" x14ac:dyDescent="0.3">
      <c r="A756" t="str">
        <f>IF(COUNTIF('Raw RetailSalesData'!$A:$L,'Raw RetailSalesData'!A756)=1,'Raw RetailSalesData'!A756,"")</f>
        <v>ORD-10826</v>
      </c>
      <c r="B756" t="str">
        <f>IF('Raw RetailSalesData'!B756="","UNKNOWN",'Raw RetailSalesData'!B756)</f>
        <v>2026-05-04</v>
      </c>
      <c r="C756" t="str">
        <f>IF('Raw RetailSalesData'!C756="","UNKNOW",'Raw RetailSalesData'!C756)</f>
        <v>CUST-1049</v>
      </c>
      <c r="D756" t="str">
        <f>IF('Raw RetailSalesData'!D756="","UNKNOW",'Raw RetailSalesData'!D756)</f>
        <v>P103</v>
      </c>
      <c r="E756" s="5">
        <f>IF('Raw RetailSalesData'!E756="",'Raw RetailSalesData'!F756/'Raw RetailSalesData'!G756,'Raw RetailSalesData'!E756)</f>
        <v>17</v>
      </c>
      <c r="F756" s="7">
        <f>IF('Raw RetailSalesData'!F756="",'Raw RetailSalesData'!G756/'Raw RetailSalesData'!E756,'Raw RetailSalesData'!F756)</f>
        <v>90</v>
      </c>
      <c r="G756" s="7">
        <f t="shared" si="11"/>
        <v>1530</v>
      </c>
      <c r="H756" s="5" t="str">
        <f>IF('Raw RetailSalesData'!H756="","Unknown",'Raw RetailSalesData'!H756)</f>
        <v>LATAM</v>
      </c>
      <c r="I756" t="s">
        <v>18</v>
      </c>
      <c r="J756" t="s">
        <v>2197</v>
      </c>
      <c r="K756" t="str">
        <f>TRIM('Raw RetailSalesData'!K756)</f>
        <v>Sales Rep 2</v>
      </c>
      <c r="L756" t="s">
        <v>46</v>
      </c>
    </row>
    <row r="757" spans="1:12" x14ac:dyDescent="0.3">
      <c r="A757" t="str">
        <f>IF(COUNTIF('Raw RetailSalesData'!$A:$L,'Raw RetailSalesData'!A757)=1,'Raw RetailSalesData'!A757,"")</f>
        <v>ORD-10827</v>
      </c>
      <c r="B757" t="str">
        <f>IF('Raw RetailSalesData'!B757="","UNKNOWN",'Raw RetailSalesData'!B757)</f>
        <v>2024-07-28</v>
      </c>
      <c r="C757" t="str">
        <f>IF('Raw RetailSalesData'!C757="","UNKNOW",'Raw RetailSalesData'!C757)</f>
        <v>CUST-1078</v>
      </c>
      <c r="D757" t="str">
        <f>IF('Raw RetailSalesData'!D757="","UNKNOW",'Raw RetailSalesData'!D757)</f>
        <v>#N/A</v>
      </c>
      <c r="E757" s="5">
        <f>IF('Raw RetailSalesData'!E757="",'Raw RetailSalesData'!F757/'Raw RetailSalesData'!G757,'Raw RetailSalesData'!E757)</f>
        <v>2</v>
      </c>
      <c r="F757" s="7">
        <f>IF('Raw RetailSalesData'!F757="",'Raw RetailSalesData'!G757/'Raw RetailSalesData'!E757,'Raw RetailSalesData'!F757)</f>
        <v>85</v>
      </c>
      <c r="G757" s="7">
        <f t="shared" si="11"/>
        <v>170</v>
      </c>
      <c r="H757" s="5" t="str">
        <f>IF('Raw RetailSalesData'!H757="","Unknown",'Raw RetailSalesData'!H757)</f>
        <v xml:space="preserve"> NA </v>
      </c>
      <c r="I757" t="s">
        <v>28</v>
      </c>
      <c r="J757" t="s">
        <v>2196</v>
      </c>
      <c r="K757" t="str">
        <f>TRIM('Raw RetailSalesData'!K757)</f>
        <v>Michael Johnson</v>
      </c>
      <c r="L757" t="s">
        <v>31</v>
      </c>
    </row>
    <row r="758" spans="1:12" x14ac:dyDescent="0.3">
      <c r="A758" t="str">
        <f>IF(COUNTIF('Raw RetailSalesData'!$A:$L,'Raw RetailSalesData'!A758)=1,'Raw RetailSalesData'!A758,"")</f>
        <v>ORD-10828</v>
      </c>
      <c r="B758" t="str">
        <f>IF('Raw RetailSalesData'!B758="","UNKNOWN",'Raw RetailSalesData'!B758)</f>
        <v>2023-10-03</v>
      </c>
      <c r="C758" t="str">
        <f>IF('Raw RetailSalesData'!C758="","UNKNOW",'Raw RetailSalesData'!C758)</f>
        <v xml:space="preserve"> CUST-1074 </v>
      </c>
      <c r="D758" t="str">
        <f>IF('Raw RetailSalesData'!D758="","UNKNOW",'Raw RetailSalesData'!D758)</f>
        <v>C303</v>
      </c>
      <c r="E758" s="5">
        <f>IF('Raw RetailSalesData'!E758="",'Raw RetailSalesData'!F758/'Raw RetailSalesData'!G758,'Raw RetailSalesData'!E758)</f>
        <v>4</v>
      </c>
      <c r="F758" s="7">
        <f>IF('Raw RetailSalesData'!F758="",'Raw RetailSalesData'!G758/'Raw RetailSalesData'!E758,'Raw RetailSalesData'!F758)</f>
        <v>55</v>
      </c>
      <c r="G758" s="7">
        <f t="shared" si="11"/>
        <v>220</v>
      </c>
      <c r="H758" s="5" t="str">
        <f>IF('Raw RetailSalesData'!H758="","Unknown",'Raw RetailSalesData'!H758)</f>
        <v>LATAM</v>
      </c>
      <c r="I758" t="s">
        <v>18</v>
      </c>
      <c r="J758" t="s">
        <v>2197</v>
      </c>
      <c r="K758" t="str">
        <f>TRIM('Raw RetailSalesData'!K758)</f>
        <v>Sales Rep 4</v>
      </c>
      <c r="L758" t="s">
        <v>31</v>
      </c>
    </row>
    <row r="759" spans="1:12" x14ac:dyDescent="0.3">
      <c r="A759" t="str">
        <f>IF(COUNTIF('Raw RetailSalesData'!$A:$L,'Raw RetailSalesData'!A759)=1,'Raw RetailSalesData'!A759,"")</f>
        <v>ORD-10829</v>
      </c>
      <c r="B759" t="str">
        <f>IF('Raw RetailSalesData'!B759="","UNKNOWN",'Raw RetailSalesData'!B759)</f>
        <v>2026-10-03</v>
      </c>
      <c r="C759" t="str">
        <f>IF('Raw RetailSalesData'!C759="","UNKNOW",'Raw RetailSalesData'!C759)</f>
        <v>CUST-1142</v>
      </c>
      <c r="D759" t="str">
        <f>IF('Raw RetailSalesData'!D759="","UNKNOW",'Raw RetailSalesData'!D759)</f>
        <v>C302</v>
      </c>
      <c r="E759" s="5">
        <f>IF('Raw RetailSalesData'!E759="",'Raw RetailSalesData'!F759/'Raw RetailSalesData'!G759,'Raw RetailSalesData'!E759)</f>
        <v>3</v>
      </c>
      <c r="F759" s="7">
        <f>IF('Raw RetailSalesData'!F759="",'Raw RetailSalesData'!G759/'Raw RetailSalesData'!E759,'Raw RetailSalesData'!F759)</f>
        <v>50</v>
      </c>
      <c r="G759" s="7">
        <f t="shared" si="11"/>
        <v>150</v>
      </c>
      <c r="H759" s="5" t="str">
        <f>IF('Raw RetailSalesData'!H759="","Unknown",'Raw RetailSalesData'!H759)</f>
        <v>APAC</v>
      </c>
      <c r="I759" t="s">
        <v>71</v>
      </c>
      <c r="J759" t="s">
        <v>72</v>
      </c>
      <c r="K759" t="str">
        <f>TRIM('Raw RetailSalesData'!K759)</f>
        <v>Hiroshi Tanaka</v>
      </c>
      <c r="L759" t="s">
        <v>31</v>
      </c>
    </row>
    <row r="760" spans="1:12" x14ac:dyDescent="0.3">
      <c r="A760" t="str">
        <f>IF(COUNTIF('Raw RetailSalesData'!$A:$L,'Raw RetailSalesData'!A760)=1,'Raw RetailSalesData'!A760,"")</f>
        <v>ORD-10830</v>
      </c>
      <c r="B760" t="str">
        <f>IF('Raw RetailSalesData'!B760="","UNKNOWN",'Raw RetailSalesData'!B760)</f>
        <v>2024-12-30</v>
      </c>
      <c r="C760" t="str">
        <f>IF('Raw RetailSalesData'!C760="","UNKNOW",'Raw RetailSalesData'!C760)</f>
        <v>CUST-1122</v>
      </c>
      <c r="D760" t="str">
        <f>IF('Raw RetailSalesData'!D760="","UNKNOW",'Raw RetailSalesData'!D760)</f>
        <v>P203</v>
      </c>
      <c r="E760" s="5">
        <f>IF('Raw RetailSalesData'!E760="",'Raw RetailSalesData'!F760/'Raw RetailSalesData'!G760,'Raw RetailSalesData'!E760)</f>
        <v>18</v>
      </c>
      <c r="F760" s="7">
        <f>IF('Raw RetailSalesData'!F760="",'Raw RetailSalesData'!G760/'Raw RetailSalesData'!E760,'Raw RetailSalesData'!F760)</f>
        <v>73</v>
      </c>
      <c r="G760" s="7">
        <f t="shared" si="11"/>
        <v>1314</v>
      </c>
      <c r="H760" s="5" t="str">
        <f>IF('Raw RetailSalesData'!H760="","Unknown",'Raw RetailSalesData'!H760)</f>
        <v>NA</v>
      </c>
      <c r="I760" t="s">
        <v>100</v>
      </c>
      <c r="J760" t="s">
        <v>101</v>
      </c>
      <c r="K760" t="str">
        <f>TRIM('Raw RetailSalesData'!K760)</f>
        <v>Sales Rep 5</v>
      </c>
      <c r="L760" t="s">
        <v>46</v>
      </c>
    </row>
    <row r="761" spans="1:12" x14ac:dyDescent="0.3">
      <c r="A761" t="str">
        <f>IF(COUNTIF('Raw RetailSalesData'!$A:$L,'Raw RetailSalesData'!A761)=1,'Raw RetailSalesData'!A761,"")</f>
        <v>ORD-10831</v>
      </c>
      <c r="B761" t="str">
        <f>IF('Raw RetailSalesData'!B761="","UNKNOWN",'Raw RetailSalesData'!B761)</f>
        <v>2023-03-11</v>
      </c>
      <c r="C761" t="str">
        <f>IF('Raw RetailSalesData'!C761="","UNKNOW",'Raw RetailSalesData'!C761)</f>
        <v>CUST-1093</v>
      </c>
      <c r="D761" t="str">
        <f>IF('Raw RetailSalesData'!D761="","UNKNOW",'Raw RetailSalesData'!D761)</f>
        <v>P102</v>
      </c>
      <c r="E761" s="5">
        <f>IF('Raw RetailSalesData'!E761="",'Raw RetailSalesData'!F761/'Raw RetailSalesData'!G761,'Raw RetailSalesData'!E761)</f>
        <v>18</v>
      </c>
      <c r="F761" s="7">
        <f>IF('Raw RetailSalesData'!F761="",'Raw RetailSalesData'!G761/'Raw RetailSalesData'!E761,'Raw RetailSalesData'!F761)</f>
        <v>80</v>
      </c>
      <c r="G761" s="7">
        <f t="shared" si="11"/>
        <v>1440</v>
      </c>
      <c r="H761" s="5" t="str">
        <f>IF('Raw RetailSalesData'!H761="","Unknown",'Raw RetailSalesData'!H761)</f>
        <v>APAC</v>
      </c>
      <c r="I761" t="s">
        <v>151</v>
      </c>
      <c r="J761" t="s">
        <v>188</v>
      </c>
      <c r="K761" t="str">
        <f>TRIM('Raw RetailSalesData'!K761)</f>
        <v>Sales Rep 2</v>
      </c>
      <c r="L761" t="s">
        <v>46</v>
      </c>
    </row>
    <row r="762" spans="1:12" x14ac:dyDescent="0.3">
      <c r="A762" t="str">
        <f>IF(COUNTIF('Raw RetailSalesData'!$A:$L,'Raw RetailSalesData'!A762)=1,'Raw RetailSalesData'!A762,"")</f>
        <v>ORD-10832</v>
      </c>
      <c r="B762" t="str">
        <f>IF('Raw RetailSalesData'!B762="","UNKNOWN",'Raw RetailSalesData'!B762)</f>
        <v>2025-08-17</v>
      </c>
      <c r="C762" t="str">
        <f>IF('Raw RetailSalesData'!C762="","UNKNOW",'Raw RetailSalesData'!C762)</f>
        <v>CUST-1131</v>
      </c>
      <c r="D762" t="str">
        <f>IF('Raw RetailSalesData'!D762="","UNKNOW",'Raw RetailSalesData'!D762)</f>
        <v>C304</v>
      </c>
      <c r="E762" s="5">
        <f>IF('Raw RetailSalesData'!E762="",'Raw RetailSalesData'!F762/'Raw RetailSalesData'!G762,'Raw RetailSalesData'!E762)</f>
        <v>16</v>
      </c>
      <c r="F762" s="7">
        <f>IF('Raw RetailSalesData'!F762="",'Raw RetailSalesData'!G762/'Raw RetailSalesData'!E762,'Raw RetailSalesData'!F762)</f>
        <v>63</v>
      </c>
      <c r="G762" s="7">
        <f t="shared" si="11"/>
        <v>1008</v>
      </c>
      <c r="H762" s="5" t="str">
        <f>IF('Raw RetailSalesData'!H762="","Unknown",'Raw RetailSalesData'!H762)</f>
        <v>NA</v>
      </c>
      <c r="I762" t="s">
        <v>28</v>
      </c>
      <c r="J762" t="s">
        <v>2196</v>
      </c>
      <c r="K762" t="str">
        <f>TRIM('Raw RetailSalesData'!K762)</f>
        <v>Michael Johnson</v>
      </c>
      <c r="L762" t="s">
        <v>31</v>
      </c>
    </row>
    <row r="763" spans="1:12" x14ac:dyDescent="0.3">
      <c r="A763" t="str">
        <f>IF(COUNTIF('Raw RetailSalesData'!$A:$L,'Raw RetailSalesData'!A763)=1,'Raw RetailSalesData'!A763,"")</f>
        <v>ORD-10833</v>
      </c>
      <c r="B763" t="str">
        <f>IF('Raw RetailSalesData'!B763="","UNKNOWN",'Raw RetailSalesData'!B763)</f>
        <v>2024-03-02</v>
      </c>
      <c r="C763" t="str">
        <f>IF('Raw RetailSalesData'!C763="","UNKNOW",'Raw RetailSalesData'!C763)</f>
        <v>CUST-1030</v>
      </c>
      <c r="D763" t="str">
        <f>IF('Raw RetailSalesData'!D763="","UNKNOW",'Raw RetailSalesData'!D763)</f>
        <v>P202</v>
      </c>
      <c r="E763" s="5">
        <f>IF('Raw RetailSalesData'!E763="",'Raw RetailSalesData'!F763/'Raw RetailSalesData'!G763,'Raw RetailSalesData'!E763)</f>
        <v>20</v>
      </c>
      <c r="F763" s="7">
        <f>IF('Raw RetailSalesData'!F763="",'Raw RetailSalesData'!G763/'Raw RetailSalesData'!E763,'Raw RetailSalesData'!F763)</f>
        <v>60</v>
      </c>
      <c r="G763" s="7">
        <f t="shared" si="11"/>
        <v>1200</v>
      </c>
      <c r="H763" s="5" t="str">
        <f>IF('Raw RetailSalesData'!H763="","Unknown",'Raw RetailSalesData'!H763)</f>
        <v>LATAM</v>
      </c>
      <c r="I763" t="s">
        <v>18</v>
      </c>
      <c r="J763" t="s">
        <v>2197</v>
      </c>
      <c r="K763" t="str">
        <f>TRIM('Raw RetailSalesData'!K763)</f>
        <v>Sales Rep 2</v>
      </c>
      <c r="L763" t="s">
        <v>31</v>
      </c>
    </row>
    <row r="764" spans="1:12" x14ac:dyDescent="0.3">
      <c r="A764" t="str">
        <f>IF(COUNTIF('Raw RetailSalesData'!$A:$L,'Raw RetailSalesData'!A764)=1,'Raw RetailSalesData'!A764,"")</f>
        <v>ORD-10834</v>
      </c>
      <c r="B764" t="str">
        <f>IF('Raw RetailSalesData'!B764="","UNKNOWN",'Raw RetailSalesData'!B764)</f>
        <v>2026-09-27</v>
      </c>
      <c r="C764" t="str">
        <f>IF('Raw RetailSalesData'!C764="","UNKNOW",'Raw RetailSalesData'!C764)</f>
        <v>CUST-1076</v>
      </c>
      <c r="D764" t="str">
        <f>IF('Raw RetailSalesData'!D764="","UNKNOW",'Raw RetailSalesData'!D764)</f>
        <v>P203</v>
      </c>
      <c r="E764" s="5">
        <f>IF('Raw RetailSalesData'!E764="",'Raw RetailSalesData'!F764/'Raw RetailSalesData'!G764,'Raw RetailSalesData'!E764)</f>
        <v>8</v>
      </c>
      <c r="F764" s="7">
        <f>IF('Raw RetailSalesData'!F764="",'Raw RetailSalesData'!G764/'Raw RetailSalesData'!E764,'Raw RetailSalesData'!F764)</f>
        <v>68</v>
      </c>
      <c r="G764" s="7">
        <f t="shared" si="11"/>
        <v>544</v>
      </c>
      <c r="H764" s="5" t="str">
        <f>IF('Raw RetailSalesData'!H764="","Unknown",'Raw RetailSalesData'!H764)</f>
        <v>EMEA</v>
      </c>
      <c r="I764" t="s">
        <v>83</v>
      </c>
      <c r="J764" t="s">
        <v>84</v>
      </c>
      <c r="K764" t="str">
        <f>TRIM('Raw RetailSalesData'!K764)</f>
        <v>John Smith</v>
      </c>
      <c r="L764" t="s">
        <v>21</v>
      </c>
    </row>
    <row r="765" spans="1:12" x14ac:dyDescent="0.3">
      <c r="A765" t="str">
        <f>IF(COUNTIF('Raw RetailSalesData'!$A:$L,'Raw RetailSalesData'!A765)=1,'Raw RetailSalesData'!A765,"")</f>
        <v>ORD-10835</v>
      </c>
      <c r="B765" t="str">
        <f>IF('Raw RetailSalesData'!B765="","UNKNOWN",'Raw RetailSalesData'!B765)</f>
        <v>2023-12-18</v>
      </c>
      <c r="C765" t="str">
        <f>IF('Raw RetailSalesData'!C765="","UNKNOW",'Raw RetailSalesData'!C765)</f>
        <v xml:space="preserve"> CUST-1129 </v>
      </c>
      <c r="D765" t="str">
        <f>IF('Raw RetailSalesData'!D765="","UNKNOW",'Raw RetailSalesData'!D765)</f>
        <v>P203</v>
      </c>
      <c r="E765" s="5">
        <f>IF('Raw RetailSalesData'!E765="",'Raw RetailSalesData'!F765/'Raw RetailSalesData'!G765,'Raw RetailSalesData'!E765)</f>
        <v>7</v>
      </c>
      <c r="F765" s="7">
        <f>IF('Raw RetailSalesData'!F765="",'Raw RetailSalesData'!G765/'Raw RetailSalesData'!E765,'Raw RetailSalesData'!F765)</f>
        <v>63</v>
      </c>
      <c r="G765" s="7">
        <f t="shared" si="11"/>
        <v>441</v>
      </c>
      <c r="H765" s="5" t="str">
        <f>IF('Raw RetailSalesData'!H765="","Unknown",'Raw RetailSalesData'!H765)</f>
        <v>LATAM</v>
      </c>
      <c r="I765" t="s">
        <v>18</v>
      </c>
      <c r="J765" t="s">
        <v>2197</v>
      </c>
      <c r="K765" t="str">
        <f>TRIM('Raw RetailSalesData'!K765)</f>
        <v>Sales Rep 4</v>
      </c>
      <c r="L765" t="s">
        <v>31</v>
      </c>
    </row>
    <row r="766" spans="1:12" x14ac:dyDescent="0.3">
      <c r="A766" t="str">
        <f>IF(COUNTIF('Raw RetailSalesData'!$A:$L,'Raw RetailSalesData'!A766)=1,'Raw RetailSalesData'!A766,"")</f>
        <v>ORD-10836</v>
      </c>
      <c r="B766" t="str">
        <f>IF('Raw RetailSalesData'!B766="","UNKNOWN",'Raw RetailSalesData'!B766)</f>
        <v>2026-10-04</v>
      </c>
      <c r="C766" t="str">
        <f>IF('Raw RetailSalesData'!C766="","UNKNOW",'Raw RetailSalesData'!C766)</f>
        <v xml:space="preserve"> CUST-1178 </v>
      </c>
      <c r="D766" t="str">
        <f>IF('Raw RetailSalesData'!D766="","UNKNOW",'Raw RetailSalesData'!D766)</f>
        <v>P203</v>
      </c>
      <c r="E766" s="5">
        <f>IF('Raw RetailSalesData'!E766="",'Raw RetailSalesData'!F766/'Raw RetailSalesData'!G766,'Raw RetailSalesData'!E766)</f>
        <v>10</v>
      </c>
      <c r="F766" s="7">
        <f>IF('Raw RetailSalesData'!F766="",'Raw RetailSalesData'!G766/'Raw RetailSalesData'!E766,'Raw RetailSalesData'!F766)</f>
        <v>63</v>
      </c>
      <c r="G766" s="7">
        <f t="shared" si="11"/>
        <v>630</v>
      </c>
      <c r="H766" s="5" t="str">
        <f>IF('Raw RetailSalesData'!H766="","Unknown",'Raw RetailSalesData'!H766)</f>
        <v>LATAM</v>
      </c>
      <c r="I766" t="s">
        <v>2190</v>
      </c>
      <c r="J766" t="s">
        <v>2197</v>
      </c>
      <c r="K766" t="str">
        <f>TRIM('Raw RetailSalesData'!K766)</f>
        <v>Sales Rep 4</v>
      </c>
      <c r="L766" t="s">
        <v>46</v>
      </c>
    </row>
    <row r="767" spans="1:12" x14ac:dyDescent="0.3">
      <c r="A767" t="str">
        <f>IF(COUNTIF('Raw RetailSalesData'!$A:$L,'Raw RetailSalesData'!A767)=1,'Raw RetailSalesData'!A767,"")</f>
        <v>ORD-10837</v>
      </c>
      <c r="B767" t="str">
        <f>IF('Raw RetailSalesData'!B767="","UNKNOWN",'Raw RetailSalesData'!B767)</f>
        <v>2025-12-27</v>
      </c>
      <c r="C767" t="str">
        <f>IF('Raw RetailSalesData'!C767="","UNKNOW",'Raw RetailSalesData'!C767)</f>
        <v>CUST-1169</v>
      </c>
      <c r="D767" t="str">
        <f>IF('Raw RetailSalesData'!D767="","UNKNOW",'Raw RetailSalesData'!D767)</f>
        <v>UNKNOW</v>
      </c>
      <c r="E767" s="5">
        <f>IF('Raw RetailSalesData'!E767="",'Raw RetailSalesData'!F767/'Raw RetailSalesData'!G767,'Raw RetailSalesData'!E767)</f>
        <v>19</v>
      </c>
      <c r="F767" s="7">
        <f>IF('Raw RetailSalesData'!F767="",'Raw RetailSalesData'!G767/'Raw RetailSalesData'!E767,'Raw RetailSalesData'!F767)</f>
        <v>68</v>
      </c>
      <c r="G767" s="7">
        <f t="shared" si="11"/>
        <v>1292</v>
      </c>
      <c r="H767" s="5" t="str">
        <f>IF('Raw RetailSalesData'!H767="","Unknown",'Raw RetailSalesData'!H767)</f>
        <v>EMEA</v>
      </c>
      <c r="I767" t="s">
        <v>83</v>
      </c>
      <c r="J767" t="s">
        <v>2190</v>
      </c>
      <c r="K767" t="str">
        <f>TRIM('Raw RetailSalesData'!K767)</f>
        <v>John Smith</v>
      </c>
      <c r="L767" t="s">
        <v>46</v>
      </c>
    </row>
    <row r="768" spans="1:12" x14ac:dyDescent="0.3">
      <c r="A768" t="str">
        <f>IF(COUNTIF('Raw RetailSalesData'!$A:$L,'Raw RetailSalesData'!A768)=1,'Raw RetailSalesData'!A768,"")</f>
        <v>ORD-10839</v>
      </c>
      <c r="B768" t="str">
        <f>IF('Raw RetailSalesData'!B768="","UNKNOWN",'Raw RetailSalesData'!B768)</f>
        <v>2022-11-05</v>
      </c>
      <c r="C768" t="str">
        <f>IF('Raw RetailSalesData'!C768="","UNKNOW",'Raw RetailSalesData'!C768)</f>
        <v>CUST-1093</v>
      </c>
      <c r="D768" t="str">
        <f>IF('Raw RetailSalesData'!D768="","UNKNOW",'Raw RetailSalesData'!D768)</f>
        <v>P202</v>
      </c>
      <c r="E768" s="5">
        <f>IF('Raw RetailSalesData'!E768="",'Raw RetailSalesData'!F768/'Raw RetailSalesData'!G768,'Raw RetailSalesData'!E768)</f>
        <v>18</v>
      </c>
      <c r="F768" s="7">
        <f>IF('Raw RetailSalesData'!F768="",'Raw RetailSalesData'!G768/'Raw RetailSalesData'!E768,'Raw RetailSalesData'!F768)</f>
        <v>65</v>
      </c>
      <c r="G768" s="7">
        <f t="shared" si="11"/>
        <v>1170</v>
      </c>
      <c r="H768" s="5" t="str">
        <f>IF('Raw RetailSalesData'!H768="","Unknown",'Raw RetailSalesData'!H768)</f>
        <v>EMEA</v>
      </c>
      <c r="I768" t="s">
        <v>225</v>
      </c>
      <c r="J768" t="s">
        <v>226</v>
      </c>
      <c r="K768" t="str">
        <f>TRIM('Raw RetailSalesData'!K768)</f>
        <v>Sales Rep 5</v>
      </c>
      <c r="L768" t="s">
        <v>31</v>
      </c>
    </row>
    <row r="769" spans="1:12" x14ac:dyDescent="0.3">
      <c r="A769" t="str">
        <f>IF(COUNTIF('Raw RetailSalesData'!$A:$L,'Raw RetailSalesData'!A769)=1,'Raw RetailSalesData'!A769,"")</f>
        <v>ORD-10840</v>
      </c>
      <c r="B769" t="str">
        <f>IF('Raw RetailSalesData'!B769="","UNKNOWN",'Raw RetailSalesData'!B769)</f>
        <v>2023-05-27</v>
      </c>
      <c r="C769" t="str">
        <f>IF('Raw RetailSalesData'!C769="","UNKNOW",'Raw RetailSalesData'!C769)</f>
        <v>CUST-1038</v>
      </c>
      <c r="D769" t="str">
        <f>IF('Raw RetailSalesData'!D769="","UNKNOW",'Raw RetailSalesData'!D769)</f>
        <v>P202</v>
      </c>
      <c r="E769" s="5">
        <f>IF('Raw RetailSalesData'!E769="",'Raw RetailSalesData'!F769/'Raw RetailSalesData'!G769,'Raw RetailSalesData'!E769)</f>
        <v>1</v>
      </c>
      <c r="F769" s="7">
        <f>IF('Raw RetailSalesData'!F769="",'Raw RetailSalesData'!G769/'Raw RetailSalesData'!E769,'Raw RetailSalesData'!F769)</f>
        <v>60</v>
      </c>
      <c r="G769" s="7">
        <f t="shared" si="11"/>
        <v>60</v>
      </c>
      <c r="H769" s="5" t="str">
        <f>IF('Raw RetailSalesData'!H769="","Unknown",'Raw RetailSalesData'!H769)</f>
        <v>LATAM</v>
      </c>
      <c r="I769" t="s">
        <v>90</v>
      </c>
      <c r="J769" t="s">
        <v>2198</v>
      </c>
      <c r="K769" t="str">
        <f>TRIM('Raw RetailSalesData'!K769)</f>
        <v>Sales Rep 5</v>
      </c>
      <c r="L769" t="s">
        <v>21</v>
      </c>
    </row>
    <row r="770" spans="1:12" x14ac:dyDescent="0.3">
      <c r="A770" t="str">
        <f>IF(COUNTIF('Raw RetailSalesData'!$A:$L,'Raw RetailSalesData'!A770)=1,'Raw RetailSalesData'!A770,"")</f>
        <v>ORD-10842</v>
      </c>
      <c r="B770" t="str">
        <f>IF('Raw RetailSalesData'!B770="","UNKNOWN",'Raw RetailSalesData'!B770)</f>
        <v>2023-06-14</v>
      </c>
      <c r="C770" t="str">
        <f>IF('Raw RetailSalesData'!C770="","UNKNOW",'Raw RetailSalesData'!C770)</f>
        <v>CUST-1185</v>
      </c>
      <c r="D770" t="str">
        <f>IF('Raw RetailSalesData'!D770="","UNKNOW",'Raw RetailSalesData'!D770)</f>
        <v>P103</v>
      </c>
      <c r="E770" s="5">
        <f>IF('Raw RetailSalesData'!E770="",'Raw RetailSalesData'!F770/'Raw RetailSalesData'!G770,'Raw RetailSalesData'!E770)</f>
        <v>10</v>
      </c>
      <c r="F770" s="7">
        <f>IF('Raw RetailSalesData'!F770="",'Raw RetailSalesData'!G770/'Raw RetailSalesData'!E770,'Raw RetailSalesData'!F770)</f>
        <v>100</v>
      </c>
      <c r="G770" s="7">
        <f t="shared" si="11"/>
        <v>1000</v>
      </c>
      <c r="H770" s="5" t="str">
        <f>IF('Raw RetailSalesData'!H770="","Unknown",'Raw RetailSalesData'!H770)</f>
        <v>NA</v>
      </c>
      <c r="I770" t="s">
        <v>100</v>
      </c>
      <c r="J770" t="s">
        <v>101</v>
      </c>
      <c r="K770" t="str">
        <f>TRIM('Raw RetailSalesData'!K770)</f>
        <v>Sales Rep 4</v>
      </c>
      <c r="L770" t="s">
        <v>31</v>
      </c>
    </row>
    <row r="771" spans="1:12" x14ac:dyDescent="0.3">
      <c r="A771" t="str">
        <f>IF(COUNTIF('Raw RetailSalesData'!$A:$L,'Raw RetailSalesData'!A771)=1,'Raw RetailSalesData'!A771,"")</f>
        <v>ORD-10843</v>
      </c>
      <c r="B771" t="str">
        <f>IF('Raw RetailSalesData'!B771="","UNKNOWN",'Raw RetailSalesData'!B771)</f>
        <v>2023-08-21</v>
      </c>
      <c r="C771" t="str">
        <f>IF('Raw RetailSalesData'!C771="","UNKNOW",'Raw RetailSalesData'!C771)</f>
        <v>CUST-1086</v>
      </c>
      <c r="D771" t="str">
        <f>IF('Raw RetailSalesData'!D771="","UNKNOW",'Raw RetailSalesData'!D771)</f>
        <v>C303</v>
      </c>
      <c r="E771" s="5">
        <f>IF('Raw RetailSalesData'!E771="",'Raw RetailSalesData'!F771/'Raw RetailSalesData'!G771,'Raw RetailSalesData'!E771)</f>
        <v>6</v>
      </c>
      <c r="F771" s="7">
        <f>IF('Raw RetailSalesData'!F771="",'Raw RetailSalesData'!G771/'Raw RetailSalesData'!E771,'Raw RetailSalesData'!F771)</f>
        <v>60</v>
      </c>
      <c r="G771" s="7">
        <f t="shared" ref="G771:G834" si="12">F771*E771</f>
        <v>360</v>
      </c>
      <c r="H771" s="5" t="str">
        <f>IF('Raw RetailSalesData'!H771="","Unknown",'Raw RetailSalesData'!H771)</f>
        <v>APAC</v>
      </c>
      <c r="I771" t="s">
        <v>71</v>
      </c>
      <c r="J771" t="s">
        <v>72</v>
      </c>
      <c r="K771" t="str">
        <f>TRIM('Raw RetailSalesData'!K771)</f>
        <v>Hiroshi Tanaka</v>
      </c>
      <c r="L771" t="s">
        <v>21</v>
      </c>
    </row>
    <row r="772" spans="1:12" x14ac:dyDescent="0.3">
      <c r="A772" t="str">
        <f>IF(COUNTIF('Raw RetailSalesData'!$A:$L,'Raw RetailSalesData'!A772)=1,'Raw RetailSalesData'!A772,"")</f>
        <v>ORD-10844</v>
      </c>
      <c r="B772" t="str">
        <f>IF('Raw RetailSalesData'!B772="","UNKNOWN",'Raw RetailSalesData'!B772)</f>
        <v>2026-03-12</v>
      </c>
      <c r="C772" t="str">
        <f>IF('Raw RetailSalesData'!C772="","UNKNOW",'Raw RetailSalesData'!C772)</f>
        <v>CUST-1073</v>
      </c>
      <c r="D772" t="str">
        <f>IF('Raw RetailSalesData'!D772="","UNKNOW",'Raw RetailSalesData'!D772)</f>
        <v>P101</v>
      </c>
      <c r="E772" s="5">
        <f>IF('Raw RetailSalesData'!E772="",'Raw RetailSalesData'!F772/'Raw RetailSalesData'!G772,'Raw RetailSalesData'!E772)</f>
        <v>16</v>
      </c>
      <c r="F772" s="7">
        <f>IF('Raw RetailSalesData'!F772="",'Raw RetailSalesData'!G772/'Raw RetailSalesData'!E772,'Raw RetailSalesData'!F772)</f>
        <v>80</v>
      </c>
      <c r="G772" s="7">
        <f t="shared" si="12"/>
        <v>1280</v>
      </c>
      <c r="H772" s="5" t="str">
        <f>IF('Raw RetailSalesData'!H772="","Unknown",'Raw RetailSalesData'!H772)</f>
        <v>LATAM</v>
      </c>
      <c r="I772" t="s">
        <v>90</v>
      </c>
      <c r="J772" t="s">
        <v>2198</v>
      </c>
      <c r="K772" t="str">
        <f>TRIM('Raw RetailSalesData'!K772)</f>
        <v>Sales Rep 3</v>
      </c>
      <c r="L772" t="s">
        <v>21</v>
      </c>
    </row>
    <row r="773" spans="1:12" x14ac:dyDescent="0.3">
      <c r="A773" t="str">
        <f>IF(COUNTIF('Raw RetailSalesData'!$A:$L,'Raw RetailSalesData'!A773)=1,'Raw RetailSalesData'!A773,"")</f>
        <v>ORD-10845</v>
      </c>
      <c r="B773" t="str">
        <f>IF('Raw RetailSalesData'!B773="","UNKNOWN",'Raw RetailSalesData'!B773)</f>
        <v>2023-02-14</v>
      </c>
      <c r="C773" t="str">
        <f>IF('Raw RetailSalesData'!C773="","UNKNOW",'Raw RetailSalesData'!C773)</f>
        <v>CUST-1148</v>
      </c>
      <c r="D773" t="str">
        <f>IF('Raw RetailSalesData'!D773="","UNKNOW",'Raw RetailSalesData'!D773)</f>
        <v>P103</v>
      </c>
      <c r="E773" s="5">
        <f>IF('Raw RetailSalesData'!E773="",'Raw RetailSalesData'!F773/'Raw RetailSalesData'!G773,'Raw RetailSalesData'!E773)</f>
        <v>9</v>
      </c>
      <c r="F773" s="7">
        <f>IF('Raw RetailSalesData'!F773="",'Raw RetailSalesData'!G773/'Raw RetailSalesData'!E773,'Raw RetailSalesData'!F773)</f>
        <v>95</v>
      </c>
      <c r="G773" s="7">
        <f t="shared" si="12"/>
        <v>855</v>
      </c>
      <c r="H773" s="5" t="str">
        <f>IF('Raw RetailSalesData'!H773="","Unknown",'Raw RetailSalesData'!H773)</f>
        <v>APAC</v>
      </c>
      <c r="I773" t="s">
        <v>71</v>
      </c>
      <c r="J773" t="s">
        <v>72</v>
      </c>
      <c r="K773" t="str">
        <f>TRIM('Raw RetailSalesData'!K773)</f>
        <v>Hiroshi Tanaka</v>
      </c>
      <c r="L773" t="s">
        <v>46</v>
      </c>
    </row>
    <row r="774" spans="1:12" x14ac:dyDescent="0.3">
      <c r="A774" t="str">
        <f>IF(COUNTIF('Raw RetailSalesData'!$A:$L,'Raw RetailSalesData'!A774)=1,'Raw RetailSalesData'!A774,"")</f>
        <v>ORD-10846</v>
      </c>
      <c r="B774" t="str">
        <f>IF('Raw RetailSalesData'!B774="","UNKNOWN",'Raw RetailSalesData'!B774)</f>
        <v>2025-10-22</v>
      </c>
      <c r="C774" t="str">
        <f>IF('Raw RetailSalesData'!C774="","UNKNOW",'Raw RetailSalesData'!C774)</f>
        <v>CUST-1177</v>
      </c>
      <c r="D774" t="str">
        <f>IF('Raw RetailSalesData'!D774="","UNKNOW",'Raw RetailSalesData'!D774)</f>
        <v>P201</v>
      </c>
      <c r="E774" s="5">
        <f>IF('Raw RetailSalesData'!E774="",'Raw RetailSalesData'!F774/'Raw RetailSalesData'!G774,'Raw RetailSalesData'!E774)</f>
        <v>14</v>
      </c>
      <c r="F774" s="7">
        <f>IF('Raw RetailSalesData'!F774="",'Raw RetailSalesData'!G774/'Raw RetailSalesData'!E774,'Raw RetailSalesData'!F774)</f>
        <v>65</v>
      </c>
      <c r="G774" s="7">
        <f t="shared" si="12"/>
        <v>910</v>
      </c>
      <c r="H774" s="5" t="str">
        <f>IF('Raw RetailSalesData'!H774="","Unknown",'Raw RetailSalesData'!H774)</f>
        <v>LATAM</v>
      </c>
      <c r="I774" t="s">
        <v>18</v>
      </c>
      <c r="J774" t="s">
        <v>2197</v>
      </c>
      <c r="K774" t="str">
        <f>TRIM('Raw RetailSalesData'!K774)</f>
        <v>Sales Rep 5</v>
      </c>
      <c r="L774" t="s">
        <v>46</v>
      </c>
    </row>
    <row r="775" spans="1:12" x14ac:dyDescent="0.3">
      <c r="A775" t="str">
        <f>IF(COUNTIF('Raw RetailSalesData'!$A:$L,'Raw RetailSalesData'!A775)=1,'Raw RetailSalesData'!A775,"")</f>
        <v>ORD-10848</v>
      </c>
      <c r="B775" t="str">
        <f>IF('Raw RetailSalesData'!B775="","UNKNOWN",'Raw RetailSalesData'!B775)</f>
        <v>2025-01-12</v>
      </c>
      <c r="C775" t="str">
        <f>IF('Raw RetailSalesData'!C775="","UNKNOW",'Raw RetailSalesData'!C775)</f>
        <v>CUST-1099</v>
      </c>
      <c r="D775" t="str">
        <f>IF('Raw RetailSalesData'!D775="","UNKNOW",'Raw RetailSalesData'!D775)</f>
        <v>C304</v>
      </c>
      <c r="E775" s="5">
        <f>IF('Raw RetailSalesData'!E775="",'Raw RetailSalesData'!F775/'Raw RetailSalesData'!G775,'Raw RetailSalesData'!E775)</f>
        <v>8</v>
      </c>
      <c r="F775" s="7">
        <f>IF('Raw RetailSalesData'!F775="",'Raw RetailSalesData'!G775/'Raw RetailSalesData'!E775,'Raw RetailSalesData'!F775)</f>
        <v>58</v>
      </c>
      <c r="G775" s="7">
        <f t="shared" si="12"/>
        <v>464</v>
      </c>
      <c r="H775" s="5" t="str">
        <f>IF('Raw RetailSalesData'!H775="","Unknown",'Raw RetailSalesData'!H775)</f>
        <v>EMEA</v>
      </c>
      <c r="I775" t="s">
        <v>83</v>
      </c>
      <c r="J775" t="s">
        <v>84</v>
      </c>
      <c r="K775" t="str">
        <f>TRIM('Raw RetailSalesData'!K775)</f>
        <v>John Smith</v>
      </c>
      <c r="L775" t="s">
        <v>21</v>
      </c>
    </row>
    <row r="776" spans="1:12" x14ac:dyDescent="0.3">
      <c r="A776" t="str">
        <f>IF(COUNTIF('Raw RetailSalesData'!$A:$L,'Raw RetailSalesData'!A776)=1,'Raw RetailSalesData'!A776,"")</f>
        <v>ORD-10849</v>
      </c>
      <c r="B776" t="str">
        <f>IF('Raw RetailSalesData'!B776="","UNKNOWN",'Raw RetailSalesData'!B776)</f>
        <v>2023-01-14</v>
      </c>
      <c r="C776" t="str">
        <f>IF('Raw RetailSalesData'!C776="","UNKNOW",'Raw RetailSalesData'!C776)</f>
        <v>CUST-1024</v>
      </c>
      <c r="D776" t="str">
        <f>IF('Raw RetailSalesData'!D776="","UNKNOW",'Raw RetailSalesData'!D776)</f>
        <v>P101</v>
      </c>
      <c r="E776" s="5">
        <f>IF('Raw RetailSalesData'!E776="",'Raw RetailSalesData'!F776/'Raw RetailSalesData'!G776,'Raw RetailSalesData'!E776)</f>
        <v>20</v>
      </c>
      <c r="F776" s="7">
        <f>IF('Raw RetailSalesData'!F776="",'Raw RetailSalesData'!G776/'Raw RetailSalesData'!E776,'Raw RetailSalesData'!F776)</f>
        <v>90</v>
      </c>
      <c r="G776" s="7">
        <f t="shared" si="12"/>
        <v>1800</v>
      </c>
      <c r="H776" s="5" t="str">
        <f>IF('Raw RetailSalesData'!H776="","Unknown",'Raw RetailSalesData'!H776)</f>
        <v>NA</v>
      </c>
      <c r="I776" t="s">
        <v>28</v>
      </c>
      <c r="J776" t="s">
        <v>29</v>
      </c>
      <c r="K776" t="str">
        <f>TRIM('Raw RetailSalesData'!K776)</f>
        <v>Sales Rep 5</v>
      </c>
      <c r="L776" t="s">
        <v>21</v>
      </c>
    </row>
    <row r="777" spans="1:12" x14ac:dyDescent="0.3">
      <c r="A777" t="str">
        <f>IF(COUNTIF('Raw RetailSalesData'!$A:$L,'Raw RetailSalesData'!A777)=1,'Raw RetailSalesData'!A777,"")</f>
        <v>ORD-10850</v>
      </c>
      <c r="B777" t="str">
        <f>IF('Raw RetailSalesData'!B777="","UNKNOWN",'Raw RetailSalesData'!B777)</f>
        <v>2026-06-18</v>
      </c>
      <c r="C777" t="str">
        <f>IF('Raw RetailSalesData'!C777="","UNKNOW",'Raw RetailSalesData'!C777)</f>
        <v>CUST-1173</v>
      </c>
      <c r="D777" t="str">
        <f>IF('Raw RetailSalesData'!D777="","UNKNOW",'Raw RetailSalesData'!D777)</f>
        <v>C302</v>
      </c>
      <c r="E777" s="5">
        <f>IF('Raw RetailSalesData'!E777="",'Raw RetailSalesData'!F777/'Raw RetailSalesData'!G777,'Raw RetailSalesData'!E777)</f>
        <v>1</v>
      </c>
      <c r="F777" s="7">
        <f>IF('Raw RetailSalesData'!F777="",'Raw RetailSalesData'!G777/'Raw RetailSalesData'!E777,'Raw RetailSalesData'!F777)</f>
        <v>45</v>
      </c>
      <c r="G777" s="7">
        <f t="shared" si="12"/>
        <v>45</v>
      </c>
      <c r="H777" s="5" t="str">
        <f>IF('Raw RetailSalesData'!H777="","Unknown",'Raw RetailSalesData'!H777)</f>
        <v>LATAM</v>
      </c>
      <c r="I777" t="s">
        <v>18</v>
      </c>
      <c r="J777" t="s">
        <v>2197</v>
      </c>
      <c r="K777" t="str">
        <f>TRIM('Raw RetailSalesData'!K777)</f>
        <v>Sales Rep 3</v>
      </c>
      <c r="L777" t="s">
        <v>31</v>
      </c>
    </row>
    <row r="778" spans="1:12" x14ac:dyDescent="0.3">
      <c r="A778" t="str">
        <f>IF(COUNTIF('Raw RetailSalesData'!$A:$L,'Raw RetailSalesData'!A778)=1,'Raw RetailSalesData'!A778,"")</f>
        <v>ORD-10851</v>
      </c>
      <c r="B778" t="str">
        <f>IF('Raw RetailSalesData'!B778="","UNKNOWN",'Raw RetailSalesData'!B778)</f>
        <v>2023-09-11</v>
      </c>
      <c r="C778" t="str">
        <f>IF('Raw RetailSalesData'!C778="","UNKNOW",'Raw RetailSalesData'!C778)</f>
        <v>CUST-1181</v>
      </c>
      <c r="D778" t="str">
        <f>IF('Raw RetailSalesData'!D778="","UNKNOW",'Raw RetailSalesData'!D778)</f>
        <v>C302</v>
      </c>
      <c r="E778" s="5">
        <f>IF('Raw RetailSalesData'!E778="",'Raw RetailSalesData'!F778/'Raw RetailSalesData'!G778,'Raw RetailSalesData'!E778)</f>
        <v>9</v>
      </c>
      <c r="F778" s="7">
        <f>IF('Raw RetailSalesData'!F778="",'Raw RetailSalesData'!G778/'Raw RetailSalesData'!E778,'Raw RetailSalesData'!F778)</f>
        <v>50</v>
      </c>
      <c r="G778" s="7">
        <f t="shared" si="12"/>
        <v>450</v>
      </c>
      <c r="H778" s="5" t="str">
        <f>IF('Raw RetailSalesData'!H778="","Unknown",'Raw RetailSalesData'!H778)</f>
        <v>APAC</v>
      </c>
      <c r="I778" t="s">
        <v>151</v>
      </c>
      <c r="J778" t="s">
        <v>188</v>
      </c>
      <c r="K778" t="str">
        <f>TRIM('Raw RetailSalesData'!K778)</f>
        <v>Sales Rep 2</v>
      </c>
      <c r="L778" t="s">
        <v>31</v>
      </c>
    </row>
    <row r="779" spans="1:12" x14ac:dyDescent="0.3">
      <c r="A779" t="str">
        <f>IF(COUNTIF('Raw RetailSalesData'!$A:$L,'Raw RetailSalesData'!A779)=1,'Raw RetailSalesData'!A779,"")</f>
        <v>ORD-10852</v>
      </c>
      <c r="B779" t="str">
        <f>IF('Raw RetailSalesData'!B779="","UNKNOWN",'Raw RetailSalesData'!B779)</f>
        <v>2024-01-18</v>
      </c>
      <c r="C779" t="str">
        <f>IF('Raw RetailSalesData'!C779="","UNKNOW",'Raw RetailSalesData'!C779)</f>
        <v>CUST-1035</v>
      </c>
      <c r="D779" t="str">
        <f>IF('Raw RetailSalesData'!D779="","UNKNOW",'Raw RetailSalesData'!D779)</f>
        <v xml:space="preserve"> C304 </v>
      </c>
      <c r="E779" s="5">
        <f>IF('Raw RetailSalesData'!E779="",'Raw RetailSalesData'!F779/'Raw RetailSalesData'!G779,'Raw RetailSalesData'!E779)</f>
        <v>17</v>
      </c>
      <c r="F779" s="7">
        <f>IF('Raw RetailSalesData'!F779="",'Raw RetailSalesData'!G779/'Raw RetailSalesData'!E779,'Raw RetailSalesData'!F779)</f>
        <v>58</v>
      </c>
      <c r="G779" s="7">
        <f t="shared" si="12"/>
        <v>986</v>
      </c>
      <c r="H779" s="5" t="str">
        <f>IF('Raw RetailSalesData'!H779="","Unknown",'Raw RetailSalesData'!H779)</f>
        <v>APAC</v>
      </c>
      <c r="I779" t="s">
        <v>71</v>
      </c>
      <c r="J779" t="s">
        <v>72</v>
      </c>
      <c r="K779" t="str">
        <f>TRIM('Raw RetailSalesData'!K779)</f>
        <v>Hiroshi Tanaka</v>
      </c>
      <c r="L779" t="s">
        <v>31</v>
      </c>
    </row>
    <row r="780" spans="1:12" x14ac:dyDescent="0.3">
      <c r="A780" t="str">
        <f>IF(COUNTIF('Raw RetailSalesData'!$A:$L,'Raw RetailSalesData'!A780)=1,'Raw RetailSalesData'!A780,"")</f>
        <v>ORD-10853</v>
      </c>
      <c r="B780" t="str">
        <f>IF('Raw RetailSalesData'!B780="","UNKNOWN",'Raw RetailSalesData'!B780)</f>
        <v>2023-08-21</v>
      </c>
      <c r="C780" t="str">
        <f>IF('Raw RetailSalesData'!C780="","UNKNOW",'Raw RetailSalesData'!C780)</f>
        <v>CUST-1089</v>
      </c>
      <c r="D780" t="str">
        <f>IF('Raw RetailSalesData'!D780="","UNKNOW",'Raw RetailSalesData'!D780)</f>
        <v>C302</v>
      </c>
      <c r="E780" s="5">
        <f>IF('Raw RetailSalesData'!E780="",'Raw RetailSalesData'!F780/'Raw RetailSalesData'!G780,'Raw RetailSalesData'!E780)</f>
        <v>5</v>
      </c>
      <c r="F780" s="7">
        <f>IF('Raw RetailSalesData'!F780="",'Raw RetailSalesData'!G780/'Raw RetailSalesData'!E780,'Raw RetailSalesData'!F780)</f>
        <v>50</v>
      </c>
      <c r="G780" s="7">
        <f t="shared" si="12"/>
        <v>250</v>
      </c>
      <c r="H780" s="5" t="str">
        <f>IF('Raw RetailSalesData'!H780="","Unknown",'Raw RetailSalesData'!H780)</f>
        <v>#N/A</v>
      </c>
      <c r="I780" t="s">
        <v>225</v>
      </c>
      <c r="J780" t="s">
        <v>226</v>
      </c>
      <c r="K780" t="str">
        <f>TRIM('Raw RetailSalesData'!K780)</f>
        <v>Sales Rep 3</v>
      </c>
      <c r="L780" t="s">
        <v>21</v>
      </c>
    </row>
    <row r="781" spans="1:12" x14ac:dyDescent="0.3">
      <c r="A781" t="str">
        <f>IF(COUNTIF('Raw RetailSalesData'!$A:$L,'Raw RetailSalesData'!A781)=1,'Raw RetailSalesData'!A781,"")</f>
        <v>ORD-10854</v>
      </c>
      <c r="B781" t="str">
        <f>IF('Raw RetailSalesData'!B781="","UNKNOWN",'Raw RetailSalesData'!B781)</f>
        <v>2023-03-20</v>
      </c>
      <c r="C781" t="str">
        <f>IF('Raw RetailSalesData'!C781="","UNKNOW",'Raw RetailSalesData'!C781)</f>
        <v>CUST-1109</v>
      </c>
      <c r="D781" t="str">
        <f>IF('Raw RetailSalesData'!D781="","UNKNOW",'Raw RetailSalesData'!D781)</f>
        <v>C304</v>
      </c>
      <c r="E781" s="5">
        <f>IF('Raw RetailSalesData'!E781="",'Raw RetailSalesData'!F781/'Raw RetailSalesData'!G781,'Raw RetailSalesData'!E781)</f>
        <v>3</v>
      </c>
      <c r="F781" s="7">
        <f>IF('Raw RetailSalesData'!F781="",'Raw RetailSalesData'!G781/'Raw RetailSalesData'!E781,'Raw RetailSalesData'!F781)</f>
        <v>53</v>
      </c>
      <c r="G781" s="7">
        <f t="shared" si="12"/>
        <v>159</v>
      </c>
      <c r="H781" s="5" t="str">
        <f>IF('Raw RetailSalesData'!H781="","Unknown",'Raw RetailSalesData'!H781)</f>
        <v>LATAM</v>
      </c>
      <c r="I781" t="s">
        <v>18</v>
      </c>
      <c r="J781" t="s">
        <v>2197</v>
      </c>
      <c r="K781" t="str">
        <f>TRIM('Raw RetailSalesData'!K781)</f>
        <v>Sales Rep 2</v>
      </c>
      <c r="L781" t="s">
        <v>31</v>
      </c>
    </row>
    <row r="782" spans="1:12" x14ac:dyDescent="0.3">
      <c r="A782" t="str">
        <f>IF(COUNTIF('Raw RetailSalesData'!$A:$L,'Raw RetailSalesData'!A782)=1,'Raw RetailSalesData'!A782,"")</f>
        <v>ORD-10855</v>
      </c>
      <c r="B782" t="str">
        <f>IF('Raw RetailSalesData'!B782="","UNKNOWN",'Raw RetailSalesData'!B782)</f>
        <v>2025-03-16</v>
      </c>
      <c r="C782" t="str">
        <f>IF('Raw RetailSalesData'!C782="","UNKNOW",'Raw RetailSalesData'!C782)</f>
        <v>CUST-1044</v>
      </c>
      <c r="D782" t="str">
        <f>IF('Raw RetailSalesData'!D782="","UNKNOW",'Raw RetailSalesData'!D782)</f>
        <v>P203</v>
      </c>
      <c r="E782" s="5">
        <f>IF('Raw RetailSalesData'!E782="",'Raw RetailSalesData'!F782/'Raw RetailSalesData'!G782,'Raw RetailSalesData'!E782)</f>
        <v>5.2631578947368418E-2</v>
      </c>
      <c r="F782" s="7">
        <f>IF('Raw RetailSalesData'!F782="",'Raw RetailSalesData'!G782/'Raw RetailSalesData'!E782,'Raw RetailSalesData'!F782)</f>
        <v>73</v>
      </c>
      <c r="G782" s="7">
        <f t="shared" si="12"/>
        <v>3.8421052631578947</v>
      </c>
      <c r="H782" s="5" t="str">
        <f>IF('Raw RetailSalesData'!H782="","Unknown",'Raw RetailSalesData'!H782)</f>
        <v>NA</v>
      </c>
      <c r="I782" t="s">
        <v>28</v>
      </c>
      <c r="J782" t="s">
        <v>2196</v>
      </c>
      <c r="K782" t="str">
        <f>TRIM('Raw RetailSalesData'!K782)</f>
        <v>Michael Johnson</v>
      </c>
      <c r="L782" t="s">
        <v>31</v>
      </c>
    </row>
    <row r="783" spans="1:12" x14ac:dyDescent="0.3">
      <c r="A783" t="str">
        <f>IF(COUNTIF('Raw RetailSalesData'!$A:$L,'Raw RetailSalesData'!A783)=1,'Raw RetailSalesData'!A783,"")</f>
        <v>ORD-10856</v>
      </c>
      <c r="B783" t="str">
        <f>IF('Raw RetailSalesData'!B783="","UNKNOWN",'Raw RetailSalesData'!B783)</f>
        <v>2023-02-13</v>
      </c>
      <c r="C783" t="str">
        <f>IF('Raw RetailSalesData'!C783="","UNKNOW",'Raw RetailSalesData'!C783)</f>
        <v>CUST-1166</v>
      </c>
      <c r="D783" t="str">
        <f>IF('Raw RetailSalesData'!D783="","UNKNOW",'Raw RetailSalesData'!D783)</f>
        <v>P202</v>
      </c>
      <c r="E783" s="5">
        <f>IF('Raw RetailSalesData'!E783="",'Raw RetailSalesData'!F783/'Raw RetailSalesData'!G783,'Raw RetailSalesData'!E783)</f>
        <v>19</v>
      </c>
      <c r="F783" s="7">
        <f>IF('Raw RetailSalesData'!F783="",'Raw RetailSalesData'!G783/'Raw RetailSalesData'!E783,'Raw RetailSalesData'!F783)</f>
        <v>60</v>
      </c>
      <c r="G783" s="7">
        <f t="shared" si="12"/>
        <v>1140</v>
      </c>
      <c r="H783" s="5" t="str">
        <f>IF('Raw RetailSalesData'!H783="","Unknown",'Raw RetailSalesData'!H783)</f>
        <v>LATAM</v>
      </c>
      <c r="I783" t="s">
        <v>90</v>
      </c>
      <c r="J783" t="s">
        <v>2198</v>
      </c>
      <c r="K783" t="str">
        <f>TRIM('Raw RetailSalesData'!K783)</f>
        <v>Sales Rep 1</v>
      </c>
      <c r="L783" t="s">
        <v>46</v>
      </c>
    </row>
    <row r="784" spans="1:12" x14ac:dyDescent="0.3">
      <c r="A784" t="str">
        <f>IF(COUNTIF('Raw RetailSalesData'!$A:$L,'Raw RetailSalesData'!A784)=1,'Raw RetailSalesData'!A784,"")</f>
        <v>ORD-10857</v>
      </c>
      <c r="B784" t="str">
        <f>IF('Raw RetailSalesData'!B784="","UNKNOWN",'Raw RetailSalesData'!B784)</f>
        <v>2023-04-08</v>
      </c>
      <c r="C784" t="str">
        <f>IF('Raw RetailSalesData'!C784="","UNKNOW",'Raw RetailSalesData'!C784)</f>
        <v xml:space="preserve"> CUST-1123 </v>
      </c>
      <c r="D784" t="str">
        <f>IF('Raw RetailSalesData'!D784="","UNKNOW",'Raw RetailSalesData'!D784)</f>
        <v>P201</v>
      </c>
      <c r="E784" s="5">
        <f>IF('Raw RetailSalesData'!E784="",'Raw RetailSalesData'!F784/'Raw RetailSalesData'!G784,'Raw RetailSalesData'!E784)</f>
        <v>11</v>
      </c>
      <c r="F784" s="7">
        <f>IF('Raw RetailSalesData'!F784="",'Raw RetailSalesData'!G784/'Raw RetailSalesData'!E784,'Raw RetailSalesData'!F784)</f>
        <v>65</v>
      </c>
      <c r="G784" s="7">
        <f t="shared" si="12"/>
        <v>715</v>
      </c>
      <c r="H784" s="5" t="str">
        <f>IF('Raw RetailSalesData'!H784="","Unknown",'Raw RetailSalesData'!H784)</f>
        <v>LATAM</v>
      </c>
      <c r="I784" t="s">
        <v>18</v>
      </c>
      <c r="J784" t="s">
        <v>2197</v>
      </c>
      <c r="K784" t="str">
        <f>TRIM('Raw RetailSalesData'!K784)</f>
        <v>Sales Rep 5</v>
      </c>
      <c r="L784" t="s">
        <v>21</v>
      </c>
    </row>
    <row r="785" spans="1:12" x14ac:dyDescent="0.3">
      <c r="A785" t="str">
        <f>IF(COUNTIF('Raw RetailSalesData'!$A:$L,'Raw RetailSalesData'!A785)=1,'Raw RetailSalesData'!A785,"")</f>
        <v>ORD-10858</v>
      </c>
      <c r="B785" t="str">
        <f>IF('Raw RetailSalesData'!B785="","UNKNOWN",'Raw RetailSalesData'!B785)</f>
        <v>2024-11-30</v>
      </c>
      <c r="C785" t="str">
        <f>IF('Raw RetailSalesData'!C785="","UNKNOW",'Raw RetailSalesData'!C785)</f>
        <v>UNKNOW</v>
      </c>
      <c r="D785" t="str">
        <f>IF('Raw RetailSalesData'!D785="","UNKNOW",'Raw RetailSalesData'!D785)</f>
        <v>P101</v>
      </c>
      <c r="E785" s="5">
        <f>IF('Raw RetailSalesData'!E785="",'Raw RetailSalesData'!F785/'Raw RetailSalesData'!G785,'Raw RetailSalesData'!E785)</f>
        <v>20</v>
      </c>
      <c r="F785" s="7">
        <f>IF('Raw RetailSalesData'!F785="",'Raw RetailSalesData'!G785/'Raw RetailSalesData'!E785,'Raw RetailSalesData'!F785)</f>
        <v>85</v>
      </c>
      <c r="G785" s="7">
        <f t="shared" si="12"/>
        <v>1700</v>
      </c>
      <c r="H785" s="5" t="str">
        <f>IF('Raw RetailSalesData'!H785="","Unknown",'Raw RetailSalesData'!H785)</f>
        <v>Unknown</v>
      </c>
      <c r="I785" t="s">
        <v>2190</v>
      </c>
      <c r="J785" t="s">
        <v>226</v>
      </c>
      <c r="K785" t="str">
        <f>TRIM('Raw RetailSalesData'!K785)</f>
        <v>Sales Rep 3</v>
      </c>
      <c r="L785" t="s">
        <v>31</v>
      </c>
    </row>
    <row r="786" spans="1:12" x14ac:dyDescent="0.3">
      <c r="A786" t="str">
        <f>IF(COUNTIF('Raw RetailSalesData'!$A:$L,'Raw RetailSalesData'!A786)=1,'Raw RetailSalesData'!A786,"")</f>
        <v>ORD-10859</v>
      </c>
      <c r="B786" t="str">
        <f>IF('Raw RetailSalesData'!B786="","UNKNOWN",'Raw RetailSalesData'!B786)</f>
        <v>2022-03-09</v>
      </c>
      <c r="C786" t="str">
        <f>IF('Raw RetailSalesData'!C786="","UNKNOW",'Raw RetailSalesData'!C786)</f>
        <v>UNKNOW</v>
      </c>
      <c r="D786" t="str">
        <f>IF('Raw RetailSalesData'!D786="","UNKNOW",'Raw RetailSalesData'!D786)</f>
        <v>C302</v>
      </c>
      <c r="E786" s="5">
        <f>IF('Raw RetailSalesData'!E786="",'Raw RetailSalesData'!F786/'Raw RetailSalesData'!G786,'Raw RetailSalesData'!E786)</f>
        <v>1</v>
      </c>
      <c r="F786" s="7">
        <f>IF('Raw RetailSalesData'!F786="",'Raw RetailSalesData'!G786/'Raw RetailSalesData'!E786,'Raw RetailSalesData'!F786)</f>
        <v>45</v>
      </c>
      <c r="G786" s="7">
        <f t="shared" si="12"/>
        <v>45</v>
      </c>
      <c r="H786" s="5" t="str">
        <f>IF('Raw RetailSalesData'!H786="","Unknown",'Raw RetailSalesData'!H786)</f>
        <v>LATAM</v>
      </c>
      <c r="I786" t="s">
        <v>18</v>
      </c>
      <c r="J786" t="s">
        <v>2197</v>
      </c>
      <c r="K786" t="str">
        <f>TRIM('Raw RetailSalesData'!K786)</f>
        <v>Sales Rep 1</v>
      </c>
      <c r="L786" t="s">
        <v>31</v>
      </c>
    </row>
    <row r="787" spans="1:12" x14ac:dyDescent="0.3">
      <c r="A787" t="str">
        <f>IF(COUNTIF('Raw RetailSalesData'!$A:$L,'Raw RetailSalesData'!A787)=1,'Raw RetailSalesData'!A787,"")</f>
        <v>ORD-10860</v>
      </c>
      <c r="B787" t="str">
        <f>IF('Raw RetailSalesData'!B787="","UNKNOWN",'Raw RetailSalesData'!B787)</f>
        <v>2024-10-22</v>
      </c>
      <c r="C787" t="str">
        <f>IF('Raw RetailSalesData'!C787="","UNKNOW",'Raw RetailSalesData'!C787)</f>
        <v>CUST-1100</v>
      </c>
      <c r="D787" t="str">
        <f>IF('Raw RetailSalesData'!D787="","UNKNOW",'Raw RetailSalesData'!D787)</f>
        <v>P202</v>
      </c>
      <c r="E787" s="5">
        <f>IF('Raw RetailSalesData'!E787="",'Raw RetailSalesData'!F787/'Raw RetailSalesData'!G787,'Raw RetailSalesData'!E787)</f>
        <v>15</v>
      </c>
      <c r="F787" s="7">
        <f>IF('Raw RetailSalesData'!F787="",'Raw RetailSalesData'!G787/'Raw RetailSalesData'!E787,'Raw RetailSalesData'!F787)</f>
        <v>65</v>
      </c>
      <c r="G787" s="7">
        <f t="shared" si="12"/>
        <v>975</v>
      </c>
      <c r="H787" s="5" t="str">
        <f>IF('Raw RetailSalesData'!H787="","Unknown",'Raw RetailSalesData'!H787)</f>
        <v>Unknown</v>
      </c>
      <c r="I787" t="s">
        <v>71</v>
      </c>
      <c r="J787" t="s">
        <v>72</v>
      </c>
      <c r="K787" t="str">
        <f>TRIM('Raw RetailSalesData'!K787)</f>
        <v>Hiroshi Tanaka</v>
      </c>
      <c r="L787" t="s">
        <v>21</v>
      </c>
    </row>
    <row r="788" spans="1:12" x14ac:dyDescent="0.3">
      <c r="A788" t="str">
        <f>IF(COUNTIF('Raw RetailSalesData'!$A:$L,'Raw RetailSalesData'!A788)=1,'Raw RetailSalesData'!A788,"")</f>
        <v>ORD-10861</v>
      </c>
      <c r="B788" t="str">
        <f>IF('Raw RetailSalesData'!B788="","UNKNOWN",'Raw RetailSalesData'!B788)</f>
        <v>2024-05-12</v>
      </c>
      <c r="C788" t="str">
        <f>IF('Raw RetailSalesData'!C788="","UNKNOW",'Raw RetailSalesData'!C788)</f>
        <v>CUST-1083</v>
      </c>
      <c r="D788" t="str">
        <f>IF('Raw RetailSalesData'!D788="","UNKNOW",'Raw RetailSalesData'!D788)</f>
        <v>C302</v>
      </c>
      <c r="E788" s="5">
        <f>IF('Raw RetailSalesData'!E788="",'Raw RetailSalesData'!F788/'Raw RetailSalesData'!G788,'Raw RetailSalesData'!E788)</f>
        <v>0.125</v>
      </c>
      <c r="F788" s="7">
        <f>IF('Raw RetailSalesData'!F788="",'Raw RetailSalesData'!G788/'Raw RetailSalesData'!E788,'Raw RetailSalesData'!F788)</f>
        <v>50</v>
      </c>
      <c r="G788" s="7">
        <f t="shared" si="12"/>
        <v>6.25</v>
      </c>
      <c r="H788" s="5" t="str">
        <f>IF('Raw RetailSalesData'!H788="","Unknown",'Raw RetailSalesData'!H788)</f>
        <v>EMEA</v>
      </c>
      <c r="I788" t="s">
        <v>83</v>
      </c>
      <c r="J788" t="s">
        <v>84</v>
      </c>
      <c r="K788" t="str">
        <f>TRIM('Raw RetailSalesData'!K788)</f>
        <v>John Smith</v>
      </c>
      <c r="L788" t="s">
        <v>21</v>
      </c>
    </row>
    <row r="789" spans="1:12" x14ac:dyDescent="0.3">
      <c r="A789" t="str">
        <f>IF(COUNTIF('Raw RetailSalesData'!$A:$L,'Raw RetailSalesData'!A789)=1,'Raw RetailSalesData'!A789,"")</f>
        <v>ORD-10862</v>
      </c>
      <c r="B789" t="str">
        <f>IF('Raw RetailSalesData'!B789="","UNKNOWN",'Raw RetailSalesData'!B789)</f>
        <v>2024-01-23</v>
      </c>
      <c r="C789" t="str">
        <f>IF('Raw RetailSalesData'!C789="","UNKNOW",'Raw RetailSalesData'!C789)</f>
        <v>CUST-1101</v>
      </c>
      <c r="D789" t="str">
        <f>IF('Raw RetailSalesData'!D789="","UNKNOW",'Raw RetailSalesData'!D789)</f>
        <v>P102</v>
      </c>
      <c r="E789" s="5">
        <f>IF('Raw RetailSalesData'!E789="",'Raw RetailSalesData'!F789/'Raw RetailSalesData'!G789,'Raw RetailSalesData'!E789)</f>
        <v>3</v>
      </c>
      <c r="F789" s="7">
        <f>IF('Raw RetailSalesData'!F789="",'Raw RetailSalesData'!G789/'Raw RetailSalesData'!E789,'Raw RetailSalesData'!F789)</f>
        <v>80</v>
      </c>
      <c r="G789" s="7">
        <f t="shared" si="12"/>
        <v>240</v>
      </c>
      <c r="H789" s="5" t="str">
        <f>IF('Raw RetailSalesData'!H789="","Unknown",'Raw RetailSalesData'!H789)</f>
        <v>APAC</v>
      </c>
      <c r="I789" t="s">
        <v>71</v>
      </c>
      <c r="J789" t="s">
        <v>72</v>
      </c>
      <c r="K789" t="str">
        <f>TRIM('Raw RetailSalesData'!K789)</f>
        <v>Hiroshi Tanaka</v>
      </c>
      <c r="L789" t="s">
        <v>21</v>
      </c>
    </row>
    <row r="790" spans="1:12" x14ac:dyDescent="0.3">
      <c r="A790" t="str">
        <f>IF(COUNTIF('Raw RetailSalesData'!$A:$L,'Raw RetailSalesData'!A790)=1,'Raw RetailSalesData'!A790,"")</f>
        <v>ORD-10863</v>
      </c>
      <c r="B790" t="str">
        <f>IF('Raw RetailSalesData'!B790="","UNKNOWN",'Raw RetailSalesData'!B790)</f>
        <v>2024-11-07</v>
      </c>
      <c r="C790" t="str">
        <f>IF('Raw RetailSalesData'!C790="","UNKNOW",'Raw RetailSalesData'!C790)</f>
        <v>CUST-1123</v>
      </c>
      <c r="D790" t="str">
        <f>IF('Raw RetailSalesData'!D790="","UNKNOW",'Raw RetailSalesData'!D790)</f>
        <v>C302</v>
      </c>
      <c r="E790" s="5">
        <f>IF('Raw RetailSalesData'!E790="",'Raw RetailSalesData'!F790/'Raw RetailSalesData'!G790,'Raw RetailSalesData'!E790)</f>
        <v>20</v>
      </c>
      <c r="F790" s="7">
        <f>IF('Raw RetailSalesData'!F790="",'Raw RetailSalesData'!G790/'Raw RetailSalesData'!E790,'Raw RetailSalesData'!F790)</f>
        <v>55</v>
      </c>
      <c r="G790" s="7">
        <f t="shared" si="12"/>
        <v>1100</v>
      </c>
      <c r="H790" s="5" t="str">
        <f>IF('Raw RetailSalesData'!H790="","Unknown",'Raw RetailSalesData'!H790)</f>
        <v>NA</v>
      </c>
      <c r="I790" t="s">
        <v>100</v>
      </c>
      <c r="J790" t="s">
        <v>2190</v>
      </c>
      <c r="K790" t="str">
        <f>TRIM('Raw RetailSalesData'!K790)</f>
        <v>Sales Rep 4</v>
      </c>
      <c r="L790" t="s">
        <v>21</v>
      </c>
    </row>
    <row r="791" spans="1:12" x14ac:dyDescent="0.3">
      <c r="A791" t="str">
        <f>IF(COUNTIF('Raw RetailSalesData'!$A:$L,'Raw RetailSalesData'!A791)=1,'Raw RetailSalesData'!A791,"")</f>
        <v>ORD-10864</v>
      </c>
      <c r="B791" t="str">
        <f>IF('Raw RetailSalesData'!B791="","UNKNOWN",'Raw RetailSalesData'!B791)</f>
        <v>2023-06-23</v>
      </c>
      <c r="C791" t="str">
        <f>IF('Raw RetailSalesData'!C791="","UNKNOW",'Raw RetailSalesData'!C791)</f>
        <v>#N/A</v>
      </c>
      <c r="D791" t="str">
        <f>IF('Raw RetailSalesData'!D791="","UNKNOW",'Raw RetailSalesData'!D791)</f>
        <v>P202</v>
      </c>
      <c r="E791" s="5">
        <f>IF('Raw RetailSalesData'!E791="",'Raw RetailSalesData'!F791/'Raw RetailSalesData'!G791,'Raw RetailSalesData'!E791)</f>
        <v>16</v>
      </c>
      <c r="F791" s="7">
        <f>IF('Raw RetailSalesData'!F791="",'Raw RetailSalesData'!G791/'Raw RetailSalesData'!E791,'Raw RetailSalesData'!F791)</f>
        <v>65</v>
      </c>
      <c r="G791" s="7">
        <f t="shared" si="12"/>
        <v>1040</v>
      </c>
      <c r="H791" s="5" t="str">
        <f>IF('Raw RetailSalesData'!H791="","Unknown",'Raw RetailSalesData'!H791)</f>
        <v>APAC</v>
      </c>
      <c r="I791" t="s">
        <v>151</v>
      </c>
      <c r="J791" t="s">
        <v>188</v>
      </c>
      <c r="K791" t="str">
        <f>TRIM('Raw RetailSalesData'!K791)</f>
        <v>Sales Rep 5</v>
      </c>
      <c r="L791" t="s">
        <v>21</v>
      </c>
    </row>
    <row r="792" spans="1:12" x14ac:dyDescent="0.3">
      <c r="A792" t="str">
        <f>IF(COUNTIF('Raw RetailSalesData'!$A:$L,'Raw RetailSalesData'!A792)=1,'Raw RetailSalesData'!A792,"")</f>
        <v>ORD-10865</v>
      </c>
      <c r="B792" t="str">
        <f>IF('Raw RetailSalesData'!B792="","UNKNOWN",'Raw RetailSalesData'!B792)</f>
        <v>2022-07-26</v>
      </c>
      <c r="C792" t="str">
        <f>IF('Raw RetailSalesData'!C792="","UNKNOW",'Raw RetailSalesData'!C792)</f>
        <v>CUST-1079</v>
      </c>
      <c r="D792" t="str">
        <f>IF('Raw RetailSalesData'!D792="","UNKNOW",'Raw RetailSalesData'!D792)</f>
        <v>P101</v>
      </c>
      <c r="E792" s="5">
        <f>IF('Raw RetailSalesData'!E792="",'Raw RetailSalesData'!F792/'Raw RetailSalesData'!G792,'Raw RetailSalesData'!E792)</f>
        <v>2</v>
      </c>
      <c r="F792" s="7">
        <f>IF('Raw RetailSalesData'!F792="",'Raw RetailSalesData'!G792/'Raw RetailSalesData'!E792,'Raw RetailSalesData'!F792)</f>
        <v>90</v>
      </c>
      <c r="G792" s="7">
        <f t="shared" si="12"/>
        <v>180</v>
      </c>
      <c r="H792" s="5" t="str">
        <f>IF('Raw RetailSalesData'!H792="","Unknown",'Raw RetailSalesData'!H792)</f>
        <v>NA</v>
      </c>
      <c r="I792" t="s">
        <v>100</v>
      </c>
      <c r="J792" t="s">
        <v>101</v>
      </c>
      <c r="K792" t="str">
        <f>TRIM('Raw RetailSalesData'!K792)</f>
        <v>Sales Rep 5</v>
      </c>
      <c r="L792" t="s">
        <v>2190</v>
      </c>
    </row>
    <row r="793" spans="1:12" x14ac:dyDescent="0.3">
      <c r="A793" t="str">
        <f>IF(COUNTIF('Raw RetailSalesData'!$A:$L,'Raw RetailSalesData'!A793)=1,'Raw RetailSalesData'!A793,"")</f>
        <v>ORD-10866</v>
      </c>
      <c r="B793" t="str">
        <f>IF('Raw RetailSalesData'!B793="","UNKNOWN",'Raw RetailSalesData'!B793)</f>
        <v>2022-04-20</v>
      </c>
      <c r="C793" t="str">
        <f>IF('Raw RetailSalesData'!C793="","UNKNOW",'Raw RetailSalesData'!C793)</f>
        <v>CUST-1071</v>
      </c>
      <c r="D793" t="str">
        <f>IF('Raw RetailSalesData'!D793="","UNKNOW",'Raw RetailSalesData'!D793)</f>
        <v>C302</v>
      </c>
      <c r="E793" s="5">
        <f>IF('Raw RetailSalesData'!E793="",'Raw RetailSalesData'!F793/'Raw RetailSalesData'!G793,'Raw RetailSalesData'!E793)</f>
        <v>15</v>
      </c>
      <c r="F793" s="7">
        <f>IF('Raw RetailSalesData'!F793="",'Raw RetailSalesData'!G793/'Raw RetailSalesData'!E793,'Raw RetailSalesData'!F793)</f>
        <v>50</v>
      </c>
      <c r="G793" s="7">
        <f t="shared" si="12"/>
        <v>750</v>
      </c>
      <c r="H793" s="5" t="str">
        <f>IF('Raw RetailSalesData'!H793="","Unknown",'Raw RetailSalesData'!H793)</f>
        <v>APAC</v>
      </c>
      <c r="I793" t="s">
        <v>2190</v>
      </c>
      <c r="J793" t="s">
        <v>2190</v>
      </c>
      <c r="K793" t="str">
        <f>TRIM('Raw RetailSalesData'!K793)</f>
        <v>Hiroshi Tanaka</v>
      </c>
      <c r="L793" t="s">
        <v>46</v>
      </c>
    </row>
    <row r="794" spans="1:12" x14ac:dyDescent="0.3">
      <c r="A794" t="str">
        <f>IF(COUNTIF('Raw RetailSalesData'!$A:$L,'Raw RetailSalesData'!A794)=1,'Raw RetailSalesData'!A794,"")</f>
        <v>ORD-10867</v>
      </c>
      <c r="B794" t="str">
        <f>IF('Raw RetailSalesData'!B794="","UNKNOWN",'Raw RetailSalesData'!B794)</f>
        <v>2024-09-20</v>
      </c>
      <c r="C794" t="str">
        <f>IF('Raw RetailSalesData'!C794="","UNKNOW",'Raw RetailSalesData'!C794)</f>
        <v>CUST-1027</v>
      </c>
      <c r="D794" t="str">
        <f>IF('Raw RetailSalesData'!D794="","UNKNOW",'Raw RetailSalesData'!D794)</f>
        <v>P101</v>
      </c>
      <c r="E794" s="5">
        <f>IF('Raw RetailSalesData'!E794="",'Raw RetailSalesData'!F794/'Raw RetailSalesData'!G794,'Raw RetailSalesData'!E794)</f>
        <v>5</v>
      </c>
      <c r="F794" s="7">
        <f>IF('Raw RetailSalesData'!F794="",'Raw RetailSalesData'!G794/'Raw RetailSalesData'!E794,'Raw RetailSalesData'!F794)</f>
        <v>85</v>
      </c>
      <c r="G794" s="7">
        <f t="shared" si="12"/>
        <v>425</v>
      </c>
      <c r="H794" s="5" t="str">
        <f>IF('Raw RetailSalesData'!H794="","Unknown",'Raw RetailSalesData'!H794)</f>
        <v>Unknown</v>
      </c>
      <c r="I794" t="s">
        <v>83</v>
      </c>
      <c r="J794" t="s">
        <v>84</v>
      </c>
      <c r="K794" t="str">
        <f>TRIM('Raw RetailSalesData'!K794)</f>
        <v>John Smith</v>
      </c>
      <c r="L794" t="s">
        <v>46</v>
      </c>
    </row>
    <row r="795" spans="1:12" x14ac:dyDescent="0.3">
      <c r="A795" t="str">
        <f>IF(COUNTIF('Raw RetailSalesData'!$A:$L,'Raw RetailSalesData'!A795)=1,'Raw RetailSalesData'!A795,"")</f>
        <v>ORD-10868</v>
      </c>
      <c r="B795" t="str">
        <f>IF('Raw RetailSalesData'!B795="","UNKNOWN",'Raw RetailSalesData'!B795)</f>
        <v>2024-08-24</v>
      </c>
      <c r="C795" t="str">
        <f>IF('Raw RetailSalesData'!C795="","UNKNOW",'Raw RetailSalesData'!C795)</f>
        <v>CUST-1178</v>
      </c>
      <c r="D795" t="str">
        <f>IF('Raw RetailSalesData'!D795="","UNKNOW",'Raw RetailSalesData'!D795)</f>
        <v xml:space="preserve"> P202 </v>
      </c>
      <c r="E795" s="5">
        <f>IF('Raw RetailSalesData'!E795="",'Raw RetailSalesData'!F795/'Raw RetailSalesData'!G795,'Raw RetailSalesData'!E795)</f>
        <v>16</v>
      </c>
      <c r="F795" s="7">
        <f>IF('Raw RetailSalesData'!F795="",'Raw RetailSalesData'!G795/'Raw RetailSalesData'!E795,'Raw RetailSalesData'!F795)</f>
        <v>70</v>
      </c>
      <c r="G795" s="7">
        <f t="shared" si="12"/>
        <v>1120</v>
      </c>
      <c r="H795" s="5" t="str">
        <f>IF('Raw RetailSalesData'!H795="","Unknown",'Raw RetailSalesData'!H795)</f>
        <v>NA</v>
      </c>
      <c r="I795" t="s">
        <v>28</v>
      </c>
      <c r="J795" t="s">
        <v>2196</v>
      </c>
      <c r="K795" t="str">
        <f>TRIM('Raw RetailSalesData'!K795)</f>
        <v>Michael Johnson</v>
      </c>
      <c r="L795" t="s">
        <v>31</v>
      </c>
    </row>
    <row r="796" spans="1:12" x14ac:dyDescent="0.3">
      <c r="A796" t="str">
        <f>IF(COUNTIF('Raw RetailSalesData'!$A:$L,'Raw RetailSalesData'!A796)=1,'Raw RetailSalesData'!A796,"")</f>
        <v>ORD-10869</v>
      </c>
      <c r="B796" t="str">
        <f>IF('Raw RetailSalesData'!B796="","UNKNOWN",'Raw RetailSalesData'!B796)</f>
        <v>2025-04-10</v>
      </c>
      <c r="C796" t="str">
        <f>IF('Raw RetailSalesData'!C796="","UNKNOW",'Raw RetailSalesData'!C796)</f>
        <v xml:space="preserve"> CUST-1112 </v>
      </c>
      <c r="D796" t="str">
        <f>IF('Raw RetailSalesData'!D796="","UNKNOW",'Raw RetailSalesData'!D796)</f>
        <v>P203</v>
      </c>
      <c r="E796" s="5">
        <f>IF('Raw RetailSalesData'!E796="",'Raw RetailSalesData'!F796/'Raw RetailSalesData'!G796,'Raw RetailSalesData'!E796)</f>
        <v>14</v>
      </c>
      <c r="F796" s="7">
        <f>IF('Raw RetailSalesData'!F796="",'Raw RetailSalesData'!G796/'Raw RetailSalesData'!E796,'Raw RetailSalesData'!F796)</f>
        <v>68</v>
      </c>
      <c r="G796" s="7">
        <f t="shared" si="12"/>
        <v>952</v>
      </c>
      <c r="H796" s="5" t="str">
        <f>IF('Raw RetailSalesData'!H796="","Unknown",'Raw RetailSalesData'!H796)</f>
        <v>APAC</v>
      </c>
      <c r="I796" t="s">
        <v>151</v>
      </c>
      <c r="J796" t="s">
        <v>152</v>
      </c>
      <c r="K796" t="str">
        <f>TRIM('Raw RetailSalesData'!K796)</f>
        <v>Aarav Patel</v>
      </c>
      <c r="L796" t="s">
        <v>21</v>
      </c>
    </row>
    <row r="797" spans="1:12" x14ac:dyDescent="0.3">
      <c r="A797" t="str">
        <f>IF(COUNTIF('Raw RetailSalesData'!$A:$L,'Raw RetailSalesData'!A797)=1,'Raw RetailSalesData'!A797,"")</f>
        <v>ORD-10870</v>
      </c>
      <c r="B797" t="str">
        <f>IF('Raw RetailSalesData'!B797="","UNKNOWN",'Raw RetailSalesData'!B797)</f>
        <v>2023-05-11</v>
      </c>
      <c r="C797" t="str">
        <f>IF('Raw RetailSalesData'!C797="","UNKNOW",'Raw RetailSalesData'!C797)</f>
        <v>CUST-1121</v>
      </c>
      <c r="D797" t="str">
        <f>IF('Raw RetailSalesData'!D797="","UNKNOW",'Raw RetailSalesData'!D797)</f>
        <v>P203</v>
      </c>
      <c r="E797" s="5">
        <f>IF('Raw RetailSalesData'!E797="",'Raw RetailSalesData'!F797/'Raw RetailSalesData'!G797,'Raw RetailSalesData'!E797)</f>
        <v>4</v>
      </c>
      <c r="F797" s="7">
        <f>IF('Raw RetailSalesData'!F797="",'Raw RetailSalesData'!G797/'Raw RetailSalesData'!E797,'Raw RetailSalesData'!F797)</f>
        <v>73</v>
      </c>
      <c r="G797" s="7">
        <f t="shared" si="12"/>
        <v>292</v>
      </c>
      <c r="H797" s="5" t="str">
        <f>IF('Raw RetailSalesData'!H797="","Unknown",'Raw RetailSalesData'!H797)</f>
        <v>NA</v>
      </c>
      <c r="I797" t="s">
        <v>100</v>
      </c>
      <c r="J797" t="s">
        <v>101</v>
      </c>
      <c r="K797" t="str">
        <f>TRIM('Raw RetailSalesData'!K797)</f>
        <v>Sales Rep 3</v>
      </c>
      <c r="L797" t="s">
        <v>31</v>
      </c>
    </row>
    <row r="798" spans="1:12" x14ac:dyDescent="0.3">
      <c r="A798" t="str">
        <f>IF(COUNTIF('Raw RetailSalesData'!$A:$L,'Raw RetailSalesData'!A798)=1,'Raw RetailSalesData'!A798,"")</f>
        <v>ORD-10871</v>
      </c>
      <c r="B798" t="str">
        <f>IF('Raw RetailSalesData'!B798="","UNKNOWN",'Raw RetailSalesData'!B798)</f>
        <v xml:space="preserve"> 2023-03-08 </v>
      </c>
      <c r="C798" t="str">
        <f>IF('Raw RetailSalesData'!C798="","UNKNOW",'Raw RetailSalesData'!C798)</f>
        <v xml:space="preserve"> CUST-1051 </v>
      </c>
      <c r="D798" t="str">
        <f>IF('Raw RetailSalesData'!D798="","UNKNOW",'Raw RetailSalesData'!D798)</f>
        <v>C302</v>
      </c>
      <c r="E798" s="5">
        <f>IF('Raw RetailSalesData'!E798="",'Raw RetailSalesData'!F798/'Raw RetailSalesData'!G798,'Raw RetailSalesData'!E798)</f>
        <v>4</v>
      </c>
      <c r="F798" s="7">
        <f>IF('Raw RetailSalesData'!F798="",'Raw RetailSalesData'!G798/'Raw RetailSalesData'!E798,'Raw RetailSalesData'!F798)</f>
        <v>50</v>
      </c>
      <c r="G798" s="7">
        <f t="shared" si="12"/>
        <v>200</v>
      </c>
      <c r="H798" s="5" t="str">
        <f>IF('Raw RetailSalesData'!H798="","Unknown",'Raw RetailSalesData'!H798)</f>
        <v>APAC</v>
      </c>
      <c r="I798" t="s">
        <v>183</v>
      </c>
      <c r="J798" t="s">
        <v>184</v>
      </c>
      <c r="K798" t="str">
        <f>TRIM('Raw RetailSalesData'!K798)</f>
        <v>Sales Rep 1</v>
      </c>
      <c r="L798" t="s">
        <v>31</v>
      </c>
    </row>
    <row r="799" spans="1:12" x14ac:dyDescent="0.3">
      <c r="A799" t="str">
        <f>IF(COUNTIF('Raw RetailSalesData'!$A:$L,'Raw RetailSalesData'!A799)=1,'Raw RetailSalesData'!A799,"")</f>
        <v>ORD-10872</v>
      </c>
      <c r="B799" t="str">
        <f>IF('Raw RetailSalesData'!B799="","UNKNOWN",'Raw RetailSalesData'!B799)</f>
        <v>2023-07-06</v>
      </c>
      <c r="C799" t="str">
        <f>IF('Raw RetailSalesData'!C799="","UNKNOW",'Raw RetailSalesData'!C799)</f>
        <v>CUST-1079</v>
      </c>
      <c r="D799" t="str">
        <f>IF('Raw RetailSalesData'!D799="","UNKNOW",'Raw RetailSalesData'!D799)</f>
        <v>P201</v>
      </c>
      <c r="E799" s="5">
        <f>IF('Raw RetailSalesData'!E799="",'Raw RetailSalesData'!F799/'Raw RetailSalesData'!G799,'Raw RetailSalesData'!E799)</f>
        <v>17</v>
      </c>
      <c r="F799" s="7">
        <f>IF('Raw RetailSalesData'!F799="",'Raw RetailSalesData'!G799/'Raw RetailSalesData'!E799,'Raw RetailSalesData'!F799)</f>
        <v>70</v>
      </c>
      <c r="G799" s="7">
        <f t="shared" si="12"/>
        <v>1190</v>
      </c>
      <c r="H799" s="5" t="str">
        <f>IF('Raw RetailSalesData'!H799="","Unknown",'Raw RetailSalesData'!H799)</f>
        <v>EMEA</v>
      </c>
      <c r="I799" t="s">
        <v>83</v>
      </c>
      <c r="J799" t="s">
        <v>84</v>
      </c>
      <c r="K799" t="str">
        <f>TRIM('Raw RetailSalesData'!K799)</f>
        <v>John Smith</v>
      </c>
      <c r="L799" t="s">
        <v>31</v>
      </c>
    </row>
    <row r="800" spans="1:12" x14ac:dyDescent="0.3">
      <c r="A800" t="str">
        <f>IF(COUNTIF('Raw RetailSalesData'!$A:$L,'Raw RetailSalesData'!A800)=1,'Raw RetailSalesData'!A800,"")</f>
        <v>ORD-10873</v>
      </c>
      <c r="B800" t="str">
        <f>IF('Raw RetailSalesData'!B800="","UNKNOWN",'Raw RetailSalesData'!B800)</f>
        <v>2025-04-06</v>
      </c>
      <c r="C800" t="str">
        <f>IF('Raw RetailSalesData'!C800="","UNKNOW",'Raw RetailSalesData'!C800)</f>
        <v>CUST-1151</v>
      </c>
      <c r="D800" t="str">
        <f>IF('Raw RetailSalesData'!D800="","UNKNOW",'Raw RetailSalesData'!D800)</f>
        <v>P201</v>
      </c>
      <c r="E800" s="5">
        <f>IF('Raw RetailSalesData'!E800="",'Raw RetailSalesData'!F800/'Raw RetailSalesData'!G800,'Raw RetailSalesData'!E800)</f>
        <v>1</v>
      </c>
      <c r="F800" s="7">
        <f>IF('Raw RetailSalesData'!F800="",'Raw RetailSalesData'!G800/'Raw RetailSalesData'!E800,'Raw RetailSalesData'!F800)</f>
        <v>70</v>
      </c>
      <c r="G800" s="7">
        <f t="shared" si="12"/>
        <v>70</v>
      </c>
      <c r="H800" s="5" t="str">
        <f>IF('Raw RetailSalesData'!H800="","Unknown",'Raw RetailSalesData'!H800)</f>
        <v>APAC</v>
      </c>
      <c r="I800" t="s">
        <v>71</v>
      </c>
      <c r="J800" t="s">
        <v>72</v>
      </c>
      <c r="K800" t="str">
        <f>TRIM('Raw RetailSalesData'!K800)</f>
        <v>Hiroshi Tanaka</v>
      </c>
      <c r="L800" t="s">
        <v>31</v>
      </c>
    </row>
    <row r="801" spans="1:12" x14ac:dyDescent="0.3">
      <c r="A801" t="str">
        <f>IF(COUNTIF('Raw RetailSalesData'!$A:$L,'Raw RetailSalesData'!A801)=1,'Raw RetailSalesData'!A801,"")</f>
        <v>ORD-10874</v>
      </c>
      <c r="B801" t="str">
        <f>IF('Raw RetailSalesData'!B801="","UNKNOWN",'Raw RetailSalesData'!B801)</f>
        <v>2023-08-06</v>
      </c>
      <c r="C801" t="str">
        <f>IF('Raw RetailSalesData'!C801="","UNKNOW",'Raw RetailSalesData'!C801)</f>
        <v>CUST-1010</v>
      </c>
      <c r="D801" t="str">
        <f>IF('Raw RetailSalesData'!D801="","UNKNOW",'Raw RetailSalesData'!D801)</f>
        <v>C302</v>
      </c>
      <c r="E801" s="5">
        <f>IF('Raw RetailSalesData'!E801="",'Raw RetailSalesData'!F801/'Raw RetailSalesData'!G801,'Raw RetailSalesData'!E801)</f>
        <v>8</v>
      </c>
      <c r="F801" s="7">
        <f>IF('Raw RetailSalesData'!F801="",'Raw RetailSalesData'!G801/'Raw RetailSalesData'!E801,'Raw RetailSalesData'!F801)</f>
        <v>45</v>
      </c>
      <c r="G801" s="7">
        <f t="shared" si="12"/>
        <v>360</v>
      </c>
      <c r="H801" s="5" t="str">
        <f>IF('Raw RetailSalesData'!H801="","Unknown",'Raw RetailSalesData'!H801)</f>
        <v>LATAM</v>
      </c>
      <c r="I801" t="s">
        <v>18</v>
      </c>
      <c r="J801" t="s">
        <v>2197</v>
      </c>
      <c r="K801" t="str">
        <f>TRIM('Raw RetailSalesData'!K801)</f>
        <v>Sales Rep 1</v>
      </c>
      <c r="L801" t="s">
        <v>21</v>
      </c>
    </row>
    <row r="802" spans="1:12" x14ac:dyDescent="0.3">
      <c r="A802" t="str">
        <f>IF(COUNTIF('Raw RetailSalesData'!$A:$L,'Raw RetailSalesData'!A802)=1,'Raw RetailSalesData'!A802,"")</f>
        <v>ORD-10875</v>
      </c>
      <c r="B802" t="str">
        <f>IF('Raw RetailSalesData'!B802="","UNKNOWN",'Raw RetailSalesData'!B802)</f>
        <v>2022-10-15</v>
      </c>
      <c r="C802" t="str">
        <f>IF('Raw RetailSalesData'!C802="","UNKNOW",'Raw RetailSalesData'!C802)</f>
        <v>CUST-1168</v>
      </c>
      <c r="D802" t="str">
        <f>IF('Raw RetailSalesData'!D802="","UNKNOW",'Raw RetailSalesData'!D802)</f>
        <v>P103</v>
      </c>
      <c r="E802" s="5">
        <f>IF('Raw RetailSalesData'!E802="",'Raw RetailSalesData'!F802/'Raw RetailSalesData'!G802,'Raw RetailSalesData'!E802)</f>
        <v>12</v>
      </c>
      <c r="F802" s="7">
        <f>IF('Raw RetailSalesData'!F802="",'Raw RetailSalesData'!G802/'Raw RetailSalesData'!E802,'Raw RetailSalesData'!F802)</f>
        <v>95</v>
      </c>
      <c r="G802" s="7">
        <f t="shared" si="12"/>
        <v>1140</v>
      </c>
      <c r="H802" s="5" t="str">
        <f>IF('Raw RetailSalesData'!H802="","Unknown",'Raw RetailSalesData'!H802)</f>
        <v>APAC</v>
      </c>
      <c r="I802" t="s">
        <v>151</v>
      </c>
      <c r="J802" t="s">
        <v>152</v>
      </c>
      <c r="K802" t="str">
        <f>TRIM('Raw RetailSalesData'!K802)</f>
        <v>Aarav Patel</v>
      </c>
      <c r="L802" t="s">
        <v>46</v>
      </c>
    </row>
    <row r="803" spans="1:12" x14ac:dyDescent="0.3">
      <c r="A803" t="str">
        <f>IF(COUNTIF('Raw RetailSalesData'!$A:$L,'Raw RetailSalesData'!A803)=1,'Raw RetailSalesData'!A803,"")</f>
        <v>ORD-10876</v>
      </c>
      <c r="B803" t="str">
        <f>IF('Raw RetailSalesData'!B803="","UNKNOWN",'Raw RetailSalesData'!B803)</f>
        <v>2022-10-15</v>
      </c>
      <c r="C803" t="str">
        <f>IF('Raw RetailSalesData'!C803="","UNKNOW",'Raw RetailSalesData'!C803)</f>
        <v>CUST-1168</v>
      </c>
      <c r="D803" t="str">
        <f>IF('Raw RetailSalesData'!D803="","UNKNOW",'Raw RetailSalesData'!D803)</f>
        <v>P103</v>
      </c>
      <c r="E803" s="5">
        <f>IF('Raw RetailSalesData'!E803="",'Raw RetailSalesData'!F803/'Raw RetailSalesData'!G803,'Raw RetailSalesData'!E803)</f>
        <v>12</v>
      </c>
      <c r="F803" s="7">
        <f>IF('Raw RetailSalesData'!F803="",'Raw RetailSalesData'!G803/'Raw RetailSalesData'!E803,'Raw RetailSalesData'!F803)</f>
        <v>95</v>
      </c>
      <c r="G803" s="7">
        <f t="shared" si="12"/>
        <v>1140</v>
      </c>
      <c r="H803" s="5" t="str">
        <f>IF('Raw RetailSalesData'!H803="","Unknown",'Raw RetailSalesData'!H803)</f>
        <v>APAC</v>
      </c>
      <c r="I803" t="s">
        <v>151</v>
      </c>
      <c r="J803" t="s">
        <v>152</v>
      </c>
      <c r="K803" t="str">
        <f>TRIM('Raw RetailSalesData'!K803)</f>
        <v>Aarav Patel</v>
      </c>
      <c r="L803" t="s">
        <v>46</v>
      </c>
    </row>
    <row r="804" spans="1:12" x14ac:dyDescent="0.3">
      <c r="A804" t="str">
        <f>IF(COUNTIF('Raw RetailSalesData'!$A:$L,'Raw RetailSalesData'!A804)=1,'Raw RetailSalesData'!A804,"")</f>
        <v>ORD-10877</v>
      </c>
      <c r="B804" t="str">
        <f>IF('Raw RetailSalesData'!B804="","UNKNOWN",'Raw RetailSalesData'!B804)</f>
        <v>2025-06-03</v>
      </c>
      <c r="C804" t="str">
        <f>IF('Raw RetailSalesData'!C804="","UNKNOW",'Raw RetailSalesData'!C804)</f>
        <v>CUST-1054</v>
      </c>
      <c r="D804" t="str">
        <f>IF('Raw RetailSalesData'!D804="","UNKNOW",'Raw RetailSalesData'!D804)</f>
        <v>UNKNOW</v>
      </c>
      <c r="E804" s="5">
        <f>IF('Raw RetailSalesData'!E804="",'Raw RetailSalesData'!F804/'Raw RetailSalesData'!G804,'Raw RetailSalesData'!E804)</f>
        <v>9</v>
      </c>
      <c r="F804" s="7">
        <f>IF('Raw RetailSalesData'!F804="",'Raw RetailSalesData'!G804/'Raw RetailSalesData'!E804,'Raw RetailSalesData'!F804)</f>
        <v>68</v>
      </c>
      <c r="G804" s="7">
        <f t="shared" si="12"/>
        <v>612</v>
      </c>
      <c r="H804" s="5" t="str">
        <f>IF('Raw RetailSalesData'!H804="","Unknown",'Raw RetailSalesData'!H804)</f>
        <v>APAC</v>
      </c>
      <c r="I804" t="s">
        <v>71</v>
      </c>
      <c r="J804" t="s">
        <v>72</v>
      </c>
      <c r="K804" t="str">
        <f>TRIM('Raw RetailSalesData'!K804)</f>
        <v>Hiroshi Tanaka</v>
      </c>
      <c r="L804" t="s">
        <v>31</v>
      </c>
    </row>
    <row r="805" spans="1:12" x14ac:dyDescent="0.3">
      <c r="A805" t="str">
        <f>IF(COUNTIF('Raw RetailSalesData'!$A:$L,'Raw RetailSalesData'!A805)=1,'Raw RetailSalesData'!A805,"")</f>
        <v>ORD-10878</v>
      </c>
      <c r="B805" t="str">
        <f>IF('Raw RetailSalesData'!B805="","UNKNOWN",'Raw RetailSalesData'!B805)</f>
        <v>2025-04-04</v>
      </c>
      <c r="C805" t="str">
        <f>IF('Raw RetailSalesData'!C805="","UNKNOW",'Raw RetailSalesData'!C805)</f>
        <v>CUST-1065</v>
      </c>
      <c r="D805" t="str">
        <f>IF('Raw RetailSalesData'!D805="","UNKNOW",'Raw RetailSalesData'!D805)</f>
        <v>P101</v>
      </c>
      <c r="E805" s="5">
        <f>IF('Raw RetailSalesData'!E805="",'Raw RetailSalesData'!F805/'Raw RetailSalesData'!G805,'Raw RetailSalesData'!E805)</f>
        <v>15</v>
      </c>
      <c r="F805" s="7">
        <f>IF('Raw RetailSalesData'!F805="",'Raw RetailSalesData'!G805/'Raw RetailSalesData'!E805,'Raw RetailSalesData'!F805)</f>
        <v>85</v>
      </c>
      <c r="G805" s="7">
        <f t="shared" si="12"/>
        <v>1275</v>
      </c>
      <c r="H805" s="5" t="str">
        <f>IF('Raw RetailSalesData'!H805="","Unknown",'Raw RetailSalesData'!H805)</f>
        <v>APAC</v>
      </c>
      <c r="I805" t="s">
        <v>183</v>
      </c>
      <c r="J805" t="s">
        <v>184</v>
      </c>
      <c r="K805" t="str">
        <f>TRIM('Raw RetailSalesData'!K805)</f>
        <v>Sales Rep 2</v>
      </c>
      <c r="L805" t="s">
        <v>46</v>
      </c>
    </row>
    <row r="806" spans="1:12" x14ac:dyDescent="0.3">
      <c r="A806" t="str">
        <f>IF(COUNTIF('Raw RetailSalesData'!$A:$L,'Raw RetailSalesData'!A806)=1,'Raw RetailSalesData'!A806,"")</f>
        <v>ORD-10879</v>
      </c>
      <c r="B806" t="str">
        <f>IF('Raw RetailSalesData'!B806="","UNKNOWN",'Raw RetailSalesData'!B806)</f>
        <v>2025-02-13</v>
      </c>
      <c r="C806" t="str">
        <f>IF('Raw RetailSalesData'!C806="","UNKNOW",'Raw RetailSalesData'!C806)</f>
        <v>CUST-1133</v>
      </c>
      <c r="D806" t="str">
        <f>IF('Raw RetailSalesData'!D806="","UNKNOW",'Raw RetailSalesData'!D806)</f>
        <v>C301</v>
      </c>
      <c r="E806" s="5">
        <f>IF('Raw RetailSalesData'!E806="",'Raw RetailSalesData'!F806/'Raw RetailSalesData'!G806,'Raw RetailSalesData'!E806)</f>
        <v>4</v>
      </c>
      <c r="F806" s="7">
        <f>IF('Raw RetailSalesData'!F806="",'Raw RetailSalesData'!G806/'Raw RetailSalesData'!E806,'Raw RetailSalesData'!F806)</f>
        <v>60</v>
      </c>
      <c r="G806" s="7">
        <f t="shared" si="12"/>
        <v>240</v>
      </c>
      <c r="H806" s="5" t="str">
        <f>IF('Raw RetailSalesData'!H806="","Unknown",'Raw RetailSalesData'!H806)</f>
        <v>NA</v>
      </c>
      <c r="I806" t="s">
        <v>100</v>
      </c>
      <c r="J806" t="s">
        <v>101</v>
      </c>
      <c r="K806" t="str">
        <f>TRIM('Raw RetailSalesData'!K806)</f>
        <v>Sales Rep 5</v>
      </c>
      <c r="L806" t="s">
        <v>46</v>
      </c>
    </row>
    <row r="807" spans="1:12" x14ac:dyDescent="0.3">
      <c r="A807" t="str">
        <f>IF(COUNTIF('Raw RetailSalesData'!$A:$L,'Raw RetailSalesData'!A807)=1,'Raw RetailSalesData'!A807,"")</f>
        <v>ORD-10880</v>
      </c>
      <c r="B807" t="str">
        <f>IF('Raw RetailSalesData'!B807="","UNKNOWN",'Raw RetailSalesData'!B807)</f>
        <v>2025-09-21</v>
      </c>
      <c r="C807" t="str">
        <f>IF('Raw RetailSalesData'!C807="","UNKNOW",'Raw RetailSalesData'!C807)</f>
        <v>CUST-1193</v>
      </c>
      <c r="D807" t="str">
        <f>IF('Raw RetailSalesData'!D807="","UNKNOW",'Raw RetailSalesData'!D807)</f>
        <v xml:space="preserve"> C304 </v>
      </c>
      <c r="E807" s="5">
        <f>IF('Raw RetailSalesData'!E807="",'Raw RetailSalesData'!F807/'Raw RetailSalesData'!G807,'Raw RetailSalesData'!E807)</f>
        <v>12</v>
      </c>
      <c r="F807" s="7">
        <f>IF('Raw RetailSalesData'!F807="",'Raw RetailSalesData'!G807/'Raw RetailSalesData'!E807,'Raw RetailSalesData'!F807)</f>
        <v>53</v>
      </c>
      <c r="G807" s="7">
        <f t="shared" si="12"/>
        <v>636</v>
      </c>
      <c r="H807" s="5" t="str">
        <f>IF('Raw RetailSalesData'!H807="","Unknown",'Raw RetailSalesData'!H807)</f>
        <v>LATAM</v>
      </c>
      <c r="I807" t="s">
        <v>18</v>
      </c>
      <c r="J807" t="s">
        <v>2197</v>
      </c>
      <c r="K807" t="str">
        <f>TRIM('Raw RetailSalesData'!K807)</f>
        <v>Sales Rep 1</v>
      </c>
      <c r="L807" t="s">
        <v>21</v>
      </c>
    </row>
    <row r="808" spans="1:12" x14ac:dyDescent="0.3">
      <c r="A808" t="str">
        <f>IF(COUNTIF('Raw RetailSalesData'!$A:$L,'Raw RetailSalesData'!A808)=1,'Raw RetailSalesData'!A808,"")</f>
        <v>ORD-10881</v>
      </c>
      <c r="B808" t="str">
        <f>IF('Raw RetailSalesData'!B808="","UNKNOWN",'Raw RetailSalesData'!B808)</f>
        <v>2024-05-28</v>
      </c>
      <c r="C808" t="str">
        <f>IF('Raw RetailSalesData'!C808="","UNKNOW",'Raw RetailSalesData'!C808)</f>
        <v>CUST-1078</v>
      </c>
      <c r="D808" t="str">
        <f>IF('Raw RetailSalesData'!D808="","UNKNOW",'Raw RetailSalesData'!D808)</f>
        <v>P201</v>
      </c>
      <c r="E808" s="5">
        <f>IF('Raw RetailSalesData'!E808="",'Raw RetailSalesData'!F808/'Raw RetailSalesData'!G808,'Raw RetailSalesData'!E808)</f>
        <v>18</v>
      </c>
      <c r="F808" s="7">
        <f>IF('Raw RetailSalesData'!F808="",'Raw RetailSalesData'!G808/'Raw RetailSalesData'!E808,'Raw RetailSalesData'!F808)</f>
        <v>70</v>
      </c>
      <c r="G808" s="7">
        <f t="shared" si="12"/>
        <v>1260</v>
      </c>
      <c r="H808" s="5" t="str">
        <f>IF('Raw RetailSalesData'!H808="","Unknown",'Raw RetailSalesData'!H808)</f>
        <v>EMEA</v>
      </c>
      <c r="I808" t="s">
        <v>225</v>
      </c>
      <c r="J808" t="s">
        <v>226</v>
      </c>
      <c r="K808" t="str">
        <f>TRIM('Raw RetailSalesData'!K808)</f>
        <v>Sales Rep 5</v>
      </c>
      <c r="L808" t="s">
        <v>2190</v>
      </c>
    </row>
    <row r="809" spans="1:12" x14ac:dyDescent="0.3">
      <c r="A809" t="str">
        <f>IF(COUNTIF('Raw RetailSalesData'!$A:$L,'Raw RetailSalesData'!A809)=1,'Raw RetailSalesData'!A809,"")</f>
        <v>ORD-10882</v>
      </c>
      <c r="B809" t="str">
        <f>IF('Raw RetailSalesData'!B809="","UNKNOWN",'Raw RetailSalesData'!B809)</f>
        <v>2022-11-05</v>
      </c>
      <c r="C809" t="str">
        <f>IF('Raw RetailSalesData'!C809="","UNKNOW",'Raw RetailSalesData'!C809)</f>
        <v>CUST-1177</v>
      </c>
      <c r="D809" t="str">
        <f>IF('Raw RetailSalesData'!D809="","UNKNOW",'Raw RetailSalesData'!D809)</f>
        <v>C304</v>
      </c>
      <c r="E809" s="5">
        <f>IF('Raw RetailSalesData'!E809="",'Raw RetailSalesData'!F809/'Raw RetailSalesData'!G809,'Raw RetailSalesData'!E809)</f>
        <v>18</v>
      </c>
      <c r="F809" s="7">
        <f>IF('Raw RetailSalesData'!F809="",'Raw RetailSalesData'!G809/'Raw RetailSalesData'!E809,'Raw RetailSalesData'!F809)</f>
        <v>63</v>
      </c>
      <c r="G809" s="7">
        <f t="shared" si="12"/>
        <v>1134</v>
      </c>
      <c r="H809" s="5" t="str">
        <f>IF('Raw RetailSalesData'!H809="","Unknown",'Raw RetailSalesData'!H809)</f>
        <v>NA</v>
      </c>
      <c r="I809" t="s">
        <v>100</v>
      </c>
      <c r="J809" t="s">
        <v>101</v>
      </c>
      <c r="K809" t="str">
        <f>TRIM('Raw RetailSalesData'!K809)</f>
        <v>Sales Rep 5</v>
      </c>
      <c r="L809" t="s">
        <v>21</v>
      </c>
    </row>
    <row r="810" spans="1:12" x14ac:dyDescent="0.3">
      <c r="A810" t="str">
        <f>IF(COUNTIF('Raw RetailSalesData'!$A:$L,'Raw RetailSalesData'!A810)=1,'Raw RetailSalesData'!A810,"")</f>
        <v>ORD-10883</v>
      </c>
      <c r="B810" t="str">
        <f>IF('Raw RetailSalesData'!B810="","UNKNOWN",'Raw RetailSalesData'!B810)</f>
        <v>2026-07-26</v>
      </c>
      <c r="C810" t="str">
        <f>IF('Raw RetailSalesData'!C810="","UNKNOW",'Raw RetailSalesData'!C810)</f>
        <v xml:space="preserve"> CUST-1037 </v>
      </c>
      <c r="D810" t="str">
        <f>IF('Raw RetailSalesData'!D810="","UNKNOW",'Raw RetailSalesData'!D810)</f>
        <v>P202</v>
      </c>
      <c r="E810" s="5">
        <f>IF('Raw RetailSalesData'!E810="",'Raw RetailSalesData'!F810/'Raw RetailSalesData'!G810,'Raw RetailSalesData'!E810)</f>
        <v>6</v>
      </c>
      <c r="F810" s="7">
        <f>IF('Raw RetailSalesData'!F810="",'Raw RetailSalesData'!G810/'Raw RetailSalesData'!E810,'Raw RetailSalesData'!F810)</f>
        <v>60</v>
      </c>
      <c r="G810" s="7">
        <f t="shared" si="12"/>
        <v>360</v>
      </c>
      <c r="H810" s="5" t="str">
        <f>IF('Raw RetailSalesData'!H810="","Unknown",'Raw RetailSalesData'!H810)</f>
        <v>LATAM</v>
      </c>
      <c r="I810" t="s">
        <v>18</v>
      </c>
      <c r="J810" t="s">
        <v>2197</v>
      </c>
      <c r="K810" t="str">
        <f>TRIM('Raw RetailSalesData'!K810)</f>
        <v>Unknown</v>
      </c>
      <c r="L810" t="s">
        <v>46</v>
      </c>
    </row>
    <row r="811" spans="1:12" x14ac:dyDescent="0.3">
      <c r="A811" t="str">
        <f>IF(COUNTIF('Raw RetailSalesData'!$A:$L,'Raw RetailSalesData'!A811)=1,'Raw RetailSalesData'!A811,"")</f>
        <v>ORD-10884</v>
      </c>
      <c r="B811" t="str">
        <f>IF('Raw RetailSalesData'!B811="","UNKNOWN",'Raw RetailSalesData'!B811)</f>
        <v>2022-02-08</v>
      </c>
      <c r="C811" t="str">
        <f>IF('Raw RetailSalesData'!C811="","UNKNOW",'Raw RetailSalesData'!C811)</f>
        <v>UNKNOW</v>
      </c>
      <c r="D811" t="str">
        <f>IF('Raw RetailSalesData'!D811="","UNKNOW",'Raw RetailSalesData'!D811)</f>
        <v>C302</v>
      </c>
      <c r="E811" s="5">
        <f>IF('Raw RetailSalesData'!E811="",'Raw RetailSalesData'!F811/'Raw RetailSalesData'!G811,'Raw RetailSalesData'!E811)</f>
        <v>18</v>
      </c>
      <c r="F811" s="7">
        <f>IF('Raw RetailSalesData'!F811="",'Raw RetailSalesData'!G811/'Raw RetailSalesData'!E811,'Raw RetailSalesData'!F811)</f>
        <v>45</v>
      </c>
      <c r="G811" s="7">
        <f t="shared" si="12"/>
        <v>810</v>
      </c>
      <c r="H811" s="5" t="str">
        <f>IF('Raw RetailSalesData'!H811="","Unknown",'Raw RetailSalesData'!H811)</f>
        <v>LATAM</v>
      </c>
      <c r="I811" t="s">
        <v>18</v>
      </c>
      <c r="J811" t="s">
        <v>2197</v>
      </c>
      <c r="K811" t="str">
        <f>TRIM('Raw RetailSalesData'!K811)</f>
        <v>Sales Rep 5</v>
      </c>
      <c r="L811" t="s">
        <v>46</v>
      </c>
    </row>
    <row r="812" spans="1:12" x14ac:dyDescent="0.3">
      <c r="A812" t="str">
        <f>IF(COUNTIF('Raw RetailSalesData'!$A:$L,'Raw RetailSalesData'!A812)=1,'Raw RetailSalesData'!A812,"")</f>
        <v>ORD-10885</v>
      </c>
      <c r="B812" t="str">
        <f>IF('Raw RetailSalesData'!B812="","UNKNOWN",'Raw RetailSalesData'!B812)</f>
        <v>2024-04-19</v>
      </c>
      <c r="C812" t="str">
        <f>IF('Raw RetailSalesData'!C812="","UNKNOW",'Raw RetailSalesData'!C812)</f>
        <v>CUST-1073</v>
      </c>
      <c r="D812" t="str">
        <f>IF('Raw RetailSalesData'!D812="","UNKNOW",'Raw RetailSalesData'!D812)</f>
        <v>P102</v>
      </c>
      <c r="E812" s="5">
        <f>IF('Raw RetailSalesData'!E812="",'Raw RetailSalesData'!F812/'Raw RetailSalesData'!G812,'Raw RetailSalesData'!E812)</f>
        <v>19</v>
      </c>
      <c r="F812" s="7">
        <f>IF('Raw RetailSalesData'!F812="",'Raw RetailSalesData'!G812/'Raw RetailSalesData'!E812,'Raw RetailSalesData'!F812)</f>
        <v>75</v>
      </c>
      <c r="G812" s="7">
        <f t="shared" si="12"/>
        <v>1425</v>
      </c>
      <c r="H812" s="5" t="str">
        <f>IF('Raw RetailSalesData'!H812="","Unknown",'Raw RetailSalesData'!H812)</f>
        <v>LATAM</v>
      </c>
      <c r="I812" t="s">
        <v>90</v>
      </c>
      <c r="J812" t="s">
        <v>2198</v>
      </c>
      <c r="K812" t="str">
        <f>TRIM('Raw RetailSalesData'!K812)</f>
        <v>Sales Rep 2</v>
      </c>
      <c r="L812" t="s">
        <v>31</v>
      </c>
    </row>
    <row r="813" spans="1:12" x14ac:dyDescent="0.3">
      <c r="A813" t="str">
        <f>IF(COUNTIF('Raw RetailSalesData'!$A:$L,'Raw RetailSalesData'!A813)=1,'Raw RetailSalesData'!A813,"")</f>
        <v>ORD-10887</v>
      </c>
      <c r="B813" t="str">
        <f>IF('Raw RetailSalesData'!B813="","UNKNOWN",'Raw RetailSalesData'!B813)</f>
        <v>2026-07-16</v>
      </c>
      <c r="C813" t="str">
        <f>IF('Raw RetailSalesData'!C813="","UNKNOW",'Raw RetailSalesData'!C813)</f>
        <v>CUST-1183</v>
      </c>
      <c r="D813" t="str">
        <f>IF('Raw RetailSalesData'!D813="","UNKNOW",'Raw RetailSalesData'!D813)</f>
        <v>P201</v>
      </c>
      <c r="E813" s="5">
        <f>IF('Raw RetailSalesData'!E813="",'Raw RetailSalesData'!F813/'Raw RetailSalesData'!G813,'Raw RetailSalesData'!E813)</f>
        <v>15</v>
      </c>
      <c r="F813" s="7">
        <f>IF('Raw RetailSalesData'!F813="",'Raw RetailSalesData'!G813/'Raw RetailSalesData'!E813,'Raw RetailSalesData'!F813)</f>
        <v>75</v>
      </c>
      <c r="G813" s="7">
        <f t="shared" si="12"/>
        <v>1125</v>
      </c>
      <c r="H813" s="5" t="str">
        <f>IF('Raw RetailSalesData'!H813="","Unknown",'Raw RetailSalesData'!H813)</f>
        <v>NA</v>
      </c>
      <c r="I813" t="s">
        <v>100</v>
      </c>
      <c r="J813" t="s">
        <v>101</v>
      </c>
      <c r="K813" t="str">
        <f>TRIM('Raw RetailSalesData'!K813)</f>
        <v>Sales Rep 1</v>
      </c>
      <c r="L813" t="s">
        <v>46</v>
      </c>
    </row>
    <row r="814" spans="1:12" x14ac:dyDescent="0.3">
      <c r="A814" t="str">
        <f>IF(COUNTIF('Raw RetailSalesData'!$A:$L,'Raw RetailSalesData'!A814)=1,'Raw RetailSalesData'!A814,"")</f>
        <v>ORD-10888</v>
      </c>
      <c r="B814" t="str">
        <f>IF('Raw RetailSalesData'!B814="","UNKNOWN",'Raw RetailSalesData'!B814)</f>
        <v>2023-01-28</v>
      </c>
      <c r="C814" t="str">
        <f>IF('Raw RetailSalesData'!C814="","UNKNOW",'Raw RetailSalesData'!C814)</f>
        <v>CUST-1049</v>
      </c>
      <c r="D814" t="str">
        <f>IF('Raw RetailSalesData'!D814="","UNKNOW",'Raw RetailSalesData'!D814)</f>
        <v>C304</v>
      </c>
      <c r="E814" s="5">
        <f>IF('Raw RetailSalesData'!E814="",'Raw RetailSalesData'!F814/'Raw RetailSalesData'!G814,'Raw RetailSalesData'!E814)</f>
        <v>18</v>
      </c>
      <c r="F814" s="7">
        <f>IF('Raw RetailSalesData'!F814="",'Raw RetailSalesData'!G814/'Raw RetailSalesData'!E814,'Raw RetailSalesData'!F814)</f>
        <v>63</v>
      </c>
      <c r="G814" s="7">
        <f t="shared" si="12"/>
        <v>1134</v>
      </c>
      <c r="H814" s="5" t="str">
        <f>IF('Raw RetailSalesData'!H814="","Unknown",'Raw RetailSalesData'!H814)</f>
        <v>NA</v>
      </c>
      <c r="I814" t="s">
        <v>28</v>
      </c>
      <c r="J814" t="s">
        <v>29</v>
      </c>
      <c r="K814" t="str">
        <f>TRIM('Raw RetailSalesData'!K814)</f>
        <v>Sales Rep 3</v>
      </c>
      <c r="L814" t="s">
        <v>21</v>
      </c>
    </row>
    <row r="815" spans="1:12" x14ac:dyDescent="0.3">
      <c r="A815" t="str">
        <f>IF(COUNTIF('Raw RetailSalesData'!$A:$L,'Raw RetailSalesData'!A815)=1,'Raw RetailSalesData'!A815,"")</f>
        <v>ORD-10889</v>
      </c>
      <c r="B815" t="str">
        <f>IF('Raw RetailSalesData'!B815="","UNKNOWN",'Raw RetailSalesData'!B815)</f>
        <v>2023-01-27</v>
      </c>
      <c r="C815" t="str">
        <f>IF('Raw RetailSalesData'!C815="","UNKNOW",'Raw RetailSalesData'!C815)</f>
        <v>CUST-1091</v>
      </c>
      <c r="D815" t="str">
        <f>IF('Raw RetailSalesData'!D815="","UNKNOW",'Raw RetailSalesData'!D815)</f>
        <v>C301</v>
      </c>
      <c r="E815" s="5">
        <f>IF('Raw RetailSalesData'!E815="",'Raw RetailSalesData'!F815/'Raw RetailSalesData'!G815,'Raw RetailSalesData'!E815)</f>
        <v>20</v>
      </c>
      <c r="F815" s="7">
        <f>IF('Raw RetailSalesData'!F815="",'Raw RetailSalesData'!G815/'Raw RetailSalesData'!E815,'Raw RetailSalesData'!F815)</f>
        <v>60</v>
      </c>
      <c r="G815" s="7">
        <f t="shared" si="12"/>
        <v>1200</v>
      </c>
      <c r="H815" s="5" t="str">
        <f>IF('Raw RetailSalesData'!H815="","Unknown",'Raw RetailSalesData'!H815)</f>
        <v>Unknown</v>
      </c>
      <c r="I815" t="s">
        <v>100</v>
      </c>
      <c r="J815" t="s">
        <v>101</v>
      </c>
      <c r="K815" t="str">
        <f>TRIM('Raw RetailSalesData'!K815)</f>
        <v>Sales Rep 4</v>
      </c>
      <c r="L815" t="s">
        <v>46</v>
      </c>
    </row>
    <row r="816" spans="1:12" x14ac:dyDescent="0.3">
      <c r="A816" t="str">
        <f>IF(COUNTIF('Raw RetailSalesData'!$A:$L,'Raw RetailSalesData'!A816)=1,'Raw RetailSalesData'!A816,"")</f>
        <v>ORD-10890</v>
      </c>
      <c r="B816" t="str">
        <f>IF('Raw RetailSalesData'!B816="","UNKNOWN",'Raw RetailSalesData'!B816)</f>
        <v>2026-09-05</v>
      </c>
      <c r="C816" t="str">
        <f>IF('Raw RetailSalesData'!C816="","UNKNOW",'Raw RetailSalesData'!C816)</f>
        <v>CUST-1085</v>
      </c>
      <c r="D816" t="str">
        <f>IF('Raw RetailSalesData'!D816="","UNKNOW",'Raw RetailSalesData'!D816)</f>
        <v>C304</v>
      </c>
      <c r="E816" s="5">
        <f>IF('Raw RetailSalesData'!E816="",'Raw RetailSalesData'!F816/'Raw RetailSalesData'!G816,'Raw RetailSalesData'!E816)</f>
        <v>15</v>
      </c>
      <c r="F816" s="7">
        <f>IF('Raw RetailSalesData'!F816="",'Raw RetailSalesData'!G816/'Raw RetailSalesData'!E816,'Raw RetailSalesData'!F816)</f>
        <v>58</v>
      </c>
      <c r="G816" s="7">
        <f t="shared" si="12"/>
        <v>870</v>
      </c>
      <c r="H816" s="5" t="str">
        <f>IF('Raw RetailSalesData'!H816="","Unknown",'Raw RetailSalesData'!H816)</f>
        <v>EMEA</v>
      </c>
      <c r="I816" t="s">
        <v>83</v>
      </c>
      <c r="J816" t="s">
        <v>84</v>
      </c>
      <c r="K816" t="str">
        <f>TRIM('Raw RetailSalesData'!K816)</f>
        <v>John Smith</v>
      </c>
      <c r="L816" t="s">
        <v>31</v>
      </c>
    </row>
    <row r="817" spans="1:12" x14ac:dyDescent="0.3">
      <c r="A817" t="str">
        <f>IF(COUNTIF('Raw RetailSalesData'!$A:$L,'Raw RetailSalesData'!A817)=1,'Raw RetailSalesData'!A817,"")</f>
        <v>ORD-10891</v>
      </c>
      <c r="B817" t="str">
        <f>IF('Raw RetailSalesData'!B817="","UNKNOWN",'Raw RetailSalesData'!B817)</f>
        <v>2023-06-21</v>
      </c>
      <c r="C817" t="str">
        <f>IF('Raw RetailSalesData'!C817="","UNKNOW",'Raw RetailSalesData'!C817)</f>
        <v>CUST-1135</v>
      </c>
      <c r="D817" t="str">
        <f>IF('Raw RetailSalesData'!D817="","UNKNOW",'Raw RetailSalesData'!D817)</f>
        <v>C301</v>
      </c>
      <c r="E817" s="5">
        <f>IF('Raw RetailSalesData'!E817="",'Raw RetailSalesData'!F817/'Raw RetailSalesData'!G817,'Raw RetailSalesData'!E817)</f>
        <v>16</v>
      </c>
      <c r="F817" s="7">
        <f>IF('Raw RetailSalesData'!F817="",'Raw RetailSalesData'!G817/'Raw RetailSalesData'!E817,'Raw RetailSalesData'!F817)</f>
        <v>55</v>
      </c>
      <c r="G817" s="7">
        <f t="shared" si="12"/>
        <v>880</v>
      </c>
      <c r="H817" s="5" t="str">
        <f>IF('Raw RetailSalesData'!H817="","Unknown",'Raw RetailSalesData'!H817)</f>
        <v>EMEA</v>
      </c>
      <c r="I817" t="s">
        <v>38</v>
      </c>
      <c r="J817" t="s">
        <v>2190</v>
      </c>
      <c r="K817" t="str">
        <f>TRIM('Raw RetailSalesData'!K817)</f>
        <v>Sales Rep 4</v>
      </c>
      <c r="L817" t="s">
        <v>21</v>
      </c>
    </row>
    <row r="818" spans="1:12" x14ac:dyDescent="0.3">
      <c r="A818" t="str">
        <f>IF(COUNTIF('Raw RetailSalesData'!$A:$L,'Raw RetailSalesData'!A818)=1,'Raw RetailSalesData'!A818,"")</f>
        <v>ORD-10892</v>
      </c>
      <c r="B818" t="str">
        <f>IF('Raw RetailSalesData'!B818="","UNKNOWN",'Raw RetailSalesData'!B818)</f>
        <v>2024-09-02</v>
      </c>
      <c r="C818" t="str">
        <f>IF('Raw RetailSalesData'!C818="","UNKNOW",'Raw RetailSalesData'!C818)</f>
        <v>CUST-1057</v>
      </c>
      <c r="D818" t="str">
        <f>IF('Raw RetailSalesData'!D818="","UNKNOW",'Raw RetailSalesData'!D818)</f>
        <v>C303</v>
      </c>
      <c r="E818" s="5">
        <f>IF('Raw RetailSalesData'!E818="",'Raw RetailSalesData'!F818/'Raw RetailSalesData'!G818,'Raw RetailSalesData'!E818)</f>
        <v>1</v>
      </c>
      <c r="F818" s="7">
        <f>IF('Raw RetailSalesData'!F818="",'Raw RetailSalesData'!G818/'Raw RetailSalesData'!E818,'Raw RetailSalesData'!F818)</f>
        <v>55</v>
      </c>
      <c r="G818" s="7">
        <f t="shared" si="12"/>
        <v>55</v>
      </c>
      <c r="H818" s="5" t="str">
        <f>IF('Raw RetailSalesData'!H818="","Unknown",'Raw RetailSalesData'!H818)</f>
        <v>LATAM</v>
      </c>
      <c r="I818" t="s">
        <v>18</v>
      </c>
      <c r="J818" t="s">
        <v>2197</v>
      </c>
      <c r="K818" t="str">
        <f>TRIM('Raw RetailSalesData'!K818)</f>
        <v>Sales Rep 2</v>
      </c>
      <c r="L818" t="s">
        <v>46</v>
      </c>
    </row>
    <row r="819" spans="1:12" x14ac:dyDescent="0.3">
      <c r="A819" t="str">
        <f>IF(COUNTIF('Raw RetailSalesData'!$A:$L,'Raw RetailSalesData'!A819)=1,'Raw RetailSalesData'!A819,"")</f>
        <v>ORD-10893</v>
      </c>
      <c r="B819" t="str">
        <f>IF('Raw RetailSalesData'!B819="","UNKNOWN",'Raw RetailSalesData'!B819)</f>
        <v>2024-04-26</v>
      </c>
      <c r="C819" t="str">
        <f>IF('Raw RetailSalesData'!C819="","UNKNOW",'Raw RetailSalesData'!C819)</f>
        <v>CUST-1142</v>
      </c>
      <c r="D819" t="str">
        <f>IF('Raw RetailSalesData'!D819="","UNKNOW",'Raw RetailSalesData'!D819)</f>
        <v>P102</v>
      </c>
      <c r="E819" s="5">
        <f>IF('Raw RetailSalesData'!E819="",'Raw RetailSalesData'!F819/'Raw RetailSalesData'!G819,'Raw RetailSalesData'!E819)</f>
        <v>11</v>
      </c>
      <c r="F819" s="7">
        <f>IF('Raw RetailSalesData'!F819="",'Raw RetailSalesData'!G819/'Raw RetailSalesData'!E819,'Raw RetailSalesData'!F819)</f>
        <v>80</v>
      </c>
      <c r="G819" s="7">
        <f t="shared" si="12"/>
        <v>880</v>
      </c>
      <c r="H819" s="5" t="str">
        <f>IF('Raw RetailSalesData'!H819="","Unknown",'Raw RetailSalesData'!H819)</f>
        <v>APAC</v>
      </c>
      <c r="I819" t="s">
        <v>71</v>
      </c>
      <c r="J819" t="s">
        <v>72</v>
      </c>
      <c r="K819" t="str">
        <f>TRIM('Raw RetailSalesData'!K819)</f>
        <v>Hiroshi Tanaka</v>
      </c>
      <c r="L819" t="s">
        <v>31</v>
      </c>
    </row>
    <row r="820" spans="1:12" x14ac:dyDescent="0.3">
      <c r="A820" t="str">
        <f>IF(COUNTIF('Raw RetailSalesData'!$A:$L,'Raw RetailSalesData'!A820)=1,'Raw RetailSalesData'!A820,"")</f>
        <v>ORD-10894</v>
      </c>
      <c r="B820" t="str">
        <f>IF('Raw RetailSalesData'!B820="","UNKNOWN",'Raw RetailSalesData'!B820)</f>
        <v>2022-11-12</v>
      </c>
      <c r="C820" t="str">
        <f>IF('Raw RetailSalesData'!C820="","UNKNOW",'Raw RetailSalesData'!C820)</f>
        <v>CUST-1147</v>
      </c>
      <c r="D820" t="str">
        <f>IF('Raw RetailSalesData'!D820="","UNKNOW",'Raw RetailSalesData'!D820)</f>
        <v>C303</v>
      </c>
      <c r="E820" s="5">
        <f>IF('Raw RetailSalesData'!E820="",'Raw RetailSalesData'!F820/'Raw RetailSalesData'!G820,'Raw RetailSalesData'!E820)</f>
        <v>17</v>
      </c>
      <c r="F820" s="7">
        <f>IF('Raw RetailSalesData'!F820="",'Raw RetailSalesData'!G820/'Raw RetailSalesData'!E820,'Raw RetailSalesData'!F820)</f>
        <v>60</v>
      </c>
      <c r="G820" s="7">
        <f t="shared" si="12"/>
        <v>1020</v>
      </c>
      <c r="H820" s="5" t="str">
        <f>IF('Raw RetailSalesData'!H820="","Unknown",'Raw RetailSalesData'!H820)</f>
        <v>APAC</v>
      </c>
      <c r="I820" t="s">
        <v>71</v>
      </c>
      <c r="J820" t="s">
        <v>72</v>
      </c>
      <c r="K820" t="str">
        <f>TRIM('Raw RetailSalesData'!K820)</f>
        <v>Hiroshi Tanaka</v>
      </c>
      <c r="L820" t="s">
        <v>21</v>
      </c>
    </row>
    <row r="821" spans="1:12" x14ac:dyDescent="0.3">
      <c r="A821" t="str">
        <f>IF(COUNTIF('Raw RetailSalesData'!$A:$L,'Raw RetailSalesData'!A821)=1,'Raw RetailSalesData'!A821,"")</f>
        <v>ORD-10895</v>
      </c>
      <c r="B821" t="str">
        <f>IF('Raw RetailSalesData'!B821="","UNKNOWN",'Raw RetailSalesData'!B821)</f>
        <v>2022-11-12</v>
      </c>
      <c r="C821" t="str">
        <f>IF('Raw RetailSalesData'!C821="","UNKNOW",'Raw RetailSalesData'!C821)</f>
        <v>CUST-1147</v>
      </c>
      <c r="D821" t="str">
        <f>IF('Raw RetailSalesData'!D821="","UNKNOW",'Raw RetailSalesData'!D821)</f>
        <v>C303</v>
      </c>
      <c r="E821" s="5">
        <f>IF('Raw RetailSalesData'!E821="",'Raw RetailSalesData'!F821/'Raw RetailSalesData'!G821,'Raw RetailSalesData'!E821)</f>
        <v>17</v>
      </c>
      <c r="F821" s="7">
        <f>IF('Raw RetailSalesData'!F821="",'Raw RetailSalesData'!G821/'Raw RetailSalesData'!E821,'Raw RetailSalesData'!F821)</f>
        <v>60</v>
      </c>
      <c r="G821" s="7">
        <f t="shared" si="12"/>
        <v>1020</v>
      </c>
      <c r="H821" s="5" t="str">
        <f>IF('Raw RetailSalesData'!H821="","Unknown",'Raw RetailSalesData'!H821)</f>
        <v>APAC</v>
      </c>
      <c r="I821" t="s">
        <v>71</v>
      </c>
      <c r="J821" t="s">
        <v>72</v>
      </c>
      <c r="K821" t="str">
        <f>TRIM('Raw RetailSalesData'!K821)</f>
        <v>Hiroshi Tanaka</v>
      </c>
      <c r="L821" t="s">
        <v>21</v>
      </c>
    </row>
    <row r="822" spans="1:12" x14ac:dyDescent="0.3">
      <c r="A822" t="str">
        <f>IF(COUNTIF('Raw RetailSalesData'!$A:$L,'Raw RetailSalesData'!A822)=1,'Raw RetailSalesData'!A822,"")</f>
        <v>ORD-10896</v>
      </c>
      <c r="B822" t="str">
        <f>IF('Raw RetailSalesData'!B822="","UNKNOWN",'Raw RetailSalesData'!B822)</f>
        <v>2025-01-19</v>
      </c>
      <c r="C822" t="str">
        <f>IF('Raw RetailSalesData'!C822="","UNKNOW",'Raw RetailSalesData'!C822)</f>
        <v>CUST-1066</v>
      </c>
      <c r="D822" t="str">
        <f>IF('Raw RetailSalesData'!D822="","UNKNOW",'Raw RetailSalesData'!D822)</f>
        <v>P101</v>
      </c>
      <c r="E822" s="5">
        <f>IF('Raw RetailSalesData'!E822="",'Raw RetailSalesData'!F822/'Raw RetailSalesData'!G822,'Raw RetailSalesData'!E822)</f>
        <v>18</v>
      </c>
      <c r="F822" s="7">
        <f>IF('Raw RetailSalesData'!F822="",'Raw RetailSalesData'!G822/'Raw RetailSalesData'!E822,'Raw RetailSalesData'!F822)</f>
        <v>90</v>
      </c>
      <c r="G822" s="7">
        <f t="shared" si="12"/>
        <v>1620</v>
      </c>
      <c r="H822" s="5" t="str">
        <f>IF('Raw RetailSalesData'!H822="","Unknown",'Raw RetailSalesData'!H822)</f>
        <v>NA</v>
      </c>
      <c r="I822" t="s">
        <v>100</v>
      </c>
      <c r="J822" t="s">
        <v>101</v>
      </c>
      <c r="K822" t="str">
        <f>TRIM('Raw RetailSalesData'!K822)</f>
        <v>#N/A</v>
      </c>
      <c r="L822" t="s">
        <v>31</v>
      </c>
    </row>
    <row r="823" spans="1:12" x14ac:dyDescent="0.3">
      <c r="A823" t="str">
        <f>IF(COUNTIF('Raw RetailSalesData'!$A:$L,'Raw RetailSalesData'!A823)=1,'Raw RetailSalesData'!A823,"")</f>
        <v>ORD-10897</v>
      </c>
      <c r="B823" t="str">
        <f>IF('Raw RetailSalesData'!B823="","UNKNOWN",'Raw RetailSalesData'!B823)</f>
        <v>2023-10-09</v>
      </c>
      <c r="C823" t="str">
        <f>IF('Raw RetailSalesData'!C823="","UNKNOW",'Raw RetailSalesData'!C823)</f>
        <v>CUST-1043</v>
      </c>
      <c r="D823" t="str">
        <f>IF('Raw RetailSalesData'!D823="","UNKNOW",'Raw RetailSalesData'!D823)</f>
        <v>P102</v>
      </c>
      <c r="E823" s="5">
        <f>IF('Raw RetailSalesData'!E823="",'Raw RetailSalesData'!F823/'Raw RetailSalesData'!G823,'Raw RetailSalesData'!E823)</f>
        <v>16</v>
      </c>
      <c r="F823" s="7">
        <f>IF('Raw RetailSalesData'!F823="",'Raw RetailSalesData'!G823/'Raw RetailSalesData'!E823,'Raw RetailSalesData'!F823)</f>
        <v>80</v>
      </c>
      <c r="G823" s="7">
        <f t="shared" si="12"/>
        <v>1280</v>
      </c>
      <c r="H823" s="5" t="str">
        <f>IF('Raw RetailSalesData'!H823="","Unknown",'Raw RetailSalesData'!H823)</f>
        <v>APAC</v>
      </c>
      <c r="I823" t="s">
        <v>183</v>
      </c>
      <c r="J823" t="s">
        <v>184</v>
      </c>
      <c r="K823" t="str">
        <f>TRIM('Raw RetailSalesData'!K823)</f>
        <v>Sales Rep 3</v>
      </c>
      <c r="L823" t="s">
        <v>2190</v>
      </c>
    </row>
    <row r="824" spans="1:12" x14ac:dyDescent="0.3">
      <c r="A824" t="str">
        <f>IF(COUNTIF('Raw RetailSalesData'!$A:$L,'Raw RetailSalesData'!A824)=1,'Raw RetailSalesData'!A824,"")</f>
        <v>ORD-10898</v>
      </c>
      <c r="B824" t="str">
        <f>IF('Raw RetailSalesData'!B824="","UNKNOWN",'Raw RetailSalesData'!B824)</f>
        <v>2023-12-09</v>
      </c>
      <c r="C824" t="str">
        <f>IF('Raw RetailSalesData'!C824="","UNKNOW",'Raw RetailSalesData'!C824)</f>
        <v>CUST-1019</v>
      </c>
      <c r="D824" t="str">
        <f>IF('Raw RetailSalesData'!D824="","UNKNOW",'Raw RetailSalesData'!D824)</f>
        <v>C304</v>
      </c>
      <c r="E824" s="5">
        <f>IF('Raw RetailSalesData'!E824="",'Raw RetailSalesData'!F824/'Raw RetailSalesData'!G824,'Raw RetailSalesData'!E824)</f>
        <v>20</v>
      </c>
      <c r="F824" s="7">
        <f>IF('Raw RetailSalesData'!F824="",'Raw RetailSalesData'!G824/'Raw RetailSalesData'!E824,'Raw RetailSalesData'!F824)</f>
        <v>58</v>
      </c>
      <c r="G824" s="7">
        <f t="shared" si="12"/>
        <v>1160</v>
      </c>
      <c r="H824" s="5" t="str">
        <f>IF('Raw RetailSalesData'!H824="","Unknown",'Raw RetailSalesData'!H824)</f>
        <v>APAC</v>
      </c>
      <c r="I824" t="s">
        <v>183</v>
      </c>
      <c r="J824" t="s">
        <v>184</v>
      </c>
      <c r="K824" t="str">
        <f>TRIM('Raw RetailSalesData'!K824)</f>
        <v>Sales Rep 1</v>
      </c>
      <c r="L824" t="s">
        <v>46</v>
      </c>
    </row>
    <row r="825" spans="1:12" x14ac:dyDescent="0.3">
      <c r="A825" t="str">
        <f>IF(COUNTIF('Raw RetailSalesData'!$A:$L,'Raw RetailSalesData'!A825)=1,'Raw RetailSalesData'!A825,"")</f>
        <v>ORD-10899</v>
      </c>
      <c r="B825" t="str">
        <f>IF('Raw RetailSalesData'!B825="","UNKNOWN",'Raw RetailSalesData'!B825)</f>
        <v>2023-10-19</v>
      </c>
      <c r="C825" t="str">
        <f>IF('Raw RetailSalesData'!C825="","UNKNOW",'Raw RetailSalesData'!C825)</f>
        <v>CUST-1173</v>
      </c>
      <c r="D825" t="str">
        <f>IF('Raw RetailSalesData'!D825="","UNKNOW",'Raw RetailSalesData'!D825)</f>
        <v>C302</v>
      </c>
      <c r="E825" s="5">
        <f>IF('Raw RetailSalesData'!E825="",'Raw RetailSalesData'!F825/'Raw RetailSalesData'!G825,'Raw RetailSalesData'!E825)</f>
        <v>20</v>
      </c>
      <c r="F825" s="7">
        <f>IF('Raw RetailSalesData'!F825="",'Raw RetailSalesData'!G825/'Raw RetailSalesData'!E825,'Raw RetailSalesData'!F825)</f>
        <v>50</v>
      </c>
      <c r="G825" s="7">
        <f t="shared" si="12"/>
        <v>1000</v>
      </c>
      <c r="H825" s="5" t="str">
        <f>IF('Raw RetailSalesData'!H825="","Unknown",'Raw RetailSalesData'!H825)</f>
        <v>APAC</v>
      </c>
      <c r="I825" t="s">
        <v>151</v>
      </c>
      <c r="J825" t="s">
        <v>152</v>
      </c>
      <c r="K825" t="str">
        <f>TRIM('Raw RetailSalesData'!K825)</f>
        <v>#N/A</v>
      </c>
      <c r="L825" t="s">
        <v>31</v>
      </c>
    </row>
    <row r="826" spans="1:12" x14ac:dyDescent="0.3">
      <c r="A826" t="str">
        <f>IF(COUNTIF('Raw RetailSalesData'!$A:$L,'Raw RetailSalesData'!A826)=1,'Raw RetailSalesData'!A826,"")</f>
        <v>ORD-10900</v>
      </c>
      <c r="B826" t="str">
        <f>IF('Raw RetailSalesData'!B826="","UNKNOWN",'Raw RetailSalesData'!B826)</f>
        <v>2024-04-12</v>
      </c>
      <c r="C826" t="str">
        <f>IF('Raw RetailSalesData'!C826="","UNKNOW",'Raw RetailSalesData'!C826)</f>
        <v>CUST-1093</v>
      </c>
      <c r="D826" t="str">
        <f>IF('Raw RetailSalesData'!D826="","UNKNOW",'Raw RetailSalesData'!D826)</f>
        <v>P103</v>
      </c>
      <c r="E826" s="5">
        <f>IF('Raw RetailSalesData'!E826="",'Raw RetailSalesData'!F826/'Raw RetailSalesData'!G826,'Raw RetailSalesData'!E826)</f>
        <v>3</v>
      </c>
      <c r="F826" s="7">
        <f>IF('Raw RetailSalesData'!F826="",'Raw RetailSalesData'!G826/'Raw RetailSalesData'!E826,'Raw RetailSalesData'!F826)</f>
        <v>100</v>
      </c>
      <c r="G826" s="7">
        <f t="shared" si="12"/>
        <v>300</v>
      </c>
      <c r="H826" s="5" t="str">
        <f>IF('Raw RetailSalesData'!H826="","Unknown",'Raw RetailSalesData'!H826)</f>
        <v>NA</v>
      </c>
      <c r="I826" t="s">
        <v>100</v>
      </c>
      <c r="J826" t="s">
        <v>101</v>
      </c>
      <c r="K826" t="str">
        <f>TRIM('Raw RetailSalesData'!K826)</f>
        <v>Sales Rep 4</v>
      </c>
      <c r="L826" t="s">
        <v>46</v>
      </c>
    </row>
    <row r="827" spans="1:12" x14ac:dyDescent="0.3">
      <c r="A827" t="str">
        <f>IF(COUNTIF('Raw RetailSalesData'!$A:$L,'Raw RetailSalesData'!A827)=1,'Raw RetailSalesData'!A827,"")</f>
        <v>ORD-10901</v>
      </c>
      <c r="B827" t="str">
        <f>IF('Raw RetailSalesData'!B827="","UNKNOWN",'Raw RetailSalesData'!B827)</f>
        <v>2024-09-06</v>
      </c>
      <c r="C827" t="str">
        <f>IF('Raw RetailSalesData'!C827="","UNKNOW",'Raw RetailSalesData'!C827)</f>
        <v>CUST-1106</v>
      </c>
      <c r="D827" t="str">
        <f>IF('Raw RetailSalesData'!D827="","UNKNOW",'Raw RetailSalesData'!D827)</f>
        <v>P203</v>
      </c>
      <c r="E827" s="5">
        <f>IF('Raw RetailSalesData'!E827="",'Raw RetailSalesData'!F827/'Raw RetailSalesData'!G827,'Raw RetailSalesData'!E827)</f>
        <v>18</v>
      </c>
      <c r="F827" s="7">
        <f>IF('Raw RetailSalesData'!F827="",'Raw RetailSalesData'!G827/'Raw RetailSalesData'!E827,'Raw RetailSalesData'!F827)</f>
        <v>68</v>
      </c>
      <c r="G827" s="7">
        <f t="shared" si="12"/>
        <v>1224</v>
      </c>
      <c r="H827" s="5" t="str">
        <f>IF('Raw RetailSalesData'!H827="","Unknown",'Raw RetailSalesData'!H827)</f>
        <v>APAC</v>
      </c>
      <c r="I827" t="s">
        <v>151</v>
      </c>
      <c r="J827" t="s">
        <v>188</v>
      </c>
      <c r="K827" t="str">
        <f>TRIM('Raw RetailSalesData'!K827)</f>
        <v>Sales Rep 1</v>
      </c>
      <c r="L827" t="s">
        <v>31</v>
      </c>
    </row>
    <row r="828" spans="1:12" x14ac:dyDescent="0.3">
      <c r="A828" t="str">
        <f>IF(COUNTIF('Raw RetailSalesData'!$A:$L,'Raw RetailSalesData'!A828)=1,'Raw RetailSalesData'!A828,"")</f>
        <v>ORD-10903</v>
      </c>
      <c r="B828" t="str">
        <f>IF('Raw RetailSalesData'!B828="","UNKNOWN",'Raw RetailSalesData'!B828)</f>
        <v>2023-07-17</v>
      </c>
      <c r="C828" t="str">
        <f>IF('Raw RetailSalesData'!C828="","UNKNOW",'Raw RetailSalesData'!C828)</f>
        <v>CUST-1053</v>
      </c>
      <c r="D828" t="str">
        <f>IF('Raw RetailSalesData'!D828="","UNKNOW",'Raw RetailSalesData'!D828)</f>
        <v>P203</v>
      </c>
      <c r="E828" s="5">
        <f>IF('Raw RetailSalesData'!E828="",'Raw RetailSalesData'!F828/'Raw RetailSalesData'!G828,'Raw RetailSalesData'!E828)</f>
        <v>10</v>
      </c>
      <c r="F828" s="7">
        <f>IF('Raw RetailSalesData'!F828="",'Raw RetailSalesData'!G828/'Raw RetailSalesData'!E828,'Raw RetailSalesData'!F828)</f>
        <v>68</v>
      </c>
      <c r="G828" s="7">
        <f t="shared" si="12"/>
        <v>680</v>
      </c>
      <c r="H828" s="5" t="str">
        <f>IF('Raw RetailSalesData'!H828="","Unknown",'Raw RetailSalesData'!H828)</f>
        <v>EMEA</v>
      </c>
      <c r="I828" t="s">
        <v>38</v>
      </c>
      <c r="J828" t="s">
        <v>39</v>
      </c>
      <c r="K828" t="str">
        <f>TRIM('Raw RetailSalesData'!K828)</f>
        <v>Sales Rep 2</v>
      </c>
      <c r="L828" t="s">
        <v>46</v>
      </c>
    </row>
    <row r="829" spans="1:12" x14ac:dyDescent="0.3">
      <c r="A829" t="str">
        <f>IF(COUNTIF('Raw RetailSalesData'!$A:$L,'Raw RetailSalesData'!A829)=1,'Raw RetailSalesData'!A829,"")</f>
        <v>ORD-10904</v>
      </c>
      <c r="B829" t="str">
        <f>IF('Raw RetailSalesData'!B829="","UNKNOWN",'Raw RetailSalesData'!B829)</f>
        <v>2022-03-18</v>
      </c>
      <c r="C829" t="str">
        <f>IF('Raw RetailSalesData'!C829="","UNKNOW",'Raw RetailSalesData'!C829)</f>
        <v>CUST-1063</v>
      </c>
      <c r="D829" t="str">
        <f>IF('Raw RetailSalesData'!D829="","UNKNOW",'Raw RetailSalesData'!D829)</f>
        <v>P202</v>
      </c>
      <c r="E829" s="5">
        <f>IF('Raw RetailSalesData'!E829="",'Raw RetailSalesData'!F829/'Raw RetailSalesData'!G829,'Raw RetailSalesData'!E829)</f>
        <v>4</v>
      </c>
      <c r="F829" s="7">
        <f>IF('Raw RetailSalesData'!F829="",'Raw RetailSalesData'!G829/'Raw RetailSalesData'!E829,'Raw RetailSalesData'!F829)</f>
        <v>65</v>
      </c>
      <c r="G829" s="7">
        <f t="shared" si="12"/>
        <v>260</v>
      </c>
      <c r="H829" s="5" t="str">
        <f>IF('Raw RetailSalesData'!H829="","Unknown",'Raw RetailSalesData'!H829)</f>
        <v>APAC</v>
      </c>
      <c r="I829" t="s">
        <v>183</v>
      </c>
      <c r="J829" t="s">
        <v>184</v>
      </c>
      <c r="K829" t="str">
        <f>TRIM('Raw RetailSalesData'!K829)</f>
        <v>Sales Rep 1</v>
      </c>
      <c r="L829" t="s">
        <v>46</v>
      </c>
    </row>
    <row r="830" spans="1:12" x14ac:dyDescent="0.3">
      <c r="A830" t="str">
        <f>IF(COUNTIF('Raw RetailSalesData'!$A:$L,'Raw RetailSalesData'!A830)=1,'Raw RetailSalesData'!A830,"")</f>
        <v>ORD-10905</v>
      </c>
      <c r="B830" t="str">
        <f>IF('Raw RetailSalesData'!B830="","UNKNOWN",'Raw RetailSalesData'!B830)</f>
        <v>2025-07-04</v>
      </c>
      <c r="C830" t="str">
        <f>IF('Raw RetailSalesData'!C830="","UNKNOW",'Raw RetailSalesData'!C830)</f>
        <v>CUST-1165</v>
      </c>
      <c r="D830" t="str">
        <f>IF('Raw RetailSalesData'!D830="","UNKNOW",'Raw RetailSalesData'!D830)</f>
        <v>C303</v>
      </c>
      <c r="E830" s="5">
        <f>IF('Raw RetailSalesData'!E830="",'Raw RetailSalesData'!F830/'Raw RetailSalesData'!G830,'Raw RetailSalesData'!E830)</f>
        <v>6</v>
      </c>
      <c r="F830" s="7">
        <f>IF('Raw RetailSalesData'!F830="",'Raw RetailSalesData'!G830/'Raw RetailSalesData'!E830,'Raw RetailSalesData'!F830)</f>
        <v>60</v>
      </c>
      <c r="G830" s="7">
        <f t="shared" si="12"/>
        <v>360</v>
      </c>
      <c r="H830" s="5" t="str">
        <f>IF('Raw RetailSalesData'!H830="","Unknown",'Raw RetailSalesData'!H830)</f>
        <v>EMEA</v>
      </c>
      <c r="I830" t="s">
        <v>83</v>
      </c>
      <c r="J830" t="s">
        <v>84</v>
      </c>
      <c r="K830" t="str">
        <f>TRIM('Raw RetailSalesData'!K830)</f>
        <v>John Smith</v>
      </c>
      <c r="L830" t="s">
        <v>21</v>
      </c>
    </row>
    <row r="831" spans="1:12" x14ac:dyDescent="0.3">
      <c r="A831" t="str">
        <f>IF(COUNTIF('Raw RetailSalesData'!$A:$L,'Raw RetailSalesData'!A831)=1,'Raw RetailSalesData'!A831,"")</f>
        <v>ORD-10906</v>
      </c>
      <c r="B831" t="str">
        <f>IF('Raw RetailSalesData'!B831="","UNKNOWN",'Raw RetailSalesData'!B831)</f>
        <v>2024-07-13</v>
      </c>
      <c r="C831" t="str">
        <f>IF('Raw RetailSalesData'!C831="","UNKNOW",'Raw RetailSalesData'!C831)</f>
        <v>CUST-1045</v>
      </c>
      <c r="D831" t="str">
        <f>IF('Raw RetailSalesData'!D831="","UNKNOW",'Raw RetailSalesData'!D831)</f>
        <v>P201</v>
      </c>
      <c r="E831" s="5">
        <f>IF('Raw RetailSalesData'!E831="",'Raw RetailSalesData'!F831/'Raw RetailSalesData'!G831,'Raw RetailSalesData'!E831)</f>
        <v>14</v>
      </c>
      <c r="F831" s="7">
        <f>IF('Raw RetailSalesData'!F831="",'Raw RetailSalesData'!G831/'Raw RetailSalesData'!E831,'Raw RetailSalesData'!F831)</f>
        <v>75</v>
      </c>
      <c r="G831" s="7">
        <f t="shared" si="12"/>
        <v>1050</v>
      </c>
      <c r="H831" s="5" t="str">
        <f>IF('Raw RetailSalesData'!H831="","Unknown",'Raw RetailSalesData'!H831)</f>
        <v>NA</v>
      </c>
      <c r="I831" t="s">
        <v>28</v>
      </c>
      <c r="J831" t="s">
        <v>2196</v>
      </c>
      <c r="K831" t="str">
        <f>TRIM('Raw RetailSalesData'!K831)</f>
        <v>Michael Johnson</v>
      </c>
      <c r="L831" t="s">
        <v>21</v>
      </c>
    </row>
    <row r="832" spans="1:12" x14ac:dyDescent="0.3">
      <c r="A832" t="str">
        <f>IF(COUNTIF('Raw RetailSalesData'!$A:$L,'Raw RetailSalesData'!A832)=1,'Raw RetailSalesData'!A832,"")</f>
        <v>ORD-10907</v>
      </c>
      <c r="B832" t="str">
        <f>IF('Raw RetailSalesData'!B832="","UNKNOWN",'Raw RetailSalesData'!B832)</f>
        <v>2023-05-20</v>
      </c>
      <c r="C832" t="str">
        <f>IF('Raw RetailSalesData'!C832="","UNKNOW",'Raw RetailSalesData'!C832)</f>
        <v>CUST-1046</v>
      </c>
      <c r="D832" t="str">
        <f>IF('Raw RetailSalesData'!D832="","UNKNOW",'Raw RetailSalesData'!D832)</f>
        <v>P103</v>
      </c>
      <c r="E832" s="5">
        <f>IF('Raw RetailSalesData'!E832="",'Raw RetailSalesData'!F832/'Raw RetailSalesData'!G832,'Raw RetailSalesData'!E832)</f>
        <v>9</v>
      </c>
      <c r="F832" s="7">
        <f>IF('Raw RetailSalesData'!F832="",'Raw RetailSalesData'!G832/'Raw RetailSalesData'!E832,'Raw RetailSalesData'!F832)</f>
        <v>95</v>
      </c>
      <c r="G832" s="7">
        <f t="shared" si="12"/>
        <v>855</v>
      </c>
      <c r="H832" s="5" t="str">
        <f>IF('Raw RetailSalesData'!H832="","Unknown",'Raw RetailSalesData'!H832)</f>
        <v>EMEA</v>
      </c>
      <c r="I832" t="s">
        <v>225</v>
      </c>
      <c r="J832" t="s">
        <v>226</v>
      </c>
      <c r="K832" t="str">
        <f>TRIM('Raw RetailSalesData'!K832)</f>
        <v>Sales Rep 2</v>
      </c>
      <c r="L832" t="s">
        <v>31</v>
      </c>
    </row>
    <row r="833" spans="1:12" x14ac:dyDescent="0.3">
      <c r="A833" t="str">
        <f>IF(COUNTIF('Raw RetailSalesData'!$A:$L,'Raw RetailSalesData'!A833)=1,'Raw RetailSalesData'!A833,"")</f>
        <v>ORD-10908</v>
      </c>
      <c r="B833" t="str">
        <f>IF('Raw RetailSalesData'!B833="","UNKNOWN",'Raw RetailSalesData'!B833)</f>
        <v>2022-02-06</v>
      </c>
      <c r="C833" t="str">
        <f>IF('Raw RetailSalesData'!C833="","UNKNOW",'Raw RetailSalesData'!C833)</f>
        <v>CUST-1046</v>
      </c>
      <c r="D833" t="str">
        <f>IF('Raw RetailSalesData'!D833="","UNKNOW",'Raw RetailSalesData'!D833)</f>
        <v>P202</v>
      </c>
      <c r="E833" s="5">
        <f>IF('Raw RetailSalesData'!E833="",'Raw RetailSalesData'!F833/'Raw RetailSalesData'!G833,'Raw RetailSalesData'!E833)</f>
        <v>4</v>
      </c>
      <c r="F833" s="7">
        <f>IF('Raw RetailSalesData'!F833="",'Raw RetailSalesData'!G833/'Raw RetailSalesData'!E833,'Raw RetailSalesData'!F833)</f>
        <v>60</v>
      </c>
      <c r="G833" s="7">
        <f t="shared" si="12"/>
        <v>240</v>
      </c>
      <c r="H833" s="5" t="str">
        <f>IF('Raw RetailSalesData'!H833="","Unknown",'Raw RetailSalesData'!H833)</f>
        <v>LATAM</v>
      </c>
      <c r="I833" t="s">
        <v>90</v>
      </c>
      <c r="J833" t="s">
        <v>2198</v>
      </c>
      <c r="K833" t="str">
        <f>TRIM('Raw RetailSalesData'!K833)</f>
        <v>Sales Rep 4</v>
      </c>
      <c r="L833" t="s">
        <v>46</v>
      </c>
    </row>
    <row r="834" spans="1:12" x14ac:dyDescent="0.3">
      <c r="A834" t="str">
        <f>IF(COUNTIF('Raw RetailSalesData'!$A:$L,'Raw RetailSalesData'!A834)=1,'Raw RetailSalesData'!A834,"")</f>
        <v>ORD-10909</v>
      </c>
      <c r="B834" t="str">
        <f>IF('Raw RetailSalesData'!B834="","UNKNOWN",'Raw RetailSalesData'!B834)</f>
        <v>2023-07-02</v>
      </c>
      <c r="C834" t="str">
        <f>IF('Raw RetailSalesData'!C834="","UNKNOW",'Raw RetailSalesData'!C834)</f>
        <v>CUST-1179</v>
      </c>
      <c r="D834" t="str">
        <f>IF('Raw RetailSalesData'!D834="","UNKNOW",'Raw RetailSalesData'!D834)</f>
        <v>C303</v>
      </c>
      <c r="E834" s="5">
        <f>IF('Raw RetailSalesData'!E834="",'Raw RetailSalesData'!F834/'Raw RetailSalesData'!G834,'Raw RetailSalesData'!E834)</f>
        <v>13</v>
      </c>
      <c r="F834" s="7">
        <f>IF('Raw RetailSalesData'!F834="",'Raw RetailSalesData'!G834/'Raw RetailSalesData'!E834,'Raw RetailSalesData'!F834)</f>
        <v>65</v>
      </c>
      <c r="G834" s="7">
        <f t="shared" si="12"/>
        <v>845</v>
      </c>
      <c r="H834" s="5" t="str">
        <f>IF('Raw RetailSalesData'!H834="","Unknown",'Raw RetailSalesData'!H834)</f>
        <v>NA</v>
      </c>
      <c r="I834" t="s">
        <v>28</v>
      </c>
      <c r="J834" t="s">
        <v>2196</v>
      </c>
      <c r="K834" t="str">
        <f>TRIM('Raw RetailSalesData'!K834)</f>
        <v>Michael Johnson</v>
      </c>
      <c r="L834" t="s">
        <v>31</v>
      </c>
    </row>
    <row r="835" spans="1:12" x14ac:dyDescent="0.3">
      <c r="A835" t="str">
        <f>IF(COUNTIF('Raw RetailSalesData'!$A:$L,'Raw RetailSalesData'!A835)=1,'Raw RetailSalesData'!A835,"")</f>
        <v>ORD-10910</v>
      </c>
      <c r="B835" t="str">
        <f>IF('Raw RetailSalesData'!B835="","UNKNOWN",'Raw RetailSalesData'!B835)</f>
        <v>2026-08-30</v>
      </c>
      <c r="C835" t="str">
        <f>IF('Raw RetailSalesData'!C835="","UNKNOW",'Raw RetailSalesData'!C835)</f>
        <v>CUST-1116</v>
      </c>
      <c r="D835" t="str">
        <f>IF('Raw RetailSalesData'!D835="","UNKNOW",'Raw RetailSalesData'!D835)</f>
        <v>P203</v>
      </c>
      <c r="E835" s="5">
        <f>IF('Raw RetailSalesData'!E835="",'Raw RetailSalesData'!F835/'Raw RetailSalesData'!G835,'Raw RetailSalesData'!E835)</f>
        <v>12</v>
      </c>
      <c r="F835" s="7">
        <f>IF('Raw RetailSalesData'!F835="",'Raw RetailSalesData'!G835/'Raw RetailSalesData'!E835,'Raw RetailSalesData'!F835)</f>
        <v>73</v>
      </c>
      <c r="G835" s="7">
        <f t="shared" ref="G835:G898" si="13">F835*E835</f>
        <v>876</v>
      </c>
      <c r="H835" s="5" t="str">
        <f>IF('Raw RetailSalesData'!H835="","Unknown",'Raw RetailSalesData'!H835)</f>
        <v>NA</v>
      </c>
      <c r="I835" t="s">
        <v>28</v>
      </c>
      <c r="J835" t="s">
        <v>29</v>
      </c>
      <c r="K835" t="str">
        <f>TRIM('Raw RetailSalesData'!K835)</f>
        <v>Sales Rep 2</v>
      </c>
      <c r="L835" t="s">
        <v>46</v>
      </c>
    </row>
    <row r="836" spans="1:12" x14ac:dyDescent="0.3">
      <c r="A836" t="str">
        <f>IF(COUNTIF('Raw RetailSalesData'!$A:$L,'Raw RetailSalesData'!A836)=1,'Raw RetailSalesData'!A836,"")</f>
        <v>ORD-10911</v>
      </c>
      <c r="B836" t="str">
        <f>IF('Raw RetailSalesData'!B836="","UNKNOWN",'Raw RetailSalesData'!B836)</f>
        <v xml:space="preserve"> 2023-01-24 </v>
      </c>
      <c r="C836" t="str">
        <f>IF('Raw RetailSalesData'!C836="","UNKNOW",'Raw RetailSalesData'!C836)</f>
        <v>CUST-1072</v>
      </c>
      <c r="D836" t="str">
        <f>IF('Raw RetailSalesData'!D836="","UNKNOW",'Raw RetailSalesData'!D836)</f>
        <v>P201</v>
      </c>
      <c r="E836" s="5">
        <f>IF('Raw RetailSalesData'!E836="",'Raw RetailSalesData'!F836/'Raw RetailSalesData'!G836,'Raw RetailSalesData'!E836)</f>
        <v>12</v>
      </c>
      <c r="F836" s="7">
        <f>IF('Raw RetailSalesData'!F836="",'Raw RetailSalesData'!G836/'Raw RetailSalesData'!E836,'Raw RetailSalesData'!F836)</f>
        <v>70</v>
      </c>
      <c r="G836" s="7">
        <f t="shared" si="13"/>
        <v>840</v>
      </c>
      <c r="H836" s="5" t="str">
        <f>IF('Raw RetailSalesData'!H836="","Unknown",'Raw RetailSalesData'!H836)</f>
        <v>EMEA</v>
      </c>
      <c r="I836" t="s">
        <v>83</v>
      </c>
      <c r="J836" t="s">
        <v>84</v>
      </c>
      <c r="K836" t="str">
        <f>TRIM('Raw RetailSalesData'!K836)</f>
        <v>John Smith</v>
      </c>
      <c r="L836" t="s">
        <v>46</v>
      </c>
    </row>
    <row r="837" spans="1:12" x14ac:dyDescent="0.3">
      <c r="A837" t="str">
        <f>IF(COUNTIF('Raw RetailSalesData'!$A:$L,'Raw RetailSalesData'!A837)=1,'Raw RetailSalesData'!A837,"")</f>
        <v>ORD-10912</v>
      </c>
      <c r="B837" t="str">
        <f>IF('Raw RetailSalesData'!B837="","UNKNOWN",'Raw RetailSalesData'!B837)</f>
        <v>2025-02-06</v>
      </c>
      <c r="C837" t="str">
        <f>IF('Raw RetailSalesData'!C837="","UNKNOW",'Raw RetailSalesData'!C837)</f>
        <v>CUST-1059</v>
      </c>
      <c r="D837" t="str">
        <f>IF('Raw RetailSalesData'!D837="","UNKNOW",'Raw RetailSalesData'!D837)</f>
        <v>P101</v>
      </c>
      <c r="E837" s="5">
        <f>IF('Raw RetailSalesData'!E837="",'Raw RetailSalesData'!F837/'Raw RetailSalesData'!G837,'Raw RetailSalesData'!E837)</f>
        <v>13</v>
      </c>
      <c r="F837" s="7">
        <f>IF('Raw RetailSalesData'!F837="",'Raw RetailSalesData'!G837/'Raw RetailSalesData'!E837,'Raw RetailSalesData'!F837)</f>
        <v>85</v>
      </c>
      <c r="G837" s="7">
        <f t="shared" si="13"/>
        <v>1105</v>
      </c>
      <c r="H837" s="5" t="str">
        <f>IF('Raw RetailSalesData'!H837="","Unknown",'Raw RetailSalesData'!H837)</f>
        <v>EMEA</v>
      </c>
      <c r="I837" t="s">
        <v>83</v>
      </c>
      <c r="J837" t="s">
        <v>84</v>
      </c>
      <c r="K837" t="str">
        <f>TRIM('Raw RetailSalesData'!K837)</f>
        <v>John Smith</v>
      </c>
      <c r="L837" t="s">
        <v>21</v>
      </c>
    </row>
    <row r="838" spans="1:12" x14ac:dyDescent="0.3">
      <c r="A838" t="str">
        <f>IF(COUNTIF('Raw RetailSalesData'!$A:$L,'Raw RetailSalesData'!A838)=1,'Raw RetailSalesData'!A838,"")</f>
        <v>ORD-10914</v>
      </c>
      <c r="B838" t="str">
        <f>IF('Raw RetailSalesData'!B838="","UNKNOWN",'Raw RetailSalesData'!B838)</f>
        <v>2024-07-02</v>
      </c>
      <c r="C838" t="str">
        <f>IF('Raw RetailSalesData'!C838="","UNKNOW",'Raw RetailSalesData'!C838)</f>
        <v>CUST-1053</v>
      </c>
      <c r="D838" t="str">
        <f>IF('Raw RetailSalesData'!D838="","UNKNOW",'Raw RetailSalesData'!D838)</f>
        <v>P202</v>
      </c>
      <c r="E838" s="5">
        <f>IF('Raw RetailSalesData'!E838="",'Raw RetailSalesData'!F838/'Raw RetailSalesData'!G838,'Raw RetailSalesData'!E838)</f>
        <v>14</v>
      </c>
      <c r="F838" s="7">
        <f>IF('Raw RetailSalesData'!F838="",'Raw RetailSalesData'!G838/'Raw RetailSalesData'!E838,'Raw RetailSalesData'!F838)</f>
        <v>70</v>
      </c>
      <c r="G838" s="7">
        <f t="shared" si="13"/>
        <v>980</v>
      </c>
      <c r="H838" s="5" t="str">
        <f>IF('Raw RetailSalesData'!H838="","Unknown",'Raw RetailSalesData'!H838)</f>
        <v>NA</v>
      </c>
      <c r="I838" t="s">
        <v>28</v>
      </c>
      <c r="J838" t="s">
        <v>2196</v>
      </c>
      <c r="K838" t="str">
        <f>TRIM('Raw RetailSalesData'!K838)</f>
        <v>Michael Johnson</v>
      </c>
      <c r="L838" t="s">
        <v>46</v>
      </c>
    </row>
    <row r="839" spans="1:12" x14ac:dyDescent="0.3">
      <c r="A839" t="str">
        <f>IF(COUNTIF('Raw RetailSalesData'!$A:$L,'Raw RetailSalesData'!A839)=1,'Raw RetailSalesData'!A839,"")</f>
        <v>ORD-10915</v>
      </c>
      <c r="B839" t="str">
        <f>IF('Raw RetailSalesData'!B839="","UNKNOWN",'Raw RetailSalesData'!B839)</f>
        <v>2022-04-02</v>
      </c>
      <c r="C839" t="str">
        <f>IF('Raw RetailSalesData'!C839="","UNKNOW",'Raw RetailSalesData'!C839)</f>
        <v>CUST-1107</v>
      </c>
      <c r="D839" t="str">
        <f>IF('Raw RetailSalesData'!D839="","UNKNOW",'Raw RetailSalesData'!D839)</f>
        <v>C304</v>
      </c>
      <c r="E839" s="5">
        <f>IF('Raw RetailSalesData'!E839="",'Raw RetailSalesData'!F839/'Raw RetailSalesData'!G839,'Raw RetailSalesData'!E839)</f>
        <v>10</v>
      </c>
      <c r="F839" s="7">
        <f>IF('Raw RetailSalesData'!F839="",'Raw RetailSalesData'!G839/'Raw RetailSalesData'!E839,'Raw RetailSalesData'!F839)</f>
        <v>63</v>
      </c>
      <c r="G839" s="7">
        <f t="shared" si="13"/>
        <v>630</v>
      </c>
      <c r="H839" s="5" t="str">
        <f>IF('Raw RetailSalesData'!H839="","Unknown",'Raw RetailSalesData'!H839)</f>
        <v>NA</v>
      </c>
      <c r="I839" t="s">
        <v>2190</v>
      </c>
      <c r="J839" t="s">
        <v>29</v>
      </c>
      <c r="K839" t="str">
        <f>TRIM('Raw RetailSalesData'!K839)</f>
        <v>Sales Rep 4</v>
      </c>
      <c r="L839" t="s">
        <v>31</v>
      </c>
    </row>
    <row r="840" spans="1:12" x14ac:dyDescent="0.3">
      <c r="A840" t="str">
        <f>IF(COUNTIF('Raw RetailSalesData'!$A:$L,'Raw RetailSalesData'!A840)=1,'Raw RetailSalesData'!A840,"")</f>
        <v>ORD-10916</v>
      </c>
      <c r="B840" t="str">
        <f>IF('Raw RetailSalesData'!B840="","UNKNOWN",'Raw RetailSalesData'!B840)</f>
        <v>2025-10-19</v>
      </c>
      <c r="C840" t="str">
        <f>IF('Raw RetailSalesData'!C840="","UNKNOW",'Raw RetailSalesData'!C840)</f>
        <v>CUST-1055</v>
      </c>
      <c r="D840" t="str">
        <f>IF('Raw RetailSalesData'!D840="","UNKNOW",'Raw RetailSalesData'!D840)</f>
        <v>P101</v>
      </c>
      <c r="E840" s="5">
        <f>IF('Raw RetailSalesData'!E840="",'Raw RetailSalesData'!F840/'Raw RetailSalesData'!G840,'Raw RetailSalesData'!E840)</f>
        <v>11</v>
      </c>
      <c r="F840" s="7">
        <f>IF('Raw RetailSalesData'!F840="",'Raw RetailSalesData'!G840/'Raw RetailSalesData'!E840,'Raw RetailSalesData'!F840)</f>
        <v>90</v>
      </c>
      <c r="G840" s="7">
        <f t="shared" si="13"/>
        <v>990</v>
      </c>
      <c r="H840" s="5" t="str">
        <f>IF('Raw RetailSalesData'!H840="","Unknown",'Raw RetailSalesData'!H840)</f>
        <v>NA</v>
      </c>
      <c r="I840" t="s">
        <v>100</v>
      </c>
      <c r="J840" t="s">
        <v>101</v>
      </c>
      <c r="K840" t="str">
        <f>TRIM('Raw RetailSalesData'!K840)</f>
        <v>Sales Rep 2</v>
      </c>
      <c r="L840" t="s">
        <v>31</v>
      </c>
    </row>
    <row r="841" spans="1:12" x14ac:dyDescent="0.3">
      <c r="A841" t="str">
        <f>IF(COUNTIF('Raw RetailSalesData'!$A:$L,'Raw RetailSalesData'!A841)=1,'Raw RetailSalesData'!A841,"")</f>
        <v>ORD-10917</v>
      </c>
      <c r="B841" t="str">
        <f>IF('Raw RetailSalesData'!B841="","UNKNOWN",'Raw RetailSalesData'!B841)</f>
        <v>2023-08-26</v>
      </c>
      <c r="C841" t="str">
        <f>IF('Raw RetailSalesData'!C841="","UNKNOW",'Raw RetailSalesData'!C841)</f>
        <v>CUST-1200</v>
      </c>
      <c r="D841" t="str">
        <f>IF('Raw RetailSalesData'!D841="","UNKNOW",'Raw RetailSalesData'!D841)</f>
        <v>C303</v>
      </c>
      <c r="E841" s="5">
        <f>IF('Raw RetailSalesData'!E841="",'Raw RetailSalesData'!F841/'Raw RetailSalesData'!G841,'Raw RetailSalesData'!E841)</f>
        <v>3</v>
      </c>
      <c r="F841" s="7">
        <f>IF('Raw RetailSalesData'!F841="",'Raw RetailSalesData'!G841/'Raw RetailSalesData'!E841,'Raw RetailSalesData'!F841)</f>
        <v>65</v>
      </c>
      <c r="G841" s="7">
        <f t="shared" si="13"/>
        <v>195</v>
      </c>
      <c r="H841" s="5" t="str">
        <f>IF('Raw RetailSalesData'!H841="","Unknown",'Raw RetailSalesData'!H841)</f>
        <v>NA</v>
      </c>
      <c r="I841" t="s">
        <v>100</v>
      </c>
      <c r="J841" t="s">
        <v>101</v>
      </c>
      <c r="K841" t="str">
        <f>TRIM('Raw RetailSalesData'!K841)</f>
        <v>Sales Rep 5</v>
      </c>
      <c r="L841" t="s">
        <v>31</v>
      </c>
    </row>
    <row r="842" spans="1:12" x14ac:dyDescent="0.3">
      <c r="A842" t="str">
        <f>IF(COUNTIF('Raw RetailSalesData'!$A:$L,'Raw RetailSalesData'!A842)=1,'Raw RetailSalesData'!A842,"")</f>
        <v>ORD-10918</v>
      </c>
      <c r="B842" t="str">
        <f>IF('Raw RetailSalesData'!B842="","UNKNOWN",'Raw RetailSalesData'!B842)</f>
        <v>2023-08-26</v>
      </c>
      <c r="C842" t="str">
        <f>IF('Raw RetailSalesData'!C842="","UNKNOW",'Raw RetailSalesData'!C842)</f>
        <v>CUST-1200</v>
      </c>
      <c r="D842" t="str">
        <f>IF('Raw RetailSalesData'!D842="","UNKNOW",'Raw RetailSalesData'!D842)</f>
        <v>C303</v>
      </c>
      <c r="E842" s="5">
        <f>IF('Raw RetailSalesData'!E842="",'Raw RetailSalesData'!F842/'Raw RetailSalesData'!G842,'Raw RetailSalesData'!E842)</f>
        <v>3</v>
      </c>
      <c r="F842" s="7">
        <f>IF('Raw RetailSalesData'!F842="",'Raw RetailSalesData'!G842/'Raw RetailSalesData'!E842,'Raw RetailSalesData'!F842)</f>
        <v>65</v>
      </c>
      <c r="G842" s="7">
        <f t="shared" si="13"/>
        <v>195</v>
      </c>
      <c r="H842" s="5" t="str">
        <f>IF('Raw RetailSalesData'!H842="","Unknown",'Raw RetailSalesData'!H842)</f>
        <v>NA</v>
      </c>
      <c r="I842" t="s">
        <v>100</v>
      </c>
      <c r="J842" t="s">
        <v>101</v>
      </c>
      <c r="K842" t="str">
        <f>TRIM('Raw RetailSalesData'!K842)</f>
        <v>Sales Rep 5</v>
      </c>
      <c r="L842" t="s">
        <v>31</v>
      </c>
    </row>
    <row r="843" spans="1:12" x14ac:dyDescent="0.3">
      <c r="A843" t="str">
        <f>IF(COUNTIF('Raw RetailSalesData'!$A:$L,'Raw RetailSalesData'!A843)=1,'Raw RetailSalesData'!A843,"")</f>
        <v>ORD-10919</v>
      </c>
      <c r="B843" t="str">
        <f>IF('Raw RetailSalesData'!B843="","UNKNOWN",'Raw RetailSalesData'!B843)</f>
        <v>2023-12-12</v>
      </c>
      <c r="C843" t="str">
        <f>IF('Raw RetailSalesData'!C843="","UNKNOW",'Raw RetailSalesData'!C843)</f>
        <v>CUST-1033</v>
      </c>
      <c r="D843" t="str">
        <f>IF('Raw RetailSalesData'!D843="","UNKNOW",'Raw RetailSalesData'!D843)</f>
        <v>P103</v>
      </c>
      <c r="E843" s="5">
        <f>IF('Raw RetailSalesData'!E843="",'Raw RetailSalesData'!F843/'Raw RetailSalesData'!G843,'Raw RetailSalesData'!E843)</f>
        <v>10</v>
      </c>
      <c r="F843" s="7">
        <f>IF('Raw RetailSalesData'!F843="",'Raw RetailSalesData'!G843/'Raw RetailSalesData'!E843,'Raw RetailSalesData'!F843)</f>
        <v>95</v>
      </c>
      <c r="G843" s="7">
        <f t="shared" si="13"/>
        <v>950</v>
      </c>
      <c r="H843" s="5" t="str">
        <f>IF('Raw RetailSalesData'!H843="","Unknown",'Raw RetailSalesData'!H843)</f>
        <v>APAC</v>
      </c>
      <c r="I843" t="s">
        <v>71</v>
      </c>
      <c r="J843" t="s">
        <v>2190</v>
      </c>
      <c r="K843" t="str">
        <f>TRIM('Raw RetailSalesData'!K843)</f>
        <v>Hiroshi Tanaka</v>
      </c>
      <c r="L843" t="s">
        <v>46</v>
      </c>
    </row>
    <row r="844" spans="1:12" x14ac:dyDescent="0.3">
      <c r="A844" t="str">
        <f>IF(COUNTIF('Raw RetailSalesData'!$A:$L,'Raw RetailSalesData'!A844)=1,'Raw RetailSalesData'!A844,"")</f>
        <v>ORD-10920</v>
      </c>
      <c r="B844" t="str">
        <f>IF('Raw RetailSalesData'!B844="","UNKNOWN",'Raw RetailSalesData'!B844)</f>
        <v>2025-06-22</v>
      </c>
      <c r="C844" t="str">
        <f>IF('Raw RetailSalesData'!C844="","UNKNOW",'Raw RetailSalesData'!C844)</f>
        <v>CUST-1171</v>
      </c>
      <c r="D844" t="str">
        <f>IF('Raw RetailSalesData'!D844="","UNKNOW",'Raw RetailSalesData'!D844)</f>
        <v>P102</v>
      </c>
      <c r="E844" s="5">
        <f>IF('Raw RetailSalesData'!E844="",'Raw RetailSalesData'!F844/'Raw RetailSalesData'!G844,'Raw RetailSalesData'!E844)</f>
        <v>7</v>
      </c>
      <c r="F844" s="7">
        <f>IF('Raw RetailSalesData'!F844="",'Raw RetailSalesData'!G844/'Raw RetailSalesData'!E844,'Raw RetailSalesData'!F844)</f>
        <v>80</v>
      </c>
      <c r="G844" s="7">
        <f t="shared" si="13"/>
        <v>560</v>
      </c>
      <c r="H844" s="5" t="str">
        <f>IF('Raw RetailSalesData'!H844="","Unknown",'Raw RetailSalesData'!H844)</f>
        <v>EMEA</v>
      </c>
      <c r="I844" t="s">
        <v>83</v>
      </c>
      <c r="J844" t="s">
        <v>84</v>
      </c>
      <c r="K844" t="str">
        <f>TRIM('Raw RetailSalesData'!K844)</f>
        <v>John Smith</v>
      </c>
      <c r="L844" t="s">
        <v>31</v>
      </c>
    </row>
    <row r="845" spans="1:12" x14ac:dyDescent="0.3">
      <c r="A845" t="str">
        <f>IF(COUNTIF('Raw RetailSalesData'!$A:$L,'Raw RetailSalesData'!A845)=1,'Raw RetailSalesData'!A845,"")</f>
        <v>ORD-10922</v>
      </c>
      <c r="B845" t="str">
        <f>IF('Raw RetailSalesData'!B845="","UNKNOWN",'Raw RetailSalesData'!B845)</f>
        <v>2026-06-08</v>
      </c>
      <c r="C845" t="str">
        <f>IF('Raw RetailSalesData'!C845="","UNKNOW",'Raw RetailSalesData'!C845)</f>
        <v>CUST-1059</v>
      </c>
      <c r="D845" t="str">
        <f>IF('Raw RetailSalesData'!D845="","UNKNOW",'Raw RetailSalesData'!D845)</f>
        <v>P103</v>
      </c>
      <c r="E845" s="5">
        <f>IF('Raw RetailSalesData'!E845="",'Raw RetailSalesData'!F845/'Raw RetailSalesData'!G845,'Raw RetailSalesData'!E845)</f>
        <v>5</v>
      </c>
      <c r="F845" s="7">
        <f>IF('Raw RetailSalesData'!F845="",'Raw RetailSalesData'!G845/'Raw RetailSalesData'!E845,'Raw RetailSalesData'!F845)</f>
        <v>90</v>
      </c>
      <c r="G845" s="7">
        <f t="shared" si="13"/>
        <v>450</v>
      </c>
      <c r="H845" s="5" t="str">
        <f>IF('Raw RetailSalesData'!H845="","Unknown",'Raw RetailSalesData'!H845)</f>
        <v>LATAM</v>
      </c>
      <c r="I845" t="s">
        <v>18</v>
      </c>
      <c r="J845" t="s">
        <v>2197</v>
      </c>
      <c r="K845" t="str">
        <f>TRIM('Raw RetailSalesData'!K845)</f>
        <v>Sales Rep 2</v>
      </c>
      <c r="L845" t="s">
        <v>21</v>
      </c>
    </row>
    <row r="846" spans="1:12" x14ac:dyDescent="0.3">
      <c r="A846" t="str">
        <f>IF(COUNTIF('Raw RetailSalesData'!$A:$L,'Raw RetailSalesData'!A846)=1,'Raw RetailSalesData'!A846,"")</f>
        <v>ORD-10924</v>
      </c>
      <c r="B846" t="str">
        <f>IF('Raw RetailSalesData'!B846="","UNKNOWN",'Raw RetailSalesData'!B846)</f>
        <v>2022-08-03</v>
      </c>
      <c r="C846" t="str">
        <f>IF('Raw RetailSalesData'!C846="","UNKNOW",'Raw RetailSalesData'!C846)</f>
        <v>CUST-1092</v>
      </c>
      <c r="D846" t="str">
        <f>IF('Raw RetailSalesData'!D846="","UNKNOW",'Raw RetailSalesData'!D846)</f>
        <v>C301</v>
      </c>
      <c r="E846" s="5">
        <f>IF('Raw RetailSalesData'!E846="",'Raw RetailSalesData'!F846/'Raw RetailSalesData'!G846,'Raw RetailSalesData'!E846)</f>
        <v>2</v>
      </c>
      <c r="F846" s="7">
        <f>IF('Raw RetailSalesData'!F846="",'Raw RetailSalesData'!G846/'Raw RetailSalesData'!E846,'Raw RetailSalesData'!F846)</f>
        <v>50</v>
      </c>
      <c r="G846" s="7">
        <f t="shared" si="13"/>
        <v>100</v>
      </c>
      <c r="H846" s="5" t="str">
        <f>IF('Raw RetailSalesData'!H846="","Unknown",'Raw RetailSalesData'!H846)</f>
        <v>LATAM</v>
      </c>
      <c r="I846" t="s">
        <v>18</v>
      </c>
      <c r="J846" t="s">
        <v>2197</v>
      </c>
      <c r="K846" t="str">
        <f>TRIM('Raw RetailSalesData'!K846)</f>
        <v>#N/A</v>
      </c>
      <c r="L846" t="s">
        <v>21</v>
      </c>
    </row>
    <row r="847" spans="1:12" x14ac:dyDescent="0.3">
      <c r="A847" t="str">
        <f>IF(COUNTIF('Raw RetailSalesData'!$A:$L,'Raw RetailSalesData'!A847)=1,'Raw RetailSalesData'!A847,"")</f>
        <v>ORD-10925</v>
      </c>
      <c r="B847" t="str">
        <f>IF('Raw RetailSalesData'!B847="","UNKNOWN",'Raw RetailSalesData'!B847)</f>
        <v>2022-08-08</v>
      </c>
      <c r="C847" t="str">
        <f>IF('Raw RetailSalesData'!C847="","UNKNOW",'Raw RetailSalesData'!C847)</f>
        <v>CUST-1082</v>
      </c>
      <c r="D847" t="str">
        <f>IF('Raw RetailSalesData'!D847="","UNKNOW",'Raw RetailSalesData'!D847)</f>
        <v>C304</v>
      </c>
      <c r="E847" s="5">
        <f>IF('Raw RetailSalesData'!E847="",'Raw RetailSalesData'!F847/'Raw RetailSalesData'!G847,'Raw RetailSalesData'!E847)</f>
        <v>9</v>
      </c>
      <c r="F847" s="7">
        <f>IF('Raw RetailSalesData'!F847="",'Raw RetailSalesData'!G847/'Raw RetailSalesData'!E847,'Raw RetailSalesData'!F847)</f>
        <v>53</v>
      </c>
      <c r="G847" s="7">
        <f t="shared" si="13"/>
        <v>477</v>
      </c>
      <c r="H847" s="5" t="str">
        <f>IF('Raw RetailSalesData'!H847="","Unknown",'Raw RetailSalesData'!H847)</f>
        <v>LATAM</v>
      </c>
      <c r="I847" t="s">
        <v>18</v>
      </c>
      <c r="J847" t="s">
        <v>2197</v>
      </c>
      <c r="K847" t="str">
        <f>TRIM('Raw RetailSalesData'!K847)</f>
        <v>Sales Rep 1</v>
      </c>
      <c r="L847" t="s">
        <v>21</v>
      </c>
    </row>
    <row r="848" spans="1:12" x14ac:dyDescent="0.3">
      <c r="A848" t="str">
        <f>IF(COUNTIF('Raw RetailSalesData'!$A:$L,'Raw RetailSalesData'!A848)=1,'Raw RetailSalesData'!A848,"")</f>
        <v>ORD-10926</v>
      </c>
      <c r="B848" t="str">
        <f>IF('Raw RetailSalesData'!B848="","UNKNOWN",'Raw RetailSalesData'!B848)</f>
        <v>2022-08-08</v>
      </c>
      <c r="C848" t="str">
        <f>IF('Raw RetailSalesData'!C848="","UNKNOW",'Raw RetailSalesData'!C848)</f>
        <v>CUST-1082</v>
      </c>
      <c r="D848" t="str">
        <f>IF('Raw RetailSalesData'!D848="","UNKNOW",'Raw RetailSalesData'!D848)</f>
        <v>C304</v>
      </c>
      <c r="E848" s="5">
        <f>IF('Raw RetailSalesData'!E848="",'Raw RetailSalesData'!F848/'Raw RetailSalesData'!G848,'Raw RetailSalesData'!E848)</f>
        <v>9</v>
      </c>
      <c r="F848" s="7">
        <f>IF('Raw RetailSalesData'!F848="",'Raw RetailSalesData'!G848/'Raw RetailSalesData'!E848,'Raw RetailSalesData'!F848)</f>
        <v>53</v>
      </c>
      <c r="G848" s="7">
        <f t="shared" si="13"/>
        <v>477</v>
      </c>
      <c r="H848" s="5" t="str">
        <f>IF('Raw RetailSalesData'!H848="","Unknown",'Raw RetailSalesData'!H848)</f>
        <v>LATAM</v>
      </c>
      <c r="I848" t="s">
        <v>18</v>
      </c>
      <c r="J848" t="s">
        <v>2197</v>
      </c>
      <c r="K848" t="str">
        <f>TRIM('Raw RetailSalesData'!K848)</f>
        <v>Sales Rep 1</v>
      </c>
      <c r="L848" t="s">
        <v>21</v>
      </c>
    </row>
    <row r="849" spans="1:12" x14ac:dyDescent="0.3">
      <c r="A849" t="str">
        <f>IF(COUNTIF('Raw RetailSalesData'!$A:$L,'Raw RetailSalesData'!A849)=1,'Raw RetailSalesData'!A849,"")</f>
        <v>ORD-10927</v>
      </c>
      <c r="B849" t="str">
        <f>IF('Raw RetailSalesData'!B849="","UNKNOWN",'Raw RetailSalesData'!B849)</f>
        <v>2023-05-15</v>
      </c>
      <c r="C849" t="str">
        <f>IF('Raw RetailSalesData'!C849="","UNKNOW",'Raw RetailSalesData'!C849)</f>
        <v>CUST-1114</v>
      </c>
      <c r="D849" t="str">
        <f>IF('Raw RetailSalesData'!D849="","UNKNOW",'Raw RetailSalesData'!D849)</f>
        <v>P203</v>
      </c>
      <c r="E849" s="5">
        <f>IF('Raw RetailSalesData'!E849="",'Raw RetailSalesData'!F849/'Raw RetailSalesData'!G849,'Raw RetailSalesData'!E849)</f>
        <v>14</v>
      </c>
      <c r="F849" s="7">
        <f>IF('Raw RetailSalesData'!F849="",'Raw RetailSalesData'!G849/'Raw RetailSalesData'!E849,'Raw RetailSalesData'!F849)</f>
        <v>73</v>
      </c>
      <c r="G849" s="7">
        <f t="shared" si="13"/>
        <v>1022</v>
      </c>
      <c r="H849" s="5" t="str">
        <f>IF('Raw RetailSalesData'!H849="","Unknown",'Raw RetailSalesData'!H849)</f>
        <v>NA</v>
      </c>
      <c r="I849" t="s">
        <v>28</v>
      </c>
      <c r="J849" t="s">
        <v>29</v>
      </c>
      <c r="K849" t="str">
        <f>TRIM('Raw RetailSalesData'!K849)</f>
        <v>Sales Rep 1</v>
      </c>
      <c r="L849" t="s">
        <v>21</v>
      </c>
    </row>
    <row r="850" spans="1:12" x14ac:dyDescent="0.3">
      <c r="A850" t="str">
        <f>IF(COUNTIF('Raw RetailSalesData'!$A:$L,'Raw RetailSalesData'!A850)=1,'Raw RetailSalesData'!A850,"")</f>
        <v>ORD-10928</v>
      </c>
      <c r="B850" t="str">
        <f>IF('Raw RetailSalesData'!B850="","UNKNOWN",'Raw RetailSalesData'!B850)</f>
        <v>2024-10-19</v>
      </c>
      <c r="C850" t="str">
        <f>IF('Raw RetailSalesData'!C850="","UNKNOW",'Raw RetailSalesData'!C850)</f>
        <v>#N/A</v>
      </c>
      <c r="D850" t="str">
        <f>IF('Raw RetailSalesData'!D850="","UNKNOW",'Raw RetailSalesData'!D850)</f>
        <v>P201</v>
      </c>
      <c r="E850" s="5">
        <f>IF('Raw RetailSalesData'!E850="",'Raw RetailSalesData'!F850/'Raw RetailSalesData'!G850,'Raw RetailSalesData'!E850)</f>
        <v>7</v>
      </c>
      <c r="F850" s="7">
        <f>IF('Raw RetailSalesData'!F850="",'Raw RetailSalesData'!G850/'Raw RetailSalesData'!E850,'Raw RetailSalesData'!F850)</f>
        <v>70</v>
      </c>
      <c r="G850" s="7">
        <f t="shared" si="13"/>
        <v>490</v>
      </c>
      <c r="H850" s="5" t="str">
        <f>IF('Raw RetailSalesData'!H850="","Unknown",'Raw RetailSalesData'!H850)</f>
        <v>APAC</v>
      </c>
      <c r="I850" t="s">
        <v>183</v>
      </c>
      <c r="J850" t="s">
        <v>184</v>
      </c>
      <c r="K850" t="str">
        <f>TRIM('Raw RetailSalesData'!K850)</f>
        <v>Sales Rep 4</v>
      </c>
      <c r="L850" t="s">
        <v>21</v>
      </c>
    </row>
    <row r="851" spans="1:12" x14ac:dyDescent="0.3">
      <c r="A851" t="str">
        <f>IF(COUNTIF('Raw RetailSalesData'!$A:$L,'Raw RetailSalesData'!A851)=1,'Raw RetailSalesData'!A851,"")</f>
        <v>ORD-10929</v>
      </c>
      <c r="B851" t="str">
        <f>IF('Raw RetailSalesData'!B851="","UNKNOWN",'Raw RetailSalesData'!B851)</f>
        <v>2025-10-14</v>
      </c>
      <c r="C851" t="str">
        <f>IF('Raw RetailSalesData'!C851="","UNKNOW",'Raw RetailSalesData'!C851)</f>
        <v>CUST-1172</v>
      </c>
      <c r="D851" t="str">
        <f>IF('Raw RetailSalesData'!D851="","UNKNOW",'Raw RetailSalesData'!D851)</f>
        <v>P203</v>
      </c>
      <c r="E851" s="5">
        <f>IF('Raw RetailSalesData'!E851="",'Raw RetailSalesData'!F851/'Raw RetailSalesData'!G851,'Raw RetailSalesData'!E851)</f>
        <v>3</v>
      </c>
      <c r="F851" s="7">
        <f>IF('Raw RetailSalesData'!F851="",'Raw RetailSalesData'!G851/'Raw RetailSalesData'!E851,'Raw RetailSalesData'!F851)</f>
        <v>73</v>
      </c>
      <c r="G851" s="7">
        <f t="shared" si="13"/>
        <v>219</v>
      </c>
      <c r="H851" s="5" t="str">
        <f>IF('Raw RetailSalesData'!H851="","Unknown",'Raw RetailSalesData'!H851)</f>
        <v>NA</v>
      </c>
      <c r="I851" t="s">
        <v>100</v>
      </c>
      <c r="J851" t="s">
        <v>101</v>
      </c>
      <c r="K851" t="str">
        <f>TRIM('Raw RetailSalesData'!K851)</f>
        <v>Sales Rep 2</v>
      </c>
      <c r="L851" t="s">
        <v>31</v>
      </c>
    </row>
    <row r="852" spans="1:12" x14ac:dyDescent="0.3">
      <c r="A852" t="str">
        <f>IF(COUNTIF('Raw RetailSalesData'!$A:$L,'Raw RetailSalesData'!A852)=1,'Raw RetailSalesData'!A852,"")</f>
        <v>ORD-10930</v>
      </c>
      <c r="B852" t="str">
        <f>IF('Raw RetailSalesData'!B852="","UNKNOWN",'Raw RetailSalesData'!B852)</f>
        <v>2024-03-30</v>
      </c>
      <c r="C852" t="str">
        <f>IF('Raw RetailSalesData'!C852="","UNKNOW",'Raw RetailSalesData'!C852)</f>
        <v>CUST-1071</v>
      </c>
      <c r="D852" t="str">
        <f>IF('Raw RetailSalesData'!D852="","UNKNOW",'Raw RetailSalesData'!D852)</f>
        <v>P201</v>
      </c>
      <c r="E852" s="5">
        <f>IF('Raw RetailSalesData'!E852="",'Raw RetailSalesData'!F852/'Raw RetailSalesData'!G852,'Raw RetailSalesData'!E852)</f>
        <v>7</v>
      </c>
      <c r="F852" s="7">
        <f>IF('Raw RetailSalesData'!F852="",'Raw RetailSalesData'!G852/'Raw RetailSalesData'!E852,'Raw RetailSalesData'!F852)</f>
        <v>70</v>
      </c>
      <c r="G852" s="7">
        <f t="shared" si="13"/>
        <v>490</v>
      </c>
      <c r="H852" s="5" t="str">
        <f>IF('Raw RetailSalesData'!H852="","Unknown",'Raw RetailSalesData'!H852)</f>
        <v>APAC</v>
      </c>
      <c r="I852" t="s">
        <v>183</v>
      </c>
      <c r="J852" t="s">
        <v>184</v>
      </c>
      <c r="K852" t="str">
        <f>TRIM('Raw RetailSalesData'!K852)</f>
        <v>Sales Rep 5</v>
      </c>
      <c r="L852" t="s">
        <v>31</v>
      </c>
    </row>
    <row r="853" spans="1:12" x14ac:dyDescent="0.3">
      <c r="A853" t="str">
        <f>IF(COUNTIF('Raw RetailSalesData'!$A:$L,'Raw RetailSalesData'!A853)=1,'Raw RetailSalesData'!A853,"")</f>
        <v>ORD-10931</v>
      </c>
      <c r="B853" t="str">
        <f>IF('Raw RetailSalesData'!B853="","UNKNOWN",'Raw RetailSalesData'!B853)</f>
        <v>2022-10-08</v>
      </c>
      <c r="C853" t="str">
        <f>IF('Raw RetailSalesData'!C853="","UNKNOW",'Raw RetailSalesData'!C853)</f>
        <v>CUST-1189</v>
      </c>
      <c r="D853" t="str">
        <f>IF('Raw RetailSalesData'!D853="","UNKNOW",'Raw RetailSalesData'!D853)</f>
        <v>P102</v>
      </c>
      <c r="E853" s="5">
        <f>IF('Raw RetailSalesData'!E853="",'Raw RetailSalesData'!F853/'Raw RetailSalesData'!G853,'Raw RetailSalesData'!E853)</f>
        <v>11</v>
      </c>
      <c r="F853" s="7">
        <f>IF('Raw RetailSalesData'!F853="",'Raw RetailSalesData'!G853/'Raw RetailSalesData'!E853,'Raw RetailSalesData'!F853)</f>
        <v>75</v>
      </c>
      <c r="G853" s="7">
        <f t="shared" si="13"/>
        <v>825</v>
      </c>
      <c r="H853" s="5" t="str">
        <f>IF('Raw RetailSalesData'!H853="","Unknown",'Raw RetailSalesData'!H853)</f>
        <v>LATAM</v>
      </c>
      <c r="I853" t="s">
        <v>18</v>
      </c>
      <c r="J853" t="s">
        <v>2197</v>
      </c>
      <c r="K853" t="str">
        <f>TRIM('Raw RetailSalesData'!K853)</f>
        <v>Sales Rep 1</v>
      </c>
      <c r="L853" t="s">
        <v>46</v>
      </c>
    </row>
    <row r="854" spans="1:12" x14ac:dyDescent="0.3">
      <c r="A854" t="str">
        <f>IF(COUNTIF('Raw RetailSalesData'!$A:$L,'Raw RetailSalesData'!A854)=1,'Raw RetailSalesData'!A854,"")</f>
        <v>ORD-10932</v>
      </c>
      <c r="B854" t="str">
        <f>IF('Raw RetailSalesData'!B854="","UNKNOWN",'Raw RetailSalesData'!B854)</f>
        <v>2024-10-18</v>
      </c>
      <c r="C854" t="str">
        <f>IF('Raw RetailSalesData'!C854="","UNKNOW",'Raw RetailSalesData'!C854)</f>
        <v>CUST-1095</v>
      </c>
      <c r="D854" t="str">
        <f>IF('Raw RetailSalesData'!D854="","UNKNOW",'Raw RetailSalesData'!D854)</f>
        <v>C303</v>
      </c>
      <c r="E854" s="5">
        <f>IF('Raw RetailSalesData'!E854="",'Raw RetailSalesData'!F854/'Raw RetailSalesData'!G854,'Raw RetailSalesData'!E854)</f>
        <v>5</v>
      </c>
      <c r="F854" s="7">
        <f>IF('Raw RetailSalesData'!F854="",'Raw RetailSalesData'!G854/'Raw RetailSalesData'!E854,'Raw RetailSalesData'!F854)</f>
        <v>60</v>
      </c>
      <c r="G854" s="7">
        <f t="shared" si="13"/>
        <v>300</v>
      </c>
      <c r="H854" s="5" t="str">
        <f>IF('Raw RetailSalesData'!H854="","Unknown",'Raw RetailSalesData'!H854)</f>
        <v>EMEA</v>
      </c>
      <c r="I854" t="s">
        <v>83</v>
      </c>
      <c r="J854" t="s">
        <v>84</v>
      </c>
      <c r="K854" t="str">
        <f>TRIM('Raw RetailSalesData'!K854)</f>
        <v>John Smith</v>
      </c>
      <c r="L854" t="s">
        <v>31</v>
      </c>
    </row>
    <row r="855" spans="1:12" x14ac:dyDescent="0.3">
      <c r="A855" t="str">
        <f>IF(COUNTIF('Raw RetailSalesData'!$A:$L,'Raw RetailSalesData'!A855)=1,'Raw RetailSalesData'!A855,"")</f>
        <v>ORD-10933</v>
      </c>
      <c r="B855" t="str">
        <f>IF('Raw RetailSalesData'!B855="","UNKNOWN",'Raw RetailSalesData'!B855)</f>
        <v>2022-06-11</v>
      </c>
      <c r="C855" t="str">
        <f>IF('Raw RetailSalesData'!C855="","UNKNOW",'Raw RetailSalesData'!C855)</f>
        <v>CUST-1134</v>
      </c>
      <c r="D855" t="str">
        <f>IF('Raw RetailSalesData'!D855="","UNKNOW",'Raw RetailSalesData'!D855)</f>
        <v>P202</v>
      </c>
      <c r="E855" s="5">
        <f>IF('Raw RetailSalesData'!E855="",'Raw RetailSalesData'!F855/'Raw RetailSalesData'!G855,'Raw RetailSalesData'!E855)</f>
        <v>2</v>
      </c>
      <c r="F855" s="7">
        <f>IF('Raw RetailSalesData'!F855="",'Raw RetailSalesData'!G855/'Raw RetailSalesData'!E855,'Raw RetailSalesData'!F855)</f>
        <v>65</v>
      </c>
      <c r="G855" s="7">
        <f t="shared" si="13"/>
        <v>130</v>
      </c>
      <c r="H855" s="5" t="str">
        <f>IF('Raw RetailSalesData'!H855="","Unknown",'Raw RetailSalesData'!H855)</f>
        <v xml:space="preserve"> APAC </v>
      </c>
      <c r="I855" t="s">
        <v>183</v>
      </c>
      <c r="J855" t="s">
        <v>184</v>
      </c>
      <c r="K855" t="str">
        <f>TRIM('Raw RetailSalesData'!K855)</f>
        <v>Sales Rep 4</v>
      </c>
      <c r="L855" t="s">
        <v>2190</v>
      </c>
    </row>
    <row r="856" spans="1:12" x14ac:dyDescent="0.3">
      <c r="A856" t="str">
        <f>IF(COUNTIF('Raw RetailSalesData'!$A:$L,'Raw RetailSalesData'!A856)=1,'Raw RetailSalesData'!A856,"")</f>
        <v>ORD-10934</v>
      </c>
      <c r="B856" t="str">
        <f>IF('Raw RetailSalesData'!B856="","UNKNOWN",'Raw RetailSalesData'!B856)</f>
        <v>2026-03-12</v>
      </c>
      <c r="C856" t="str">
        <f>IF('Raw RetailSalesData'!C856="","UNKNOW",'Raw RetailSalesData'!C856)</f>
        <v>CUST-1142</v>
      </c>
      <c r="D856" t="str">
        <f>IF('Raw RetailSalesData'!D856="","UNKNOW",'Raw RetailSalesData'!D856)</f>
        <v>P202</v>
      </c>
      <c r="E856" s="5">
        <f>IF('Raw RetailSalesData'!E856="",'Raw RetailSalesData'!F856/'Raw RetailSalesData'!G856,'Raw RetailSalesData'!E856)</f>
        <v>7</v>
      </c>
      <c r="F856" s="7">
        <f>IF('Raw RetailSalesData'!F856="",'Raw RetailSalesData'!G856/'Raw RetailSalesData'!E856,'Raw RetailSalesData'!F856)</f>
        <v>65</v>
      </c>
      <c r="G856" s="7">
        <f t="shared" si="13"/>
        <v>455</v>
      </c>
      <c r="H856" s="5" t="str">
        <f>IF('Raw RetailSalesData'!H856="","Unknown",'Raw RetailSalesData'!H856)</f>
        <v>APAC</v>
      </c>
      <c r="I856" t="s">
        <v>183</v>
      </c>
      <c r="J856" t="s">
        <v>184</v>
      </c>
      <c r="K856" t="str">
        <f>TRIM('Raw RetailSalesData'!K856)</f>
        <v>Sales Rep 1</v>
      </c>
      <c r="L856" t="s">
        <v>31</v>
      </c>
    </row>
    <row r="857" spans="1:12" x14ac:dyDescent="0.3">
      <c r="A857" t="str">
        <f>IF(COUNTIF('Raw RetailSalesData'!$A:$L,'Raw RetailSalesData'!A857)=1,'Raw RetailSalesData'!A857,"")</f>
        <v>ORD-10935</v>
      </c>
      <c r="B857" t="str">
        <f>IF('Raw RetailSalesData'!B857="","UNKNOWN",'Raw RetailSalesData'!B857)</f>
        <v xml:space="preserve"> 2024-10-25 </v>
      </c>
      <c r="C857" t="str">
        <f>IF('Raw RetailSalesData'!C857="","UNKNOW",'Raw RetailSalesData'!C857)</f>
        <v>CUST-1153</v>
      </c>
      <c r="D857" t="str">
        <f>IF('Raw RetailSalesData'!D857="","UNKNOW",'Raw RetailSalesData'!D857)</f>
        <v>C302</v>
      </c>
      <c r="E857" s="5">
        <f>IF('Raw RetailSalesData'!E857="",'Raw RetailSalesData'!F857/'Raw RetailSalesData'!G857,'Raw RetailSalesData'!E857)</f>
        <v>15</v>
      </c>
      <c r="F857" s="7">
        <f>IF('Raw RetailSalesData'!F857="",'Raw RetailSalesData'!G857/'Raw RetailSalesData'!E857,'Raw RetailSalesData'!F857)</f>
        <v>45</v>
      </c>
      <c r="G857" s="7">
        <f t="shared" si="13"/>
        <v>675</v>
      </c>
      <c r="H857" s="5" t="str">
        <f>IF('Raw RetailSalesData'!H857="","Unknown",'Raw RetailSalesData'!H857)</f>
        <v xml:space="preserve"> LATAM </v>
      </c>
      <c r="I857" t="s">
        <v>18</v>
      </c>
      <c r="J857" t="s">
        <v>2197</v>
      </c>
      <c r="K857" t="str">
        <f>TRIM('Raw RetailSalesData'!K857)</f>
        <v>Sales Rep 2</v>
      </c>
      <c r="L857" t="s">
        <v>21</v>
      </c>
    </row>
    <row r="858" spans="1:12" x14ac:dyDescent="0.3">
      <c r="A858" t="str">
        <f>IF(COUNTIF('Raw RetailSalesData'!$A:$L,'Raw RetailSalesData'!A858)=1,'Raw RetailSalesData'!A858,"")</f>
        <v>ORD-10936</v>
      </c>
      <c r="B858" t="str">
        <f>IF('Raw RetailSalesData'!B858="","UNKNOWN",'Raw RetailSalesData'!B858)</f>
        <v>2025-03-06</v>
      </c>
      <c r="C858" t="str">
        <f>IF('Raw RetailSalesData'!C858="","UNKNOW",'Raw RetailSalesData'!C858)</f>
        <v>CUST-1113</v>
      </c>
      <c r="D858" t="str">
        <f>IF('Raw RetailSalesData'!D858="","UNKNOW",'Raw RetailSalesData'!D858)</f>
        <v>P203</v>
      </c>
      <c r="E858" s="5">
        <f>IF('Raw RetailSalesData'!E858="",'Raw RetailSalesData'!F858/'Raw RetailSalesData'!G858,'Raw RetailSalesData'!E858)</f>
        <v>16</v>
      </c>
      <c r="F858" s="7">
        <f>IF('Raw RetailSalesData'!F858="",'Raw RetailSalesData'!G858/'Raw RetailSalesData'!E858,'Raw RetailSalesData'!F858)</f>
        <v>68</v>
      </c>
      <c r="G858" s="7">
        <f t="shared" si="13"/>
        <v>1088</v>
      </c>
      <c r="H858" s="5" t="str">
        <f>IF('Raw RetailSalesData'!H858="","Unknown",'Raw RetailSalesData'!H858)</f>
        <v>EMEA</v>
      </c>
      <c r="I858" t="s">
        <v>83</v>
      </c>
      <c r="J858" t="s">
        <v>84</v>
      </c>
      <c r="K858" t="str">
        <f>TRIM('Raw RetailSalesData'!K858)</f>
        <v>John Smith</v>
      </c>
      <c r="L858" t="s">
        <v>2190</v>
      </c>
    </row>
    <row r="859" spans="1:12" x14ac:dyDescent="0.3">
      <c r="A859" t="str">
        <f>IF(COUNTIF('Raw RetailSalesData'!$A:$L,'Raw RetailSalesData'!A859)=1,'Raw RetailSalesData'!A859,"")</f>
        <v>ORD-10937</v>
      </c>
      <c r="B859" t="str">
        <f>IF('Raw RetailSalesData'!B859="","UNKNOWN",'Raw RetailSalesData'!B859)</f>
        <v>2026-08-18</v>
      </c>
      <c r="C859" t="str">
        <f>IF('Raw RetailSalesData'!C859="","UNKNOW",'Raw RetailSalesData'!C859)</f>
        <v>CUST-1056</v>
      </c>
      <c r="D859" t="str">
        <f>IF('Raw RetailSalesData'!D859="","UNKNOW",'Raw RetailSalesData'!D859)</f>
        <v>P102</v>
      </c>
      <c r="E859" s="5">
        <f>IF('Raw RetailSalesData'!E859="",'Raw RetailSalesData'!F859/'Raw RetailSalesData'!G859,'Raw RetailSalesData'!E859)</f>
        <v>6</v>
      </c>
      <c r="F859" s="7">
        <f>IF('Raw RetailSalesData'!F859="",'Raw RetailSalesData'!G859/'Raw RetailSalesData'!E859,'Raw RetailSalesData'!F859)</f>
        <v>85</v>
      </c>
      <c r="G859" s="7">
        <f t="shared" si="13"/>
        <v>510</v>
      </c>
      <c r="H859" s="5" t="str">
        <f>IF('Raw RetailSalesData'!H859="","Unknown",'Raw RetailSalesData'!H859)</f>
        <v>NA</v>
      </c>
      <c r="I859" t="s">
        <v>28</v>
      </c>
      <c r="J859" t="s">
        <v>29</v>
      </c>
      <c r="K859" t="str">
        <f>TRIM('Raw RetailSalesData'!K859)</f>
        <v>Sales Rep 2</v>
      </c>
      <c r="L859" t="s">
        <v>31</v>
      </c>
    </row>
    <row r="860" spans="1:12" x14ac:dyDescent="0.3">
      <c r="A860" t="str">
        <f>IF(COUNTIF('Raw RetailSalesData'!$A:$L,'Raw RetailSalesData'!A860)=1,'Raw RetailSalesData'!A860,"")</f>
        <v>ORD-10938</v>
      </c>
      <c r="B860" t="str">
        <f>IF('Raw RetailSalesData'!B860="","UNKNOWN",'Raw RetailSalesData'!B860)</f>
        <v>2026-06-08</v>
      </c>
      <c r="C860" t="str">
        <f>IF('Raw RetailSalesData'!C860="","UNKNOW",'Raw RetailSalesData'!C860)</f>
        <v>CUST-1026</v>
      </c>
      <c r="D860" t="str">
        <f>IF('Raw RetailSalesData'!D860="","UNKNOW",'Raw RetailSalesData'!D860)</f>
        <v>P201</v>
      </c>
      <c r="E860" s="5">
        <f>IF('Raw RetailSalesData'!E860="",'Raw RetailSalesData'!F860/'Raw RetailSalesData'!G860,'Raw RetailSalesData'!E860)</f>
        <v>9</v>
      </c>
      <c r="F860" s="7">
        <f>IF('Raw RetailSalesData'!F860="",'Raw RetailSalesData'!G860/'Raw RetailSalesData'!E860,'Raw RetailSalesData'!F860)</f>
        <v>75</v>
      </c>
      <c r="G860" s="7">
        <f t="shared" si="13"/>
        <v>675</v>
      </c>
      <c r="H860" s="5" t="str">
        <f>IF('Raw RetailSalesData'!H860="","Unknown",'Raw RetailSalesData'!H860)</f>
        <v>NA</v>
      </c>
      <c r="I860" t="s">
        <v>28</v>
      </c>
      <c r="J860" t="s">
        <v>29</v>
      </c>
      <c r="K860" t="str">
        <f>TRIM('Raw RetailSalesData'!K860)</f>
        <v>Sales Rep 5</v>
      </c>
      <c r="L860" t="s">
        <v>21</v>
      </c>
    </row>
    <row r="861" spans="1:12" x14ac:dyDescent="0.3">
      <c r="A861" t="str">
        <f>IF(COUNTIF('Raw RetailSalesData'!$A:$L,'Raw RetailSalesData'!A861)=1,'Raw RetailSalesData'!A861,"")</f>
        <v>ORD-10939</v>
      </c>
      <c r="B861" t="str">
        <f>IF('Raw RetailSalesData'!B861="","UNKNOWN",'Raw RetailSalesData'!B861)</f>
        <v>2022-07-10</v>
      </c>
      <c r="C861" t="str">
        <f>IF('Raw RetailSalesData'!C861="","UNKNOW",'Raw RetailSalesData'!C861)</f>
        <v>CUST-1118</v>
      </c>
      <c r="D861" t="str">
        <f>IF('Raw RetailSalesData'!D861="","UNKNOW",'Raw RetailSalesData'!D861)</f>
        <v>P102</v>
      </c>
      <c r="E861" s="5">
        <f>IF('Raw RetailSalesData'!E861="",'Raw RetailSalesData'!F861/'Raw RetailSalesData'!G861,'Raw RetailSalesData'!E861)</f>
        <v>11</v>
      </c>
      <c r="F861" s="7">
        <f>IF('Raw RetailSalesData'!F861="",'Raw RetailSalesData'!G861/'Raw RetailSalesData'!E861,'Raw RetailSalesData'!F861)</f>
        <v>85</v>
      </c>
      <c r="G861" s="7">
        <f t="shared" si="13"/>
        <v>935</v>
      </c>
      <c r="H861" s="5" t="str">
        <f>IF('Raw RetailSalesData'!H861="","Unknown",'Raw RetailSalesData'!H861)</f>
        <v>NA</v>
      </c>
      <c r="I861" t="s">
        <v>28</v>
      </c>
      <c r="J861" t="s">
        <v>29</v>
      </c>
      <c r="K861" t="str">
        <f>TRIM('Raw RetailSalesData'!K861)</f>
        <v>Sales Rep 4</v>
      </c>
      <c r="L861" t="s">
        <v>46</v>
      </c>
    </row>
    <row r="862" spans="1:12" x14ac:dyDescent="0.3">
      <c r="A862" t="str">
        <f>IF(COUNTIF('Raw RetailSalesData'!$A:$L,'Raw RetailSalesData'!A862)=1,'Raw RetailSalesData'!A862,"")</f>
        <v>ORD-10940</v>
      </c>
      <c r="B862" t="str">
        <f>IF('Raw RetailSalesData'!B862="","UNKNOWN",'Raw RetailSalesData'!B862)</f>
        <v>2025-06-27</v>
      </c>
      <c r="C862" t="str">
        <f>IF('Raw RetailSalesData'!C862="","UNKNOW",'Raw RetailSalesData'!C862)</f>
        <v>CUST-1186</v>
      </c>
      <c r="D862" t="str">
        <f>IF('Raw RetailSalesData'!D862="","UNKNOW",'Raw RetailSalesData'!D862)</f>
        <v>P201</v>
      </c>
      <c r="E862" s="5">
        <f>IF('Raw RetailSalesData'!E862="",'Raw RetailSalesData'!F862/'Raw RetailSalesData'!G862,'Raw RetailSalesData'!E862)</f>
        <v>1</v>
      </c>
      <c r="F862" s="7">
        <f>IF('Raw RetailSalesData'!F862="",'Raw RetailSalesData'!G862/'Raw RetailSalesData'!E862,'Raw RetailSalesData'!F862)</f>
        <v>75</v>
      </c>
      <c r="G862" s="7">
        <f t="shared" si="13"/>
        <v>75</v>
      </c>
      <c r="H862" s="5" t="str">
        <f>IF('Raw RetailSalesData'!H862="","Unknown",'Raw RetailSalesData'!H862)</f>
        <v>NA</v>
      </c>
      <c r="I862" t="s">
        <v>100</v>
      </c>
      <c r="J862" t="s">
        <v>101</v>
      </c>
      <c r="K862" t="str">
        <f>TRIM('Raw RetailSalesData'!K862)</f>
        <v>Sales Rep 5</v>
      </c>
      <c r="L862" t="s">
        <v>31</v>
      </c>
    </row>
    <row r="863" spans="1:12" x14ac:dyDescent="0.3">
      <c r="A863" t="str">
        <f>IF(COUNTIF('Raw RetailSalesData'!$A:$L,'Raw RetailSalesData'!A863)=1,'Raw RetailSalesData'!A863,"")</f>
        <v>ORD-10942</v>
      </c>
      <c r="B863" t="str">
        <f>IF('Raw RetailSalesData'!B863="","UNKNOWN",'Raw RetailSalesData'!B863)</f>
        <v xml:space="preserve"> 2023-09-22 </v>
      </c>
      <c r="C863" t="str">
        <f>IF('Raw RetailSalesData'!C863="","UNKNOW",'Raw RetailSalesData'!C863)</f>
        <v>CUST-1129</v>
      </c>
      <c r="D863" t="str">
        <f>IF('Raw RetailSalesData'!D863="","UNKNOW",'Raw RetailSalesData'!D863)</f>
        <v>P103</v>
      </c>
      <c r="E863" s="5">
        <f>IF('Raw RetailSalesData'!E863="",'Raw RetailSalesData'!F863/'Raw RetailSalesData'!G863,'Raw RetailSalesData'!E863)</f>
        <v>14</v>
      </c>
      <c r="F863" s="7">
        <f>IF('Raw RetailSalesData'!F863="",'Raw RetailSalesData'!G863/'Raw RetailSalesData'!E863,'Raw RetailSalesData'!F863)</f>
        <v>100</v>
      </c>
      <c r="G863" s="7">
        <f t="shared" si="13"/>
        <v>1400</v>
      </c>
      <c r="H863" s="5" t="str">
        <f>IF('Raw RetailSalesData'!H863="","Unknown",'Raw RetailSalesData'!H863)</f>
        <v>NA</v>
      </c>
      <c r="I863" t="s">
        <v>100</v>
      </c>
      <c r="J863" t="s">
        <v>101</v>
      </c>
      <c r="K863" t="str">
        <f>TRIM('Raw RetailSalesData'!K863)</f>
        <v>Sales Rep 3</v>
      </c>
      <c r="L863" t="s">
        <v>46</v>
      </c>
    </row>
    <row r="864" spans="1:12" x14ac:dyDescent="0.3">
      <c r="A864" t="str">
        <f>IF(COUNTIF('Raw RetailSalesData'!$A:$L,'Raw RetailSalesData'!A864)=1,'Raw RetailSalesData'!A864,"")</f>
        <v>ORD-10943</v>
      </c>
      <c r="B864" t="str">
        <f>IF('Raw RetailSalesData'!B864="","UNKNOWN",'Raw RetailSalesData'!B864)</f>
        <v>2024-05-30</v>
      </c>
      <c r="C864" t="str">
        <f>IF('Raw RetailSalesData'!C864="","UNKNOW",'Raw RetailSalesData'!C864)</f>
        <v>CUST-1028</v>
      </c>
      <c r="D864" t="str">
        <f>IF('Raw RetailSalesData'!D864="","UNKNOW",'Raw RetailSalesData'!D864)</f>
        <v>C301</v>
      </c>
      <c r="E864" s="5">
        <f>IF('Raw RetailSalesData'!E864="",'Raw RetailSalesData'!F864/'Raw RetailSalesData'!G864,'Raw RetailSalesData'!E864)</f>
        <v>4</v>
      </c>
      <c r="F864" s="7">
        <f>IF('Raw RetailSalesData'!F864="",'Raw RetailSalesData'!G864/'Raw RetailSalesData'!E864,'Raw RetailSalesData'!F864)</f>
        <v>60</v>
      </c>
      <c r="G864" s="7">
        <f t="shared" si="13"/>
        <v>240</v>
      </c>
      <c r="H864" s="5" t="str">
        <f>IF('Raw RetailSalesData'!H864="","Unknown",'Raw RetailSalesData'!H864)</f>
        <v>NA</v>
      </c>
      <c r="I864" t="s">
        <v>100</v>
      </c>
      <c r="J864" t="s">
        <v>101</v>
      </c>
      <c r="K864" t="str">
        <f>TRIM('Raw RetailSalesData'!K864)</f>
        <v>Sales Rep 5</v>
      </c>
      <c r="L864" t="s">
        <v>21</v>
      </c>
    </row>
    <row r="865" spans="1:12" x14ac:dyDescent="0.3">
      <c r="A865" t="str">
        <f>IF(COUNTIF('Raw RetailSalesData'!$A:$L,'Raw RetailSalesData'!A865)=1,'Raw RetailSalesData'!A865,"")</f>
        <v>ORD-10945</v>
      </c>
      <c r="B865" t="str">
        <f>IF('Raw RetailSalesData'!B865="","UNKNOWN",'Raw RetailSalesData'!B865)</f>
        <v>2026-01-18</v>
      </c>
      <c r="C865" t="str">
        <f>IF('Raw RetailSalesData'!C865="","UNKNOW",'Raw RetailSalesData'!C865)</f>
        <v xml:space="preserve"> CUST-1146 </v>
      </c>
      <c r="D865" t="str">
        <f>IF('Raw RetailSalesData'!D865="","UNKNOW",'Raw RetailSalesData'!D865)</f>
        <v>P201</v>
      </c>
      <c r="E865" s="5">
        <f>IF('Raw RetailSalesData'!E865="",'Raw RetailSalesData'!F865/'Raw RetailSalesData'!G865,'Raw RetailSalesData'!E865)</f>
        <v>14</v>
      </c>
      <c r="F865" s="7">
        <f>IF('Raw RetailSalesData'!F865="",'Raw RetailSalesData'!G865/'Raw RetailSalesData'!E865,'Raw RetailSalesData'!F865)</f>
        <v>70</v>
      </c>
      <c r="G865" s="7">
        <f t="shared" si="13"/>
        <v>980</v>
      </c>
      <c r="H865" s="5" t="str">
        <f>IF('Raw RetailSalesData'!H865="","Unknown",'Raw RetailSalesData'!H865)</f>
        <v>EMEA</v>
      </c>
      <c r="I865" t="s">
        <v>38</v>
      </c>
      <c r="J865" t="s">
        <v>39</v>
      </c>
      <c r="K865" t="str">
        <f>TRIM('Raw RetailSalesData'!K865)</f>
        <v>Sales Rep 2</v>
      </c>
      <c r="L865" t="s">
        <v>46</v>
      </c>
    </row>
    <row r="866" spans="1:12" x14ac:dyDescent="0.3">
      <c r="A866" t="str">
        <f>IF(COUNTIF('Raw RetailSalesData'!$A:$L,'Raw RetailSalesData'!A866)=1,'Raw RetailSalesData'!A866,"")</f>
        <v>ORD-10946</v>
      </c>
      <c r="B866" t="str">
        <f>IF('Raw RetailSalesData'!B866="","UNKNOWN",'Raw RetailSalesData'!B866)</f>
        <v>2026-04-18</v>
      </c>
      <c r="C866" t="str">
        <f>IF('Raw RetailSalesData'!C866="","UNKNOW",'Raw RetailSalesData'!C866)</f>
        <v>CUST-1172</v>
      </c>
      <c r="D866" t="str">
        <f>IF('Raw RetailSalesData'!D866="","UNKNOW",'Raw RetailSalesData'!D866)</f>
        <v>P202</v>
      </c>
      <c r="E866" s="5">
        <f>IF('Raw RetailSalesData'!E866="",'Raw RetailSalesData'!F866/'Raw RetailSalesData'!G866,'Raw RetailSalesData'!E866)</f>
        <v>13</v>
      </c>
      <c r="F866" s="7">
        <f>IF('Raw RetailSalesData'!F866="",'Raw RetailSalesData'!G866/'Raw RetailSalesData'!E866,'Raw RetailSalesData'!F866)</f>
        <v>65</v>
      </c>
      <c r="G866" s="7">
        <f t="shared" si="13"/>
        <v>845</v>
      </c>
      <c r="H866" s="5" t="str">
        <f>IF('Raw RetailSalesData'!H866="","Unknown",'Raw RetailSalesData'!H866)</f>
        <v>EMEA</v>
      </c>
      <c r="I866" t="s">
        <v>225</v>
      </c>
      <c r="J866" t="s">
        <v>226</v>
      </c>
      <c r="K866" t="str">
        <f>TRIM('Raw RetailSalesData'!K866)</f>
        <v>Sales Rep 1</v>
      </c>
      <c r="L866" t="s">
        <v>31</v>
      </c>
    </row>
    <row r="867" spans="1:12" x14ac:dyDescent="0.3">
      <c r="A867" t="str">
        <f>IF(COUNTIF('Raw RetailSalesData'!$A:$L,'Raw RetailSalesData'!A867)=1,'Raw RetailSalesData'!A867,"")</f>
        <v>ORD-10947</v>
      </c>
      <c r="B867" t="str">
        <f>IF('Raw RetailSalesData'!B867="","UNKNOWN",'Raw RetailSalesData'!B867)</f>
        <v>2025-03-30</v>
      </c>
      <c r="C867" t="str">
        <f>IF('Raw RetailSalesData'!C867="","UNKNOW",'Raw RetailSalesData'!C867)</f>
        <v>CUST-1081</v>
      </c>
      <c r="D867" t="str">
        <f>IF('Raw RetailSalesData'!D867="","UNKNOW",'Raw RetailSalesData'!D867)</f>
        <v>C303</v>
      </c>
      <c r="E867" s="5">
        <f>IF('Raw RetailSalesData'!E867="",'Raw RetailSalesData'!F867/'Raw RetailSalesData'!G867,'Raw RetailSalesData'!E867)</f>
        <v>4</v>
      </c>
      <c r="F867" s="7">
        <f>IF('Raw RetailSalesData'!F867="",'Raw RetailSalesData'!G867/'Raw RetailSalesData'!E867,'Raw RetailSalesData'!F867)</f>
        <v>60</v>
      </c>
      <c r="G867" s="7">
        <f t="shared" si="13"/>
        <v>240</v>
      </c>
      <c r="H867" s="5" t="str">
        <f>IF('Raw RetailSalesData'!H867="","Unknown",'Raw RetailSalesData'!H867)</f>
        <v>APAC</v>
      </c>
      <c r="I867" t="s">
        <v>71</v>
      </c>
      <c r="J867" t="s">
        <v>72</v>
      </c>
      <c r="K867" t="str">
        <f>TRIM('Raw RetailSalesData'!K867)</f>
        <v>Hiroshi Tanaka</v>
      </c>
      <c r="L867" t="s">
        <v>46</v>
      </c>
    </row>
    <row r="868" spans="1:12" x14ac:dyDescent="0.3">
      <c r="A868" t="str">
        <f>IF(COUNTIF('Raw RetailSalesData'!$A:$L,'Raw RetailSalesData'!A868)=1,'Raw RetailSalesData'!A868,"")</f>
        <v>ORD-10948</v>
      </c>
      <c r="B868" t="str">
        <f>IF('Raw RetailSalesData'!B868="","UNKNOWN",'Raw RetailSalesData'!B868)</f>
        <v>2024-06-30</v>
      </c>
      <c r="C868" t="str">
        <f>IF('Raw RetailSalesData'!C868="","UNKNOW",'Raw RetailSalesData'!C868)</f>
        <v>CUST-1066</v>
      </c>
      <c r="D868" t="str">
        <f>IF('Raw RetailSalesData'!D868="","UNKNOW",'Raw RetailSalesData'!D868)</f>
        <v>P202</v>
      </c>
      <c r="E868" s="5">
        <f>IF('Raw RetailSalesData'!E868="",'Raw RetailSalesData'!F868/'Raw RetailSalesData'!G868,'Raw RetailSalesData'!E868)</f>
        <v>4</v>
      </c>
      <c r="F868" s="7">
        <f>IF('Raw RetailSalesData'!F868="",'Raw RetailSalesData'!G868/'Raw RetailSalesData'!E868,'Raw RetailSalesData'!F868)</f>
        <v>60</v>
      </c>
      <c r="G868" s="7">
        <f t="shared" si="13"/>
        <v>240</v>
      </c>
      <c r="H868" s="5" t="str">
        <f>IF('Raw RetailSalesData'!H868="","Unknown",'Raw RetailSalesData'!H868)</f>
        <v>LATAM</v>
      </c>
      <c r="I868" t="s">
        <v>90</v>
      </c>
      <c r="J868" t="s">
        <v>2198</v>
      </c>
      <c r="K868" t="str">
        <f>TRIM('Raw RetailSalesData'!K868)</f>
        <v>Sales Rep 4</v>
      </c>
      <c r="L868" t="s">
        <v>46</v>
      </c>
    </row>
    <row r="869" spans="1:12" x14ac:dyDescent="0.3">
      <c r="A869" t="str">
        <f>IF(COUNTIF('Raw RetailSalesData'!$A:$L,'Raw RetailSalesData'!A869)=1,'Raw RetailSalesData'!A869,"")</f>
        <v>ORD-10949</v>
      </c>
      <c r="B869" t="str">
        <f>IF('Raw RetailSalesData'!B869="","UNKNOWN",'Raw RetailSalesData'!B869)</f>
        <v xml:space="preserve"> 2024-11-28 </v>
      </c>
      <c r="C869" t="str">
        <f>IF('Raw RetailSalesData'!C869="","UNKNOW",'Raw RetailSalesData'!C869)</f>
        <v>CUST-1146</v>
      </c>
      <c r="D869" t="str">
        <f>IF('Raw RetailSalesData'!D869="","UNKNOW",'Raw RetailSalesData'!D869)</f>
        <v>P101</v>
      </c>
      <c r="E869" s="5">
        <f>IF('Raw RetailSalesData'!E869="",'Raw RetailSalesData'!F869/'Raw RetailSalesData'!G869,'Raw RetailSalesData'!E869)</f>
        <v>3</v>
      </c>
      <c r="F869" s="7">
        <f>IF('Raw RetailSalesData'!F869="",'Raw RetailSalesData'!G869/'Raw RetailSalesData'!E869,'Raw RetailSalesData'!F869)</f>
        <v>85</v>
      </c>
      <c r="G869" s="7">
        <f t="shared" si="13"/>
        <v>255</v>
      </c>
      <c r="H869" s="5" t="str">
        <f>IF('Raw RetailSalesData'!H869="","Unknown",'Raw RetailSalesData'!H869)</f>
        <v>EMEA</v>
      </c>
      <c r="I869" t="s">
        <v>83</v>
      </c>
      <c r="J869" t="s">
        <v>84</v>
      </c>
      <c r="K869" t="str">
        <f>TRIM('Raw RetailSalesData'!K869)</f>
        <v>John Smith</v>
      </c>
      <c r="L869" t="s">
        <v>31</v>
      </c>
    </row>
    <row r="870" spans="1:12" x14ac:dyDescent="0.3">
      <c r="A870" t="str">
        <f>IF(COUNTIF('Raw RetailSalesData'!$A:$L,'Raw RetailSalesData'!A870)=1,'Raw RetailSalesData'!A870,"")</f>
        <v>ORD-10950</v>
      </c>
      <c r="B870" t="str">
        <f>IF('Raw RetailSalesData'!B870="","UNKNOWN",'Raw RetailSalesData'!B870)</f>
        <v>2023-01-04</v>
      </c>
      <c r="C870" t="str">
        <f>IF('Raw RetailSalesData'!C870="","UNKNOW",'Raw RetailSalesData'!C870)</f>
        <v>CUST-1056</v>
      </c>
      <c r="D870" t="str">
        <f>IF('Raw RetailSalesData'!D870="","UNKNOW",'Raw RetailSalesData'!D870)</f>
        <v>P103</v>
      </c>
      <c r="E870" s="5">
        <f>IF('Raw RetailSalesData'!E870="",'Raw RetailSalesData'!F870/'Raw RetailSalesData'!G870,'Raw RetailSalesData'!E870)</f>
        <v>8</v>
      </c>
      <c r="F870" s="7">
        <f>IF('Raw RetailSalesData'!F870="",'Raw RetailSalesData'!G870/'Raw RetailSalesData'!E870,'Raw RetailSalesData'!F870)</f>
        <v>95</v>
      </c>
      <c r="G870" s="7">
        <f t="shared" si="13"/>
        <v>760</v>
      </c>
      <c r="H870" s="5" t="str">
        <f>IF('Raw RetailSalesData'!H870="","Unknown",'Raw RetailSalesData'!H870)</f>
        <v>EMEA</v>
      </c>
      <c r="I870" t="s">
        <v>38</v>
      </c>
      <c r="J870" t="s">
        <v>39</v>
      </c>
      <c r="K870" t="str">
        <f>TRIM('Raw RetailSalesData'!K870)</f>
        <v>Sales Rep 4</v>
      </c>
      <c r="L870" t="s">
        <v>2190</v>
      </c>
    </row>
    <row r="871" spans="1:12" x14ac:dyDescent="0.3">
      <c r="A871" t="str">
        <f>IF(COUNTIF('Raw RetailSalesData'!$A:$L,'Raw RetailSalesData'!A871)=1,'Raw RetailSalesData'!A871,"")</f>
        <v>ORD-10952</v>
      </c>
      <c r="B871" t="str">
        <f>IF('Raw RetailSalesData'!B871="","UNKNOWN",'Raw RetailSalesData'!B871)</f>
        <v>2023-03-10</v>
      </c>
      <c r="C871" t="str">
        <f>IF('Raw RetailSalesData'!C871="","UNKNOW",'Raw RetailSalesData'!C871)</f>
        <v>CUST-1046</v>
      </c>
      <c r="D871" t="str">
        <f>IF('Raw RetailSalesData'!D871="","UNKNOW",'Raw RetailSalesData'!D871)</f>
        <v>C302</v>
      </c>
      <c r="E871" s="5">
        <f>IF('Raw RetailSalesData'!E871="",'Raw RetailSalesData'!F871/'Raw RetailSalesData'!G871,'Raw RetailSalesData'!E871)</f>
        <v>7</v>
      </c>
      <c r="F871" s="7">
        <f>IF('Raw RetailSalesData'!F871="",'Raw RetailSalesData'!G871/'Raw RetailSalesData'!E871,'Raw RetailSalesData'!F871)</f>
        <v>45</v>
      </c>
      <c r="G871" s="7">
        <f t="shared" si="13"/>
        <v>315</v>
      </c>
      <c r="H871" s="5" t="str">
        <f>IF('Raw RetailSalesData'!H871="","Unknown",'Raw RetailSalesData'!H871)</f>
        <v>LATAM</v>
      </c>
      <c r="I871" t="s">
        <v>90</v>
      </c>
      <c r="J871" t="s">
        <v>2198</v>
      </c>
      <c r="K871" t="str">
        <f>TRIM('Raw RetailSalesData'!K871)</f>
        <v>Sales Rep 5</v>
      </c>
      <c r="L871" t="s">
        <v>21</v>
      </c>
    </row>
    <row r="872" spans="1:12" x14ac:dyDescent="0.3">
      <c r="A872" t="str">
        <f>IF(COUNTIF('Raw RetailSalesData'!$A:$L,'Raw RetailSalesData'!A872)=1,'Raw RetailSalesData'!A872,"")</f>
        <v>ORD-10953</v>
      </c>
      <c r="B872" t="str">
        <f>IF('Raw RetailSalesData'!B872="","UNKNOWN",'Raw RetailSalesData'!B872)</f>
        <v>2022-11-23</v>
      </c>
      <c r="C872" t="str">
        <f>IF('Raw RetailSalesData'!C872="","UNKNOW",'Raw RetailSalesData'!C872)</f>
        <v>CUST-1165</v>
      </c>
      <c r="D872" t="str">
        <f>IF('Raw RetailSalesData'!D872="","UNKNOW",'Raw RetailSalesData'!D872)</f>
        <v>P103</v>
      </c>
      <c r="E872" s="5">
        <f>IF('Raw RetailSalesData'!E872="",'Raw RetailSalesData'!F872/'Raw RetailSalesData'!G872,'Raw RetailSalesData'!E872)</f>
        <v>14</v>
      </c>
      <c r="F872" s="7">
        <f>IF('Raw RetailSalesData'!F872="",'Raw RetailSalesData'!G872/'Raw RetailSalesData'!E872,'Raw RetailSalesData'!F872)</f>
        <v>100</v>
      </c>
      <c r="G872" s="7">
        <f t="shared" si="13"/>
        <v>1400</v>
      </c>
      <c r="H872" s="5" t="str">
        <f>IF('Raw RetailSalesData'!H872="","Unknown",'Raw RetailSalesData'!H872)</f>
        <v>NA</v>
      </c>
      <c r="I872" t="s">
        <v>100</v>
      </c>
      <c r="J872" t="s">
        <v>101</v>
      </c>
      <c r="K872" t="str">
        <f>TRIM('Raw RetailSalesData'!K872)</f>
        <v>Sales Rep 4</v>
      </c>
      <c r="L872" t="s">
        <v>46</v>
      </c>
    </row>
    <row r="873" spans="1:12" x14ac:dyDescent="0.3">
      <c r="A873" t="str">
        <f>IF(COUNTIF('Raw RetailSalesData'!$A:$L,'Raw RetailSalesData'!A873)=1,'Raw RetailSalesData'!A873,"")</f>
        <v>ORD-10954</v>
      </c>
      <c r="B873" t="str">
        <f>IF('Raw RetailSalesData'!B873="","UNKNOWN",'Raw RetailSalesData'!B873)</f>
        <v>2026-01-13</v>
      </c>
      <c r="C873" t="str">
        <f>IF('Raw RetailSalesData'!C873="","UNKNOW",'Raw RetailSalesData'!C873)</f>
        <v>CUST-1177</v>
      </c>
      <c r="D873" t="str">
        <f>IF('Raw RetailSalesData'!D873="","UNKNOW",'Raw RetailSalesData'!D873)</f>
        <v>P101</v>
      </c>
      <c r="E873" s="5">
        <f>IF('Raw RetailSalesData'!E873="",'Raw RetailSalesData'!F873/'Raw RetailSalesData'!G873,'Raw RetailSalesData'!E873)</f>
        <v>4</v>
      </c>
      <c r="F873" s="7">
        <f>IF('Raw RetailSalesData'!F873="",'Raw RetailSalesData'!G873/'Raw RetailSalesData'!E873,'Raw RetailSalesData'!F873)</f>
        <v>85</v>
      </c>
      <c r="G873" s="7">
        <f t="shared" si="13"/>
        <v>340</v>
      </c>
      <c r="H873" s="5" t="str">
        <f>IF('Raw RetailSalesData'!H873="","Unknown",'Raw RetailSalesData'!H873)</f>
        <v>APAC</v>
      </c>
      <c r="I873" t="s">
        <v>151</v>
      </c>
      <c r="J873" t="s">
        <v>152</v>
      </c>
      <c r="K873" t="str">
        <f>TRIM('Raw RetailSalesData'!K873)</f>
        <v>Aarav Patel</v>
      </c>
      <c r="L873" t="s">
        <v>21</v>
      </c>
    </row>
    <row r="874" spans="1:12" x14ac:dyDescent="0.3">
      <c r="A874" t="str">
        <f>IF(COUNTIF('Raw RetailSalesData'!$A:$L,'Raw RetailSalesData'!A874)=1,'Raw RetailSalesData'!A874,"")</f>
        <v>ORD-10955</v>
      </c>
      <c r="B874" t="str">
        <f>IF('Raw RetailSalesData'!B874="","UNKNOWN",'Raw RetailSalesData'!B874)</f>
        <v>2022-11-21</v>
      </c>
      <c r="C874" t="str">
        <f>IF('Raw RetailSalesData'!C874="","UNKNOW",'Raw RetailSalesData'!C874)</f>
        <v>#N/A</v>
      </c>
      <c r="D874" t="str">
        <f>IF('Raw RetailSalesData'!D874="","UNKNOW",'Raw RetailSalesData'!D874)</f>
        <v>P201</v>
      </c>
      <c r="E874" s="5">
        <f>IF('Raw RetailSalesData'!E874="",'Raw RetailSalesData'!F874/'Raw RetailSalesData'!G874,'Raw RetailSalesData'!E874)</f>
        <v>19</v>
      </c>
      <c r="F874" s="7">
        <f>IF('Raw RetailSalesData'!F874="",'Raw RetailSalesData'!G874/'Raw RetailSalesData'!E874,'Raw RetailSalesData'!F874)</f>
        <v>75</v>
      </c>
      <c r="G874" s="7">
        <f t="shared" si="13"/>
        <v>1425</v>
      </c>
      <c r="H874" s="5" t="str">
        <f>IF('Raw RetailSalesData'!H874="","Unknown",'Raw RetailSalesData'!H874)</f>
        <v>NA</v>
      </c>
      <c r="I874" t="s">
        <v>100</v>
      </c>
      <c r="J874" t="s">
        <v>101</v>
      </c>
      <c r="K874" t="str">
        <f>TRIM('Raw RetailSalesData'!K874)</f>
        <v>Sales Rep 3</v>
      </c>
      <c r="L874" t="s">
        <v>46</v>
      </c>
    </row>
    <row r="875" spans="1:12" x14ac:dyDescent="0.3">
      <c r="A875" t="str">
        <f>IF(COUNTIF('Raw RetailSalesData'!$A:$L,'Raw RetailSalesData'!A875)=1,'Raw RetailSalesData'!A875,"")</f>
        <v>ORD-10956</v>
      </c>
      <c r="B875" t="str">
        <f>IF('Raw RetailSalesData'!B875="","UNKNOWN",'Raw RetailSalesData'!B875)</f>
        <v>2026-04-29</v>
      </c>
      <c r="C875" t="str">
        <f>IF('Raw RetailSalesData'!C875="","UNKNOW",'Raw RetailSalesData'!C875)</f>
        <v>CUST-1110</v>
      </c>
      <c r="D875" t="str">
        <f>IF('Raw RetailSalesData'!D875="","UNKNOW",'Raw RetailSalesData'!D875)</f>
        <v>P103</v>
      </c>
      <c r="E875" s="5">
        <f>IF('Raw RetailSalesData'!E875="",'Raw RetailSalesData'!F875/'Raw RetailSalesData'!G875,'Raw RetailSalesData'!E875)</f>
        <v>7</v>
      </c>
      <c r="F875" s="7">
        <f>IF('Raw RetailSalesData'!F875="",'Raw RetailSalesData'!G875/'Raw RetailSalesData'!E875,'Raw RetailSalesData'!F875)</f>
        <v>95</v>
      </c>
      <c r="G875" s="7">
        <f t="shared" si="13"/>
        <v>665</v>
      </c>
      <c r="H875" s="5" t="str">
        <f>IF('Raw RetailSalesData'!H875="","Unknown",'Raw RetailSalesData'!H875)</f>
        <v>EMEA</v>
      </c>
      <c r="I875" t="s">
        <v>83</v>
      </c>
      <c r="J875" t="s">
        <v>84</v>
      </c>
      <c r="K875" t="str">
        <f>TRIM('Raw RetailSalesData'!K875)</f>
        <v>John Smith</v>
      </c>
      <c r="L875" t="s">
        <v>21</v>
      </c>
    </row>
    <row r="876" spans="1:12" x14ac:dyDescent="0.3">
      <c r="A876" t="str">
        <f>IF(COUNTIF('Raw RetailSalesData'!$A:$L,'Raw RetailSalesData'!A876)=1,'Raw RetailSalesData'!A876,"")</f>
        <v>ORD-10957</v>
      </c>
      <c r="B876" t="str">
        <f>IF('Raw RetailSalesData'!B876="","UNKNOWN",'Raw RetailSalesData'!B876)</f>
        <v>2022-04-04</v>
      </c>
      <c r="C876" t="str">
        <f>IF('Raw RetailSalesData'!C876="","UNKNOW",'Raw RetailSalesData'!C876)</f>
        <v>CUST-1169</v>
      </c>
      <c r="D876" t="str">
        <f>IF('Raw RetailSalesData'!D876="","UNKNOW",'Raw RetailSalesData'!D876)</f>
        <v>P202</v>
      </c>
      <c r="E876" s="5">
        <f>IF('Raw RetailSalesData'!E876="",'Raw RetailSalesData'!F876/'Raw RetailSalesData'!G876,'Raw RetailSalesData'!E876)</f>
        <v>4</v>
      </c>
      <c r="F876" s="7">
        <f>IF('Raw RetailSalesData'!F876="",'Raw RetailSalesData'!G876/'Raw RetailSalesData'!E876,'Raw RetailSalesData'!F876)</f>
        <v>60</v>
      </c>
      <c r="G876" s="7">
        <f t="shared" si="13"/>
        <v>240</v>
      </c>
      <c r="H876" s="5" t="str">
        <f>IF('Raw RetailSalesData'!H876="","Unknown",'Raw RetailSalesData'!H876)</f>
        <v>LATAM</v>
      </c>
      <c r="I876" t="s">
        <v>18</v>
      </c>
      <c r="J876" t="s">
        <v>2197</v>
      </c>
      <c r="K876" t="str">
        <f>TRIM('Raw RetailSalesData'!K876)</f>
        <v>Sales Rep 4</v>
      </c>
      <c r="L876" t="s">
        <v>46</v>
      </c>
    </row>
    <row r="877" spans="1:12" x14ac:dyDescent="0.3">
      <c r="A877" t="str">
        <f>IF(COUNTIF('Raw RetailSalesData'!$A:$L,'Raw RetailSalesData'!A877)=1,'Raw RetailSalesData'!A877,"")</f>
        <v>ORD-10958</v>
      </c>
      <c r="B877" t="str">
        <f>IF('Raw RetailSalesData'!B877="","UNKNOWN",'Raw RetailSalesData'!B877)</f>
        <v>2024-11-21</v>
      </c>
      <c r="C877" t="str">
        <f>IF('Raw RetailSalesData'!C877="","UNKNOW",'Raw RetailSalesData'!C877)</f>
        <v>CUST-1155</v>
      </c>
      <c r="D877" t="str">
        <f>IF('Raw RetailSalesData'!D877="","UNKNOW",'Raw RetailSalesData'!D877)</f>
        <v>P203</v>
      </c>
      <c r="E877" s="5">
        <f>IF('Raw RetailSalesData'!E877="",'Raw RetailSalesData'!F877/'Raw RetailSalesData'!G877,'Raw RetailSalesData'!E877)</f>
        <v>7</v>
      </c>
      <c r="F877" s="7">
        <f>IF('Raw RetailSalesData'!F877="",'Raw RetailSalesData'!G877/'Raw RetailSalesData'!E877,'Raw RetailSalesData'!F877)</f>
        <v>68</v>
      </c>
      <c r="G877" s="7">
        <f t="shared" si="13"/>
        <v>476</v>
      </c>
      <c r="H877" s="5" t="str">
        <f>IF('Raw RetailSalesData'!H877="","Unknown",'Raw RetailSalesData'!H877)</f>
        <v>EMEA</v>
      </c>
      <c r="I877" t="s">
        <v>83</v>
      </c>
      <c r="J877" t="s">
        <v>84</v>
      </c>
      <c r="K877" t="str">
        <f>TRIM('Raw RetailSalesData'!K877)</f>
        <v>John Smith</v>
      </c>
      <c r="L877" t="s">
        <v>46</v>
      </c>
    </row>
    <row r="878" spans="1:12" x14ac:dyDescent="0.3">
      <c r="A878" t="str">
        <f>IF(COUNTIF('Raw RetailSalesData'!$A:$L,'Raw RetailSalesData'!A878)=1,'Raw RetailSalesData'!A878,"")</f>
        <v>ORD-10959</v>
      </c>
      <c r="B878" t="str">
        <f>IF('Raw RetailSalesData'!B878="","UNKNOWN",'Raw RetailSalesData'!B878)</f>
        <v>2023-11-24</v>
      </c>
      <c r="C878" t="str">
        <f>IF('Raw RetailSalesData'!C878="","UNKNOW",'Raw RetailSalesData'!C878)</f>
        <v>UNKNOW</v>
      </c>
      <c r="D878" t="str">
        <f>IF('Raw RetailSalesData'!D878="","UNKNOW",'Raw RetailSalesData'!D878)</f>
        <v>P101</v>
      </c>
      <c r="E878" s="5">
        <f>IF('Raw RetailSalesData'!E878="",'Raw RetailSalesData'!F878/'Raw RetailSalesData'!G878,'Raw RetailSalesData'!E878)</f>
        <v>15</v>
      </c>
      <c r="F878" s="7">
        <f>IF('Raw RetailSalesData'!F878="",'Raw RetailSalesData'!G878/'Raw RetailSalesData'!E878,'Raw RetailSalesData'!F878)</f>
        <v>85</v>
      </c>
      <c r="G878" s="7">
        <f t="shared" si="13"/>
        <v>1275</v>
      </c>
      <c r="H878" s="5" t="str">
        <f>IF('Raw RetailSalesData'!H878="","Unknown",'Raw RetailSalesData'!H878)</f>
        <v>APAC</v>
      </c>
      <c r="I878" t="s">
        <v>151</v>
      </c>
      <c r="J878" t="s">
        <v>188</v>
      </c>
      <c r="K878" t="str">
        <f>TRIM('Raw RetailSalesData'!K878)</f>
        <v>Sales Rep 2</v>
      </c>
      <c r="L878" t="s">
        <v>21</v>
      </c>
    </row>
    <row r="879" spans="1:12" x14ac:dyDescent="0.3">
      <c r="A879" t="str">
        <f>IF(COUNTIF('Raw RetailSalesData'!$A:$L,'Raw RetailSalesData'!A879)=1,'Raw RetailSalesData'!A879,"")</f>
        <v>ORD-10960</v>
      </c>
      <c r="B879" t="str">
        <f>IF('Raw RetailSalesData'!B879="","UNKNOWN",'Raw RetailSalesData'!B879)</f>
        <v>2023-06-02</v>
      </c>
      <c r="C879" t="str">
        <f>IF('Raw RetailSalesData'!C879="","UNKNOW",'Raw RetailSalesData'!C879)</f>
        <v>CUST-1048</v>
      </c>
      <c r="D879" t="str">
        <f>IF('Raw RetailSalesData'!D879="","UNKNOW",'Raw RetailSalesData'!D879)</f>
        <v>P102</v>
      </c>
      <c r="E879" s="5">
        <f>IF('Raw RetailSalesData'!E879="",'Raw RetailSalesData'!F879/'Raw RetailSalesData'!G879,'Raw RetailSalesData'!E879)</f>
        <v>10</v>
      </c>
      <c r="F879" s="7">
        <f>IF('Raw RetailSalesData'!F879="",'Raw RetailSalesData'!G879/'Raw RetailSalesData'!E879,'Raw RetailSalesData'!F879)</f>
        <v>80</v>
      </c>
      <c r="G879" s="7">
        <f t="shared" si="13"/>
        <v>800</v>
      </c>
      <c r="H879" s="5" t="str">
        <f>IF('Raw RetailSalesData'!H879="","Unknown",'Raw RetailSalesData'!H879)</f>
        <v>APAC</v>
      </c>
      <c r="I879" t="s">
        <v>151</v>
      </c>
      <c r="J879" t="s">
        <v>152</v>
      </c>
      <c r="K879" t="str">
        <f>TRIM('Raw RetailSalesData'!K879)</f>
        <v>Aarav Patel</v>
      </c>
      <c r="L879" t="s">
        <v>31</v>
      </c>
    </row>
    <row r="880" spans="1:12" x14ac:dyDescent="0.3">
      <c r="A880" t="str">
        <f>IF(COUNTIF('Raw RetailSalesData'!$A:$L,'Raw RetailSalesData'!A880)=1,'Raw RetailSalesData'!A880,"")</f>
        <v>ORD-10961</v>
      </c>
      <c r="B880" t="str">
        <f>IF('Raw RetailSalesData'!B880="","UNKNOWN",'Raw RetailSalesData'!B880)</f>
        <v>2025-11-06</v>
      </c>
      <c r="C880" t="str">
        <f>IF('Raw RetailSalesData'!C880="","UNKNOW",'Raw RetailSalesData'!C880)</f>
        <v>CUST-1046</v>
      </c>
      <c r="D880" t="str">
        <f>IF('Raw RetailSalesData'!D880="","UNKNOW",'Raw RetailSalesData'!D880)</f>
        <v>C304</v>
      </c>
      <c r="E880" s="5">
        <f>IF('Raw RetailSalesData'!E880="",'Raw RetailSalesData'!F880/'Raw RetailSalesData'!G880,'Raw RetailSalesData'!E880)</f>
        <v>3</v>
      </c>
      <c r="F880" s="7">
        <f>IF('Raw RetailSalesData'!F880="",'Raw RetailSalesData'!G880/'Raw RetailSalesData'!E880,'Raw RetailSalesData'!F880)</f>
        <v>63</v>
      </c>
      <c r="G880" s="7">
        <f t="shared" si="13"/>
        <v>189</v>
      </c>
      <c r="H880" s="5" t="str">
        <f>IF('Raw RetailSalesData'!H880="","Unknown",'Raw RetailSalesData'!H880)</f>
        <v>NA</v>
      </c>
      <c r="I880" t="s">
        <v>100</v>
      </c>
      <c r="J880" t="s">
        <v>101</v>
      </c>
      <c r="K880" t="str">
        <f>TRIM('Raw RetailSalesData'!K880)</f>
        <v>Sales Rep 5</v>
      </c>
      <c r="L880" t="s">
        <v>21</v>
      </c>
    </row>
    <row r="881" spans="1:12" x14ac:dyDescent="0.3">
      <c r="A881" t="str">
        <f>IF(COUNTIF('Raw RetailSalesData'!$A:$L,'Raw RetailSalesData'!A881)=1,'Raw RetailSalesData'!A881,"")</f>
        <v>ORD-10962</v>
      </c>
      <c r="B881" t="str">
        <f>IF('Raw RetailSalesData'!B881="","UNKNOWN",'Raw RetailSalesData'!B881)</f>
        <v>2023-12-24</v>
      </c>
      <c r="C881" t="str">
        <f>IF('Raw RetailSalesData'!C881="","UNKNOW",'Raw RetailSalesData'!C881)</f>
        <v>CUST-1044</v>
      </c>
      <c r="D881" t="str">
        <f>IF('Raw RetailSalesData'!D881="","UNKNOW",'Raw RetailSalesData'!D881)</f>
        <v>P201</v>
      </c>
      <c r="E881" s="5">
        <f>IF('Raw RetailSalesData'!E881="",'Raw RetailSalesData'!F881/'Raw RetailSalesData'!G881,'Raw RetailSalesData'!E881)</f>
        <v>7</v>
      </c>
      <c r="F881" s="7">
        <f>IF('Raw RetailSalesData'!F881="",'Raw RetailSalesData'!G881/'Raw RetailSalesData'!E881,'Raw RetailSalesData'!F881)</f>
        <v>70</v>
      </c>
      <c r="G881" s="7">
        <f t="shared" si="13"/>
        <v>490</v>
      </c>
      <c r="H881" s="5" t="str">
        <f>IF('Raw RetailSalesData'!H881="","Unknown",'Raw RetailSalesData'!H881)</f>
        <v>Unknown</v>
      </c>
      <c r="I881" t="s">
        <v>71</v>
      </c>
      <c r="J881" t="s">
        <v>72</v>
      </c>
      <c r="K881" t="str">
        <f>TRIM('Raw RetailSalesData'!K881)</f>
        <v>Hiroshi Tanaka</v>
      </c>
      <c r="L881" t="s">
        <v>46</v>
      </c>
    </row>
    <row r="882" spans="1:12" x14ac:dyDescent="0.3">
      <c r="A882" t="str">
        <f>IF(COUNTIF('Raw RetailSalesData'!$A:$L,'Raw RetailSalesData'!A882)=1,'Raw RetailSalesData'!A882,"")</f>
        <v>ORD-10963</v>
      </c>
      <c r="B882" t="str">
        <f>IF('Raw RetailSalesData'!B882="","UNKNOWN",'Raw RetailSalesData'!B882)</f>
        <v>2022-04-23</v>
      </c>
      <c r="C882" t="str">
        <f>IF('Raw RetailSalesData'!C882="","UNKNOW",'Raw RetailSalesData'!C882)</f>
        <v xml:space="preserve"> CUST-1077 </v>
      </c>
      <c r="D882" t="str">
        <f>IF('Raw RetailSalesData'!D882="","UNKNOW",'Raw RetailSalesData'!D882)</f>
        <v>P103</v>
      </c>
      <c r="E882" s="5">
        <f>IF('Raw RetailSalesData'!E882="",'Raw RetailSalesData'!F882/'Raw RetailSalesData'!G882,'Raw RetailSalesData'!E882)</f>
        <v>12</v>
      </c>
      <c r="F882" s="7">
        <f>IF('Raw RetailSalesData'!F882="",'Raw RetailSalesData'!G882/'Raw RetailSalesData'!E882,'Raw RetailSalesData'!F882)</f>
        <v>100</v>
      </c>
      <c r="G882" s="7">
        <f t="shared" si="13"/>
        <v>1200</v>
      </c>
      <c r="H882" s="5" t="str">
        <f>IF('Raw RetailSalesData'!H882="","Unknown",'Raw RetailSalesData'!H882)</f>
        <v>NA</v>
      </c>
      <c r="I882" t="s">
        <v>100</v>
      </c>
      <c r="J882" t="s">
        <v>101</v>
      </c>
      <c r="K882" t="str">
        <f>TRIM('Raw RetailSalesData'!K882)</f>
        <v>Sales Rep 1</v>
      </c>
      <c r="L882" t="s">
        <v>46</v>
      </c>
    </row>
    <row r="883" spans="1:12" x14ac:dyDescent="0.3">
      <c r="A883" t="str">
        <f>IF(COUNTIF('Raw RetailSalesData'!$A:$L,'Raw RetailSalesData'!A883)=1,'Raw RetailSalesData'!A883,"")</f>
        <v>ORD-10964</v>
      </c>
      <c r="B883" t="str">
        <f>IF('Raw RetailSalesData'!B883="","UNKNOWN",'Raw RetailSalesData'!B883)</f>
        <v>2023-06-01</v>
      </c>
      <c r="C883" t="str">
        <f>IF('Raw RetailSalesData'!C883="","UNKNOW",'Raw RetailSalesData'!C883)</f>
        <v>CUST-1194</v>
      </c>
      <c r="D883" t="str">
        <f>IF('Raw RetailSalesData'!D883="","UNKNOW",'Raw RetailSalesData'!D883)</f>
        <v>P103</v>
      </c>
      <c r="E883" s="5">
        <f>IF('Raw RetailSalesData'!E883="",'Raw RetailSalesData'!F883/'Raw RetailSalesData'!G883,'Raw RetailSalesData'!E883)</f>
        <v>3</v>
      </c>
      <c r="F883" s="7">
        <f>IF('Raw RetailSalesData'!F883="",'Raw RetailSalesData'!G883/'Raw RetailSalesData'!E883,'Raw RetailSalesData'!F883)</f>
        <v>100</v>
      </c>
      <c r="G883" s="7">
        <f t="shared" si="13"/>
        <v>300</v>
      </c>
      <c r="H883" s="5" t="str">
        <f>IF('Raw RetailSalesData'!H883="","Unknown",'Raw RetailSalesData'!H883)</f>
        <v>NA</v>
      </c>
      <c r="I883" t="s">
        <v>28</v>
      </c>
      <c r="J883" t="s">
        <v>29</v>
      </c>
      <c r="K883" t="str">
        <f>TRIM('Raw RetailSalesData'!K883)</f>
        <v>Sales Rep 4</v>
      </c>
      <c r="L883" t="s">
        <v>31</v>
      </c>
    </row>
    <row r="884" spans="1:12" x14ac:dyDescent="0.3">
      <c r="A884" t="str">
        <f>IF(COUNTIF('Raw RetailSalesData'!$A:$L,'Raw RetailSalesData'!A884)=1,'Raw RetailSalesData'!A884,"")</f>
        <v>ORD-10965</v>
      </c>
      <c r="B884" t="str">
        <f>IF('Raw RetailSalesData'!B884="","UNKNOWN",'Raw RetailSalesData'!B884)</f>
        <v>2025-09-06</v>
      </c>
      <c r="C884" t="str">
        <f>IF('Raw RetailSalesData'!C884="","UNKNOW",'Raw RetailSalesData'!C884)</f>
        <v>CUST-1124</v>
      </c>
      <c r="D884" t="str">
        <f>IF('Raw RetailSalesData'!D884="","UNKNOW",'Raw RetailSalesData'!D884)</f>
        <v>P101</v>
      </c>
      <c r="E884" s="5">
        <f>IF('Raw RetailSalesData'!E884="",'Raw RetailSalesData'!F884/'Raw RetailSalesData'!G884,'Raw RetailSalesData'!E884)</f>
        <v>7</v>
      </c>
      <c r="F884" s="7">
        <f>IF('Raw RetailSalesData'!F884="",'Raw RetailSalesData'!G884/'Raw RetailSalesData'!E884,'Raw RetailSalesData'!F884)</f>
        <v>80</v>
      </c>
      <c r="G884" s="7">
        <f t="shared" si="13"/>
        <v>560</v>
      </c>
      <c r="H884" s="5" t="str">
        <f>IF('Raw RetailSalesData'!H884="","Unknown",'Raw RetailSalesData'!H884)</f>
        <v>LATAM</v>
      </c>
      <c r="I884" t="s">
        <v>90</v>
      </c>
      <c r="J884" t="s">
        <v>2198</v>
      </c>
      <c r="K884" t="str">
        <f>TRIM('Raw RetailSalesData'!K884)</f>
        <v>Sales Rep 1</v>
      </c>
      <c r="L884" t="s">
        <v>46</v>
      </c>
    </row>
    <row r="885" spans="1:12" x14ac:dyDescent="0.3">
      <c r="A885" t="str">
        <f>IF(COUNTIF('Raw RetailSalesData'!$A:$L,'Raw RetailSalesData'!A885)=1,'Raw RetailSalesData'!A885,"")</f>
        <v>ORD-10966</v>
      </c>
      <c r="B885" t="str">
        <f>IF('Raw RetailSalesData'!B885="","UNKNOWN",'Raw RetailSalesData'!B885)</f>
        <v>2023-05-16</v>
      </c>
      <c r="C885" t="str">
        <f>IF('Raw RetailSalesData'!C885="","UNKNOW",'Raw RetailSalesData'!C885)</f>
        <v>CUST-1121</v>
      </c>
      <c r="D885" t="str">
        <f>IF('Raw RetailSalesData'!D885="","UNKNOW",'Raw RetailSalesData'!D885)</f>
        <v>C302</v>
      </c>
      <c r="E885" s="5">
        <f>IF('Raw RetailSalesData'!E885="",'Raw RetailSalesData'!F885/'Raw RetailSalesData'!G885,'Raw RetailSalesData'!E885)</f>
        <v>16</v>
      </c>
      <c r="F885" s="7">
        <f>IF('Raw RetailSalesData'!F885="",'Raw RetailSalesData'!G885/'Raw RetailSalesData'!E885,'Raw RetailSalesData'!F885)</f>
        <v>50</v>
      </c>
      <c r="G885" s="7">
        <f t="shared" si="13"/>
        <v>800</v>
      </c>
      <c r="H885" s="5" t="str">
        <f>IF('Raw RetailSalesData'!H885="","Unknown",'Raw RetailSalesData'!H885)</f>
        <v>EMEA</v>
      </c>
      <c r="I885" t="s">
        <v>225</v>
      </c>
      <c r="J885" t="s">
        <v>226</v>
      </c>
      <c r="K885" t="str">
        <f>TRIM('Raw RetailSalesData'!K885)</f>
        <v>Sales Rep 2</v>
      </c>
      <c r="L885" t="s">
        <v>46</v>
      </c>
    </row>
    <row r="886" spans="1:12" x14ac:dyDescent="0.3">
      <c r="A886" t="str">
        <f>IF(COUNTIF('Raw RetailSalesData'!$A:$L,'Raw RetailSalesData'!A886)=1,'Raw RetailSalesData'!A886,"")</f>
        <v>ORD-10967</v>
      </c>
      <c r="B886" t="str">
        <f>IF('Raw RetailSalesData'!B886="","UNKNOWN",'Raw RetailSalesData'!B886)</f>
        <v>2026-08-16</v>
      </c>
      <c r="C886" t="str">
        <f>IF('Raw RetailSalesData'!C886="","UNKNOW",'Raw RetailSalesData'!C886)</f>
        <v>CUST-1113</v>
      </c>
      <c r="D886" t="str">
        <f>IF('Raw RetailSalesData'!D886="","UNKNOW",'Raw RetailSalesData'!D886)</f>
        <v>P103</v>
      </c>
      <c r="E886" s="5">
        <f>IF('Raw RetailSalesData'!E886="",'Raw RetailSalesData'!F886/'Raw RetailSalesData'!G886,'Raw RetailSalesData'!E886)</f>
        <v>0.33333333333333331</v>
      </c>
      <c r="F886" s="7">
        <f>IF('Raw RetailSalesData'!F886="",'Raw RetailSalesData'!G886/'Raw RetailSalesData'!E886,'Raw RetailSalesData'!F886)</f>
        <v>90</v>
      </c>
      <c r="G886" s="7">
        <f t="shared" si="13"/>
        <v>30</v>
      </c>
      <c r="H886" s="5" t="str">
        <f>IF('Raw RetailSalesData'!H886="","Unknown",'Raw RetailSalesData'!H886)</f>
        <v>LATAM</v>
      </c>
      <c r="I886" t="s">
        <v>90</v>
      </c>
      <c r="J886" t="s">
        <v>2198</v>
      </c>
      <c r="K886" t="str">
        <f>TRIM('Raw RetailSalesData'!K886)</f>
        <v>Sales Rep 3</v>
      </c>
      <c r="L886" t="s">
        <v>46</v>
      </c>
    </row>
    <row r="887" spans="1:12" x14ac:dyDescent="0.3">
      <c r="A887" t="str">
        <f>IF(COUNTIF('Raw RetailSalesData'!$A:$L,'Raw RetailSalesData'!A887)=1,'Raw RetailSalesData'!A887,"")</f>
        <v>ORD-10968</v>
      </c>
      <c r="B887" t="str">
        <f>IF('Raw RetailSalesData'!B887="","UNKNOWN",'Raw RetailSalesData'!B887)</f>
        <v xml:space="preserve"> 2024-08-22 </v>
      </c>
      <c r="C887" t="str">
        <f>IF('Raw RetailSalesData'!C887="","UNKNOW",'Raw RetailSalesData'!C887)</f>
        <v>CUST-1080</v>
      </c>
      <c r="D887" t="str">
        <f>IF('Raw RetailSalesData'!D887="","UNKNOW",'Raw RetailSalesData'!D887)</f>
        <v>P102</v>
      </c>
      <c r="E887" s="5">
        <f>IF('Raw RetailSalesData'!E887="",'Raw RetailSalesData'!F887/'Raw RetailSalesData'!G887,'Raw RetailSalesData'!E887)</f>
        <v>10</v>
      </c>
      <c r="F887" s="7">
        <f>IF('Raw RetailSalesData'!F887="",'Raw RetailSalesData'!G887/'Raw RetailSalesData'!E887,'Raw RetailSalesData'!F887)</f>
        <v>80</v>
      </c>
      <c r="G887" s="7">
        <f t="shared" si="13"/>
        <v>800</v>
      </c>
      <c r="H887" s="5" t="str">
        <f>IF('Raw RetailSalesData'!H887="","Unknown",'Raw RetailSalesData'!H887)</f>
        <v>EMEA</v>
      </c>
      <c r="I887" t="s">
        <v>38</v>
      </c>
      <c r="J887" t="s">
        <v>39</v>
      </c>
      <c r="K887" t="str">
        <f>TRIM('Raw RetailSalesData'!K887)</f>
        <v>Sales Rep 4</v>
      </c>
      <c r="L887" t="s">
        <v>21</v>
      </c>
    </row>
    <row r="888" spans="1:12" x14ac:dyDescent="0.3">
      <c r="A888" t="str">
        <f>IF(COUNTIF('Raw RetailSalesData'!$A:$L,'Raw RetailSalesData'!A888)=1,'Raw RetailSalesData'!A888,"")</f>
        <v>ORD-10969</v>
      </c>
      <c r="B888" t="str">
        <f>IF('Raw RetailSalesData'!B888="","UNKNOWN",'Raw RetailSalesData'!B888)</f>
        <v>UNKNOWN</v>
      </c>
      <c r="C888" t="str">
        <f>IF('Raw RetailSalesData'!C888="","UNKNOW",'Raw RetailSalesData'!C888)</f>
        <v>CUST-1168</v>
      </c>
      <c r="D888" t="str">
        <f>IF('Raw RetailSalesData'!D888="","UNKNOW",'Raw RetailSalesData'!D888)</f>
        <v>C301</v>
      </c>
      <c r="E888" s="5">
        <f>IF('Raw RetailSalesData'!E888="",'Raw RetailSalesData'!F888/'Raw RetailSalesData'!G888,'Raw RetailSalesData'!E888)</f>
        <v>17</v>
      </c>
      <c r="F888" s="7">
        <f>IF('Raw RetailSalesData'!F888="",'Raw RetailSalesData'!G888/'Raw RetailSalesData'!E888,'Raw RetailSalesData'!F888)</f>
        <v>55</v>
      </c>
      <c r="G888" s="7">
        <f t="shared" si="13"/>
        <v>935</v>
      </c>
      <c r="H888" s="5" t="str">
        <f>IF('Raw RetailSalesData'!H888="","Unknown",'Raw RetailSalesData'!H888)</f>
        <v>APAC</v>
      </c>
      <c r="I888" t="s">
        <v>183</v>
      </c>
      <c r="J888" t="s">
        <v>184</v>
      </c>
      <c r="K888" t="str">
        <f>TRIM('Raw RetailSalesData'!K888)</f>
        <v>Sales Rep 5</v>
      </c>
      <c r="L888" t="s">
        <v>46</v>
      </c>
    </row>
    <row r="889" spans="1:12" x14ac:dyDescent="0.3">
      <c r="A889" t="str">
        <f>IF(COUNTIF('Raw RetailSalesData'!$A:$L,'Raw RetailSalesData'!A889)=1,'Raw RetailSalesData'!A889,"")</f>
        <v>ORD-10970</v>
      </c>
      <c r="B889" t="str">
        <f>IF('Raw RetailSalesData'!B889="","UNKNOWN",'Raw RetailSalesData'!B889)</f>
        <v>2023-10-13</v>
      </c>
      <c r="C889" t="str">
        <f>IF('Raw RetailSalesData'!C889="","UNKNOW",'Raw RetailSalesData'!C889)</f>
        <v>CUST-1021</v>
      </c>
      <c r="D889" t="str">
        <f>IF('Raw RetailSalesData'!D889="","UNKNOW",'Raw RetailSalesData'!D889)</f>
        <v>C303</v>
      </c>
      <c r="E889" s="5">
        <f>IF('Raw RetailSalesData'!E889="",'Raw RetailSalesData'!F889/'Raw RetailSalesData'!G889,'Raw RetailSalesData'!E889)</f>
        <v>14</v>
      </c>
      <c r="F889" s="7">
        <f>IF('Raw RetailSalesData'!F889="",'Raw RetailSalesData'!G889/'Raw RetailSalesData'!E889,'Raw RetailSalesData'!F889)</f>
        <v>60</v>
      </c>
      <c r="G889" s="7">
        <f t="shared" si="13"/>
        <v>840</v>
      </c>
      <c r="H889" s="5" t="str">
        <f>IF('Raw RetailSalesData'!H889="","Unknown",'Raw RetailSalesData'!H889)</f>
        <v xml:space="preserve"> EMEA </v>
      </c>
      <c r="I889" t="s">
        <v>83</v>
      </c>
      <c r="J889" t="s">
        <v>84</v>
      </c>
      <c r="K889" t="str">
        <f>TRIM('Raw RetailSalesData'!K889)</f>
        <v>Unknown</v>
      </c>
      <c r="L889" t="s">
        <v>46</v>
      </c>
    </row>
    <row r="890" spans="1:12" x14ac:dyDescent="0.3">
      <c r="A890" t="str">
        <f>IF(COUNTIF('Raw RetailSalesData'!$A:$L,'Raw RetailSalesData'!A890)=1,'Raw RetailSalesData'!A890,"")</f>
        <v>ORD-10971</v>
      </c>
      <c r="B890" t="str">
        <f>IF('Raw RetailSalesData'!B890="","UNKNOWN",'Raw RetailSalesData'!B890)</f>
        <v>2025-02-20</v>
      </c>
      <c r="C890" t="str">
        <f>IF('Raw RetailSalesData'!C890="","UNKNOW",'Raw RetailSalesData'!C890)</f>
        <v>CUST-1071</v>
      </c>
      <c r="D890" t="str">
        <f>IF('Raw RetailSalesData'!D890="","UNKNOW",'Raw RetailSalesData'!D890)</f>
        <v>P202</v>
      </c>
      <c r="E890" s="5">
        <f>IF('Raw RetailSalesData'!E890="",'Raw RetailSalesData'!F890/'Raw RetailSalesData'!G890,'Raw RetailSalesData'!E890)</f>
        <v>14</v>
      </c>
      <c r="F890" s="7">
        <f>IF('Raw RetailSalesData'!F890="",'Raw RetailSalesData'!G890/'Raw RetailSalesData'!E890,'Raw RetailSalesData'!F890)</f>
        <v>70</v>
      </c>
      <c r="G890" s="7">
        <f t="shared" si="13"/>
        <v>980</v>
      </c>
      <c r="H890" s="5" t="str">
        <f>IF('Raw RetailSalesData'!H890="","Unknown",'Raw RetailSalesData'!H890)</f>
        <v>NA</v>
      </c>
      <c r="I890" t="s">
        <v>28</v>
      </c>
      <c r="J890" t="s">
        <v>29</v>
      </c>
      <c r="K890" t="str">
        <f>TRIM('Raw RetailSalesData'!K890)</f>
        <v>Sales Rep 3</v>
      </c>
      <c r="L890" t="s">
        <v>31</v>
      </c>
    </row>
    <row r="891" spans="1:12" x14ac:dyDescent="0.3">
      <c r="A891" t="str">
        <f>IF(COUNTIF('Raw RetailSalesData'!$A:$L,'Raw RetailSalesData'!A891)=1,'Raw RetailSalesData'!A891,"")</f>
        <v>ORD-10972</v>
      </c>
      <c r="B891" t="str">
        <f>IF('Raw RetailSalesData'!B891="","UNKNOWN",'Raw RetailSalesData'!B891)</f>
        <v>2023-03-27</v>
      </c>
      <c r="C891" t="str">
        <f>IF('Raw RetailSalesData'!C891="","UNKNOW",'Raw RetailSalesData'!C891)</f>
        <v>CUST-1061</v>
      </c>
      <c r="D891" t="str">
        <f>IF('Raw RetailSalesData'!D891="","UNKNOW",'Raw RetailSalesData'!D891)</f>
        <v>C304</v>
      </c>
      <c r="E891" s="5">
        <f>IF('Raw RetailSalesData'!E891="",'Raw RetailSalesData'!F891/'Raw RetailSalesData'!G891,'Raw RetailSalesData'!E891)</f>
        <v>12</v>
      </c>
      <c r="F891" s="7">
        <f>IF('Raw RetailSalesData'!F891="",'Raw RetailSalesData'!G891/'Raw RetailSalesData'!E891,'Raw RetailSalesData'!F891)</f>
        <v>63</v>
      </c>
      <c r="G891" s="7">
        <f t="shared" si="13"/>
        <v>756</v>
      </c>
      <c r="H891" s="5" t="str">
        <f>IF('Raw RetailSalesData'!H891="","Unknown",'Raw RetailSalesData'!H891)</f>
        <v>NA</v>
      </c>
      <c r="I891" t="s">
        <v>100</v>
      </c>
      <c r="J891" t="s">
        <v>2190</v>
      </c>
      <c r="K891" t="str">
        <f>TRIM('Raw RetailSalesData'!K891)</f>
        <v>Sales Rep 2</v>
      </c>
      <c r="L891" t="s">
        <v>21</v>
      </c>
    </row>
    <row r="892" spans="1:12" x14ac:dyDescent="0.3">
      <c r="A892" t="str">
        <f>IF(COUNTIF('Raw RetailSalesData'!$A:$L,'Raw RetailSalesData'!A892)=1,'Raw RetailSalesData'!A892,"")</f>
        <v>ORD-10973</v>
      </c>
      <c r="B892" t="str">
        <f>IF('Raw RetailSalesData'!B892="","UNKNOWN",'Raw RetailSalesData'!B892)</f>
        <v>2024-04-13</v>
      </c>
      <c r="C892" t="str">
        <f>IF('Raw RetailSalesData'!C892="","UNKNOW",'Raw RetailSalesData'!C892)</f>
        <v>#N/A</v>
      </c>
      <c r="D892" t="str">
        <f>IF('Raw RetailSalesData'!D892="","UNKNOW",'Raw RetailSalesData'!D892)</f>
        <v>P202</v>
      </c>
      <c r="E892" s="5">
        <f>IF('Raw RetailSalesData'!E892="",'Raw RetailSalesData'!F892/'Raw RetailSalesData'!G892,'Raw RetailSalesData'!E892)</f>
        <v>8</v>
      </c>
      <c r="F892" s="7">
        <f>IF('Raw RetailSalesData'!F892="",'Raw RetailSalesData'!G892/'Raw RetailSalesData'!E892,'Raw RetailSalesData'!F892)</f>
        <v>65</v>
      </c>
      <c r="G892" s="7">
        <f t="shared" si="13"/>
        <v>520</v>
      </c>
      <c r="H892" s="5" t="str">
        <f>IF('Raw RetailSalesData'!H892="","Unknown",'Raw RetailSalesData'!H892)</f>
        <v>Unknown</v>
      </c>
      <c r="I892" t="s">
        <v>38</v>
      </c>
      <c r="J892" t="s">
        <v>2190</v>
      </c>
      <c r="K892" t="str">
        <f>TRIM('Raw RetailSalesData'!K892)</f>
        <v>Sales Rep 4</v>
      </c>
      <c r="L892" t="s">
        <v>46</v>
      </c>
    </row>
    <row r="893" spans="1:12" x14ac:dyDescent="0.3">
      <c r="A893" t="str">
        <f>IF(COUNTIF('Raw RetailSalesData'!$A:$L,'Raw RetailSalesData'!A893)=1,'Raw RetailSalesData'!A893,"")</f>
        <v>ORD-10974</v>
      </c>
      <c r="B893" t="str">
        <f>IF('Raw RetailSalesData'!B893="","UNKNOWN",'Raw RetailSalesData'!B893)</f>
        <v xml:space="preserve"> 2023-10-20 </v>
      </c>
      <c r="C893" t="str">
        <f>IF('Raw RetailSalesData'!C893="","UNKNOW",'Raw RetailSalesData'!C893)</f>
        <v>CUST-1148</v>
      </c>
      <c r="D893" t="str">
        <f>IF('Raw RetailSalesData'!D893="","UNKNOW",'Raw RetailSalesData'!D893)</f>
        <v>P201</v>
      </c>
      <c r="E893" s="5">
        <f>IF('Raw RetailSalesData'!E893="",'Raw RetailSalesData'!F893/'Raw RetailSalesData'!G893,'Raw RetailSalesData'!E893)</f>
        <v>8</v>
      </c>
      <c r="F893" s="7">
        <f>IF('Raw RetailSalesData'!F893="",'Raw RetailSalesData'!G893/'Raw RetailSalesData'!E893,'Raw RetailSalesData'!F893)</f>
        <v>65</v>
      </c>
      <c r="G893" s="7">
        <f t="shared" si="13"/>
        <v>520</v>
      </c>
      <c r="H893" s="5" t="str">
        <f>IF('Raw RetailSalesData'!H893="","Unknown",'Raw RetailSalesData'!H893)</f>
        <v>LATAM</v>
      </c>
      <c r="I893" t="s">
        <v>18</v>
      </c>
      <c r="J893" t="s">
        <v>2197</v>
      </c>
      <c r="K893" t="str">
        <f>TRIM('Raw RetailSalesData'!K893)</f>
        <v>Sales Rep 5</v>
      </c>
      <c r="L893" t="s">
        <v>21</v>
      </c>
    </row>
    <row r="894" spans="1:12" x14ac:dyDescent="0.3">
      <c r="A894" t="str">
        <f>IF(COUNTIF('Raw RetailSalesData'!$A:$L,'Raw RetailSalesData'!A894)=1,'Raw RetailSalesData'!A894,"")</f>
        <v>ORD-10975</v>
      </c>
      <c r="B894" t="str">
        <f>IF('Raw RetailSalesData'!B894="","UNKNOWN",'Raw RetailSalesData'!B894)</f>
        <v>2022-05-03</v>
      </c>
      <c r="C894" t="str">
        <f>IF('Raw RetailSalesData'!C894="","UNKNOW",'Raw RetailSalesData'!C894)</f>
        <v>CUST-1104</v>
      </c>
      <c r="D894" t="str">
        <f>IF('Raw RetailSalesData'!D894="","UNKNOW",'Raw RetailSalesData'!D894)</f>
        <v>P101</v>
      </c>
      <c r="E894" s="5">
        <f>IF('Raw RetailSalesData'!E894="",'Raw RetailSalesData'!F894/'Raw RetailSalesData'!G894,'Raw RetailSalesData'!E894)</f>
        <v>10</v>
      </c>
      <c r="F894" s="7">
        <f>IF('Raw RetailSalesData'!F894="",'Raw RetailSalesData'!G894/'Raw RetailSalesData'!E894,'Raw RetailSalesData'!F894)</f>
        <v>80</v>
      </c>
      <c r="G894" s="7">
        <f t="shared" si="13"/>
        <v>800</v>
      </c>
      <c r="H894" s="5" t="str">
        <f>IF('Raw RetailSalesData'!H894="","Unknown",'Raw RetailSalesData'!H894)</f>
        <v>LATAM</v>
      </c>
      <c r="I894" t="s">
        <v>90</v>
      </c>
      <c r="J894" t="s">
        <v>2198</v>
      </c>
      <c r="K894" t="str">
        <f>TRIM('Raw RetailSalesData'!K894)</f>
        <v>Sales Rep 3</v>
      </c>
      <c r="L894" t="s">
        <v>46</v>
      </c>
    </row>
    <row r="895" spans="1:12" x14ac:dyDescent="0.3">
      <c r="A895" t="str">
        <f>IF(COUNTIF('Raw RetailSalesData'!$A:$L,'Raw RetailSalesData'!A895)=1,'Raw RetailSalesData'!A895,"")</f>
        <v>ORD-10976</v>
      </c>
      <c r="B895" t="str">
        <f>IF('Raw RetailSalesData'!B895="","UNKNOWN",'Raw RetailSalesData'!B895)</f>
        <v>2023-06-16</v>
      </c>
      <c r="C895" t="str">
        <f>IF('Raw RetailSalesData'!C895="","UNKNOW",'Raw RetailSalesData'!C895)</f>
        <v>CUST-1073</v>
      </c>
      <c r="D895" t="str">
        <f>IF('Raw RetailSalesData'!D895="","UNKNOW",'Raw RetailSalesData'!D895)</f>
        <v>P101</v>
      </c>
      <c r="E895" s="5">
        <f>IF('Raw RetailSalesData'!E895="",'Raw RetailSalesData'!F895/'Raw RetailSalesData'!G895,'Raw RetailSalesData'!E895)</f>
        <v>5</v>
      </c>
      <c r="F895" s="7">
        <f>IF('Raw RetailSalesData'!F895="",'Raw RetailSalesData'!G895/'Raw RetailSalesData'!E895,'Raw RetailSalesData'!F895)</f>
        <v>85</v>
      </c>
      <c r="G895" s="7">
        <f t="shared" si="13"/>
        <v>425</v>
      </c>
      <c r="H895" s="5" t="str">
        <f>IF('Raw RetailSalesData'!H895="","Unknown",'Raw RetailSalesData'!H895)</f>
        <v>APAC</v>
      </c>
      <c r="I895" t="s">
        <v>183</v>
      </c>
      <c r="J895" t="s">
        <v>184</v>
      </c>
      <c r="K895" t="str">
        <f>TRIM('Raw RetailSalesData'!K895)</f>
        <v>Sales Rep 1</v>
      </c>
      <c r="L895" t="s">
        <v>46</v>
      </c>
    </row>
    <row r="896" spans="1:12" x14ac:dyDescent="0.3">
      <c r="A896" t="str">
        <f>IF(COUNTIF('Raw RetailSalesData'!$A:$L,'Raw RetailSalesData'!A896)=1,'Raw RetailSalesData'!A896,"")</f>
        <v>ORD-10977</v>
      </c>
      <c r="B896" t="str">
        <f>IF('Raw RetailSalesData'!B896="","UNKNOWN",'Raw RetailSalesData'!B896)</f>
        <v>2024-05-16</v>
      </c>
      <c r="C896" t="str">
        <f>IF('Raw RetailSalesData'!C896="","UNKNOW",'Raw RetailSalesData'!C896)</f>
        <v>CUST-1180</v>
      </c>
      <c r="D896" t="str">
        <f>IF('Raw RetailSalesData'!D896="","UNKNOW",'Raw RetailSalesData'!D896)</f>
        <v>P202</v>
      </c>
      <c r="E896" s="5">
        <f>IF('Raw RetailSalesData'!E896="",'Raw RetailSalesData'!F896/'Raw RetailSalesData'!G896,'Raw RetailSalesData'!E896)</f>
        <v>7</v>
      </c>
      <c r="F896" s="7">
        <f>IF('Raw RetailSalesData'!F896="",'Raw RetailSalesData'!G896/'Raw RetailSalesData'!E896,'Raw RetailSalesData'!F896)</f>
        <v>60</v>
      </c>
      <c r="G896" s="7">
        <f t="shared" si="13"/>
        <v>420</v>
      </c>
      <c r="H896" s="5" t="str">
        <f>IF('Raw RetailSalesData'!H896="","Unknown",'Raw RetailSalesData'!H896)</f>
        <v>LATAM</v>
      </c>
      <c r="I896" t="s">
        <v>90</v>
      </c>
      <c r="J896" t="s">
        <v>2198</v>
      </c>
      <c r="K896" t="str">
        <f>TRIM('Raw RetailSalesData'!K896)</f>
        <v>Sales Rep 4</v>
      </c>
      <c r="L896" t="s">
        <v>31</v>
      </c>
    </row>
    <row r="897" spans="1:12" x14ac:dyDescent="0.3">
      <c r="A897" t="str">
        <f>IF(COUNTIF('Raw RetailSalesData'!$A:$L,'Raw RetailSalesData'!A897)=1,'Raw RetailSalesData'!A897,"")</f>
        <v>ORD-10978</v>
      </c>
      <c r="B897" t="str">
        <f>IF('Raw RetailSalesData'!B897="","UNKNOWN",'Raw RetailSalesData'!B897)</f>
        <v>2023-10-11</v>
      </c>
      <c r="C897" t="str">
        <f>IF('Raw RetailSalesData'!C897="","UNKNOW",'Raw RetailSalesData'!C897)</f>
        <v>CUST-1136</v>
      </c>
      <c r="D897" t="str">
        <f>IF('Raw RetailSalesData'!D897="","UNKNOW",'Raw RetailSalesData'!D897)</f>
        <v>C302</v>
      </c>
      <c r="E897" s="5">
        <f>IF('Raw RetailSalesData'!E897="",'Raw RetailSalesData'!F897/'Raw RetailSalesData'!G897,'Raw RetailSalesData'!E897)</f>
        <v>10</v>
      </c>
      <c r="F897" s="7">
        <f>IF('Raw RetailSalesData'!F897="",'Raw RetailSalesData'!G897/'Raw RetailSalesData'!E897,'Raw RetailSalesData'!F897)</f>
        <v>55</v>
      </c>
      <c r="G897" s="7">
        <f t="shared" si="13"/>
        <v>550</v>
      </c>
      <c r="H897" s="5" t="str">
        <f>IF('Raw RetailSalesData'!H897="","Unknown",'Raw RetailSalesData'!H897)</f>
        <v>NA</v>
      </c>
      <c r="I897" t="s">
        <v>100</v>
      </c>
      <c r="J897" t="s">
        <v>101</v>
      </c>
      <c r="K897" t="str">
        <f>TRIM('Raw RetailSalesData'!K897)</f>
        <v>Sales Rep 1</v>
      </c>
      <c r="L897" t="s">
        <v>21</v>
      </c>
    </row>
    <row r="898" spans="1:12" x14ac:dyDescent="0.3">
      <c r="A898" t="str">
        <f>IF(COUNTIF('Raw RetailSalesData'!$A:$L,'Raw RetailSalesData'!A898)=1,'Raw RetailSalesData'!A898,"")</f>
        <v>ORD-10979</v>
      </c>
      <c r="B898" t="str">
        <f>IF('Raw RetailSalesData'!B898="","UNKNOWN",'Raw RetailSalesData'!B898)</f>
        <v>2025-07-08</v>
      </c>
      <c r="C898" t="str">
        <f>IF('Raw RetailSalesData'!C898="","UNKNOW",'Raw RetailSalesData'!C898)</f>
        <v>CUST-1100</v>
      </c>
      <c r="D898" t="str">
        <f>IF('Raw RetailSalesData'!D898="","UNKNOW",'Raw RetailSalesData'!D898)</f>
        <v>C304</v>
      </c>
      <c r="E898" s="5">
        <f>IF('Raw RetailSalesData'!E898="",'Raw RetailSalesData'!F898/'Raw RetailSalesData'!G898,'Raw RetailSalesData'!E898)</f>
        <v>6</v>
      </c>
      <c r="F898" s="7">
        <f>IF('Raw RetailSalesData'!F898="",'Raw RetailSalesData'!G898/'Raw RetailSalesData'!E898,'Raw RetailSalesData'!F898)</f>
        <v>63</v>
      </c>
      <c r="G898" s="7">
        <f t="shared" si="13"/>
        <v>378</v>
      </c>
      <c r="H898" s="5" t="str">
        <f>IF('Raw RetailSalesData'!H898="","Unknown",'Raw RetailSalesData'!H898)</f>
        <v>NA</v>
      </c>
      <c r="I898" t="s">
        <v>100</v>
      </c>
      <c r="J898" t="s">
        <v>101</v>
      </c>
      <c r="K898" t="str">
        <f>TRIM('Raw RetailSalesData'!K898)</f>
        <v>Unknown</v>
      </c>
      <c r="L898" t="s">
        <v>21</v>
      </c>
    </row>
    <row r="899" spans="1:12" x14ac:dyDescent="0.3">
      <c r="A899" t="str">
        <f>IF(COUNTIF('Raw RetailSalesData'!$A:$L,'Raw RetailSalesData'!A899)=1,'Raw RetailSalesData'!A899,"")</f>
        <v>ORD-10980</v>
      </c>
      <c r="B899" t="str">
        <f>IF('Raw RetailSalesData'!B899="","UNKNOWN",'Raw RetailSalesData'!B899)</f>
        <v>2023-12-17</v>
      </c>
      <c r="C899" t="str">
        <f>IF('Raw RetailSalesData'!C899="","UNKNOW",'Raw RetailSalesData'!C899)</f>
        <v>CUST-1170</v>
      </c>
      <c r="D899" t="str">
        <f>IF('Raw RetailSalesData'!D899="","UNKNOW",'Raw RetailSalesData'!D899)</f>
        <v>P202</v>
      </c>
      <c r="E899" s="5">
        <f>IF('Raw RetailSalesData'!E899="",'Raw RetailSalesData'!F899/'Raw RetailSalesData'!G899,'Raw RetailSalesData'!E899)</f>
        <v>13</v>
      </c>
      <c r="F899" s="7">
        <f>IF('Raw RetailSalesData'!F899="",'Raw RetailSalesData'!G899/'Raw RetailSalesData'!E899,'Raw RetailSalesData'!F899)</f>
        <v>65</v>
      </c>
      <c r="G899" s="7">
        <f t="shared" ref="G899:G918" si="14">F899*E899</f>
        <v>845</v>
      </c>
      <c r="H899" s="5" t="str">
        <f>IF('Raw RetailSalesData'!H899="","Unknown",'Raw RetailSalesData'!H899)</f>
        <v xml:space="preserve"> EMEA </v>
      </c>
      <c r="I899" t="s">
        <v>83</v>
      </c>
      <c r="J899" t="s">
        <v>84</v>
      </c>
      <c r="K899" t="str">
        <f>TRIM('Raw RetailSalesData'!K899)</f>
        <v>John Smith</v>
      </c>
      <c r="L899" t="s">
        <v>31</v>
      </c>
    </row>
    <row r="900" spans="1:12" x14ac:dyDescent="0.3">
      <c r="A900" t="str">
        <f>IF(COUNTIF('Raw RetailSalesData'!$A:$L,'Raw RetailSalesData'!A900)=1,'Raw RetailSalesData'!A900,"")</f>
        <v>ORD-10981</v>
      </c>
      <c r="B900" t="str">
        <f>IF('Raw RetailSalesData'!B900="","UNKNOWN",'Raw RetailSalesData'!B900)</f>
        <v>2022-03-26</v>
      </c>
      <c r="C900" t="str">
        <f>IF('Raw RetailSalesData'!C900="","UNKNOW",'Raw RetailSalesData'!C900)</f>
        <v>CUST-1066</v>
      </c>
      <c r="D900" t="str">
        <f>IF('Raw RetailSalesData'!D900="","UNKNOW",'Raw RetailSalesData'!D900)</f>
        <v>P103</v>
      </c>
      <c r="E900" s="5">
        <f>IF('Raw RetailSalesData'!E900="",'Raw RetailSalesData'!F900/'Raw RetailSalesData'!G900,'Raw RetailSalesData'!E900)</f>
        <v>13</v>
      </c>
      <c r="F900" s="7">
        <f>IF('Raw RetailSalesData'!F900="",'Raw RetailSalesData'!G900/'Raw RetailSalesData'!E900,'Raw RetailSalesData'!F900)</f>
        <v>95</v>
      </c>
      <c r="G900" s="7">
        <f t="shared" si="14"/>
        <v>1235</v>
      </c>
      <c r="H900" s="5" t="str">
        <f>IF('Raw RetailSalesData'!H900="","Unknown",'Raw RetailSalesData'!H900)</f>
        <v>EMEA</v>
      </c>
      <c r="I900" t="s">
        <v>83</v>
      </c>
      <c r="J900" t="s">
        <v>84</v>
      </c>
      <c r="K900" t="str">
        <f>TRIM('Raw RetailSalesData'!K900)</f>
        <v>John Smith</v>
      </c>
      <c r="L900" t="s">
        <v>21</v>
      </c>
    </row>
    <row r="901" spans="1:12" x14ac:dyDescent="0.3">
      <c r="A901" t="str">
        <f>IF(COUNTIF('Raw RetailSalesData'!$A:$L,'Raw RetailSalesData'!A901)=1,'Raw RetailSalesData'!A901,"")</f>
        <v>ORD-10982</v>
      </c>
      <c r="B901" t="str">
        <f>IF('Raw RetailSalesData'!B901="","UNKNOWN",'Raw RetailSalesData'!B901)</f>
        <v>2025-02-14</v>
      </c>
      <c r="C901" t="str">
        <f>IF('Raw RetailSalesData'!C901="","UNKNOW",'Raw RetailSalesData'!C901)</f>
        <v>CUST-1135</v>
      </c>
      <c r="D901" t="str">
        <f>IF('Raw RetailSalesData'!D901="","UNKNOW",'Raw RetailSalesData'!D901)</f>
        <v>P201</v>
      </c>
      <c r="E901" s="5">
        <f>IF('Raw RetailSalesData'!E901="",'Raw RetailSalesData'!F901/'Raw RetailSalesData'!G901,'Raw RetailSalesData'!E901)</f>
        <v>12</v>
      </c>
      <c r="F901" s="7">
        <f>IF('Raw RetailSalesData'!F901="",'Raw RetailSalesData'!G901/'Raw RetailSalesData'!E901,'Raw RetailSalesData'!F901)</f>
        <v>65</v>
      </c>
      <c r="G901" s="7">
        <f t="shared" si="14"/>
        <v>780</v>
      </c>
      <c r="H901" s="5" t="str">
        <f>IF('Raw RetailSalesData'!H901="","Unknown",'Raw RetailSalesData'!H901)</f>
        <v>LATAM</v>
      </c>
      <c r="I901" t="s">
        <v>90</v>
      </c>
      <c r="J901" t="s">
        <v>2198</v>
      </c>
      <c r="K901" t="str">
        <f>TRIM('Raw RetailSalesData'!K901)</f>
        <v>Sales Rep 5</v>
      </c>
      <c r="L901" t="s">
        <v>21</v>
      </c>
    </row>
    <row r="902" spans="1:12" x14ac:dyDescent="0.3">
      <c r="A902" t="str">
        <f>IF(COUNTIF('Raw RetailSalesData'!$A:$L,'Raw RetailSalesData'!A902)=1,'Raw RetailSalesData'!A902,"")</f>
        <v>ORD-10983</v>
      </c>
      <c r="B902" t="str">
        <f>IF('Raw RetailSalesData'!B902="","UNKNOWN",'Raw RetailSalesData'!B902)</f>
        <v>2025-07-07</v>
      </c>
      <c r="C902" t="str">
        <f>IF('Raw RetailSalesData'!C902="","UNKNOW",'Raw RetailSalesData'!C902)</f>
        <v>CUST-1129</v>
      </c>
      <c r="D902" t="str">
        <f>IF('Raw RetailSalesData'!D902="","UNKNOW",'Raw RetailSalesData'!D902)</f>
        <v>C304</v>
      </c>
      <c r="E902" s="5">
        <f>IF('Raw RetailSalesData'!E902="",'Raw RetailSalesData'!F902/'Raw RetailSalesData'!G902,'Raw RetailSalesData'!E902)</f>
        <v>2</v>
      </c>
      <c r="F902" s="7">
        <f>IF('Raw RetailSalesData'!F902="",'Raw RetailSalesData'!G902/'Raw RetailSalesData'!E902,'Raw RetailSalesData'!F902)</f>
        <v>58</v>
      </c>
      <c r="G902" s="7">
        <f t="shared" si="14"/>
        <v>116</v>
      </c>
      <c r="H902" s="5" t="str">
        <f>IF('Raw RetailSalesData'!H902="","Unknown",'Raw RetailSalesData'!H902)</f>
        <v>Unknown</v>
      </c>
      <c r="I902" t="s">
        <v>83</v>
      </c>
      <c r="J902" t="s">
        <v>84</v>
      </c>
      <c r="K902" t="str">
        <f>TRIM('Raw RetailSalesData'!K902)</f>
        <v>John Smith</v>
      </c>
      <c r="L902" t="s">
        <v>46</v>
      </c>
    </row>
    <row r="903" spans="1:12" x14ac:dyDescent="0.3">
      <c r="A903" t="str">
        <f>IF(COUNTIF('Raw RetailSalesData'!$A:$L,'Raw RetailSalesData'!A903)=1,'Raw RetailSalesData'!A903,"")</f>
        <v>ORD-10984</v>
      </c>
      <c r="B903" t="str">
        <f>IF('Raw RetailSalesData'!B903="","UNKNOWN",'Raw RetailSalesData'!B903)</f>
        <v>2022-01-25</v>
      </c>
      <c r="C903" t="str">
        <f>IF('Raw RetailSalesData'!C903="","UNKNOW",'Raw RetailSalesData'!C903)</f>
        <v>CUST-1063</v>
      </c>
      <c r="D903" t="str">
        <f>IF('Raw RetailSalesData'!D903="","UNKNOW",'Raw RetailSalesData'!D903)</f>
        <v>P101</v>
      </c>
      <c r="E903" s="5">
        <f>IF('Raw RetailSalesData'!E903="",'Raw RetailSalesData'!F903/'Raw RetailSalesData'!G903,'Raw RetailSalesData'!E903)</f>
        <v>13</v>
      </c>
      <c r="F903" s="7">
        <f>IF('Raw RetailSalesData'!F903="",'Raw RetailSalesData'!G903/'Raw RetailSalesData'!E903,'Raw RetailSalesData'!F903)</f>
        <v>80</v>
      </c>
      <c r="G903" s="7">
        <f t="shared" si="14"/>
        <v>1040</v>
      </c>
      <c r="H903" s="5" t="str">
        <f>IF('Raw RetailSalesData'!H903="","Unknown",'Raw RetailSalesData'!H903)</f>
        <v>LATAM</v>
      </c>
      <c r="I903" t="s">
        <v>18</v>
      </c>
      <c r="J903" t="s">
        <v>2197</v>
      </c>
      <c r="K903" t="str">
        <f>TRIM('Raw RetailSalesData'!K903)</f>
        <v>Sales Rep 1</v>
      </c>
      <c r="L903" t="s">
        <v>46</v>
      </c>
    </row>
    <row r="904" spans="1:12" x14ac:dyDescent="0.3">
      <c r="A904" t="str">
        <f>IF(COUNTIF('Raw RetailSalesData'!$A:$L,'Raw RetailSalesData'!A904)=1,'Raw RetailSalesData'!A904,"")</f>
        <v>ORD-10985</v>
      </c>
      <c r="B904" t="str">
        <f>IF('Raw RetailSalesData'!B904="","UNKNOWN",'Raw RetailSalesData'!B904)</f>
        <v>2024-08-30</v>
      </c>
      <c r="C904" t="str">
        <f>IF('Raw RetailSalesData'!C904="","UNKNOW",'Raw RetailSalesData'!C904)</f>
        <v>CUST-1125</v>
      </c>
      <c r="D904" t="str">
        <f>IF('Raw RetailSalesData'!D904="","UNKNOW",'Raw RetailSalesData'!D904)</f>
        <v>P102</v>
      </c>
      <c r="E904" s="5">
        <f>IF('Raw RetailSalesData'!E904="",'Raw RetailSalesData'!F904/'Raw RetailSalesData'!G904,'Raw RetailSalesData'!E904)</f>
        <v>4</v>
      </c>
      <c r="F904" s="7">
        <f>IF('Raw RetailSalesData'!F904="",'Raw RetailSalesData'!G904/'Raw RetailSalesData'!E904,'Raw RetailSalesData'!F904)</f>
        <v>85</v>
      </c>
      <c r="G904" s="7">
        <f t="shared" si="14"/>
        <v>340</v>
      </c>
      <c r="H904" s="5" t="str">
        <f>IF('Raw RetailSalesData'!H904="","Unknown",'Raw RetailSalesData'!H904)</f>
        <v>NA</v>
      </c>
      <c r="I904" t="s">
        <v>2190</v>
      </c>
      <c r="J904" t="s">
        <v>2196</v>
      </c>
      <c r="K904" t="str">
        <f>TRIM('Raw RetailSalesData'!K904)</f>
        <v>Michael Johnson</v>
      </c>
      <c r="L904" t="s">
        <v>46</v>
      </c>
    </row>
    <row r="905" spans="1:12" x14ac:dyDescent="0.3">
      <c r="A905" t="str">
        <f>IF(COUNTIF('Raw RetailSalesData'!$A:$L,'Raw RetailSalesData'!A905)=1,'Raw RetailSalesData'!A905,"")</f>
        <v>ORD-10986</v>
      </c>
      <c r="B905" t="str">
        <f>IF('Raw RetailSalesData'!B905="","UNKNOWN",'Raw RetailSalesData'!B905)</f>
        <v>2025-07-21</v>
      </c>
      <c r="C905" t="str">
        <f>IF('Raw RetailSalesData'!C905="","UNKNOW",'Raw RetailSalesData'!C905)</f>
        <v>CUST-1187</v>
      </c>
      <c r="D905" t="str">
        <f>IF('Raw RetailSalesData'!D905="","UNKNOW",'Raw RetailSalesData'!D905)</f>
        <v>C303</v>
      </c>
      <c r="E905" s="5">
        <f>IF('Raw RetailSalesData'!E905="",'Raw RetailSalesData'!F905/'Raw RetailSalesData'!G905,'Raw RetailSalesData'!E905)</f>
        <v>13</v>
      </c>
      <c r="F905" s="7">
        <f>IF('Raw RetailSalesData'!F905="",'Raw RetailSalesData'!G905/'Raw RetailSalesData'!E905,'Raw RetailSalesData'!F905)</f>
        <v>60</v>
      </c>
      <c r="G905" s="7">
        <f t="shared" si="14"/>
        <v>780</v>
      </c>
      <c r="H905" s="5" t="str">
        <f>IF('Raw RetailSalesData'!H905="","Unknown",'Raw RetailSalesData'!H905)</f>
        <v>EMEA</v>
      </c>
      <c r="I905" t="s">
        <v>83</v>
      </c>
      <c r="J905" t="s">
        <v>84</v>
      </c>
      <c r="K905" t="str">
        <f>TRIM('Raw RetailSalesData'!K905)</f>
        <v>John Smith</v>
      </c>
      <c r="L905" t="s">
        <v>46</v>
      </c>
    </row>
    <row r="906" spans="1:12" x14ac:dyDescent="0.3">
      <c r="A906" t="str">
        <f>IF(COUNTIF('Raw RetailSalesData'!$A:$L,'Raw RetailSalesData'!A906)=1,'Raw RetailSalesData'!A906,"")</f>
        <v>ORD-10987</v>
      </c>
      <c r="B906" t="str">
        <f>IF('Raw RetailSalesData'!B906="","UNKNOWN",'Raw RetailSalesData'!B906)</f>
        <v>2025-09-26</v>
      </c>
      <c r="C906" t="str">
        <f>IF('Raw RetailSalesData'!C906="","UNKNOW",'Raw RetailSalesData'!C906)</f>
        <v>UNKNOW</v>
      </c>
      <c r="D906" t="str">
        <f>IF('Raw RetailSalesData'!D906="","UNKNOW",'Raw RetailSalesData'!D906)</f>
        <v>P102</v>
      </c>
      <c r="E906" s="5">
        <f>IF('Raw RetailSalesData'!E906="",'Raw RetailSalesData'!F906/'Raw RetailSalesData'!G906,'Raw RetailSalesData'!E906)</f>
        <v>5</v>
      </c>
      <c r="F906" s="7">
        <f>IF('Raw RetailSalesData'!F906="",'Raw RetailSalesData'!G906/'Raw RetailSalesData'!E906,'Raw RetailSalesData'!F906)</f>
        <v>80</v>
      </c>
      <c r="G906" s="7">
        <f t="shared" si="14"/>
        <v>400</v>
      </c>
      <c r="H906" s="5" t="str">
        <f>IF('Raw RetailSalesData'!H906="","Unknown",'Raw RetailSalesData'!H906)</f>
        <v>APAC</v>
      </c>
      <c r="I906" t="s">
        <v>183</v>
      </c>
      <c r="J906" t="s">
        <v>184</v>
      </c>
      <c r="K906" t="str">
        <f>TRIM('Raw RetailSalesData'!K906)</f>
        <v>Sales Rep 3</v>
      </c>
      <c r="L906" t="s">
        <v>31</v>
      </c>
    </row>
    <row r="907" spans="1:12" x14ac:dyDescent="0.3">
      <c r="A907" t="str">
        <f>IF(COUNTIF('Raw RetailSalesData'!$A:$L,'Raw RetailSalesData'!A907)=1,'Raw RetailSalesData'!A907,"")</f>
        <v>ORD-10988</v>
      </c>
      <c r="B907" t="str">
        <f>IF('Raw RetailSalesData'!B907="","UNKNOWN",'Raw RetailSalesData'!B907)</f>
        <v xml:space="preserve"> 2023-02-08 </v>
      </c>
      <c r="C907" t="str">
        <f>IF('Raw RetailSalesData'!C907="","UNKNOW",'Raw RetailSalesData'!C907)</f>
        <v>CUST-1117</v>
      </c>
      <c r="D907" t="str">
        <f>IF('Raw RetailSalesData'!D907="","UNKNOW",'Raw RetailSalesData'!D907)</f>
        <v>C301</v>
      </c>
      <c r="E907" s="5">
        <f>IF('Raw RetailSalesData'!E907="",'Raw RetailSalesData'!F907/'Raw RetailSalesData'!G907,'Raw RetailSalesData'!E907)</f>
        <v>13</v>
      </c>
      <c r="F907" s="7">
        <f>IF('Raw RetailSalesData'!F907="",'Raw RetailSalesData'!G907/'Raw RetailSalesData'!E907,'Raw RetailSalesData'!F907)</f>
        <v>55</v>
      </c>
      <c r="G907" s="7">
        <f t="shared" si="14"/>
        <v>715</v>
      </c>
      <c r="H907" s="5" t="str">
        <f>IF('Raw RetailSalesData'!H907="","Unknown",'Raw RetailSalesData'!H907)</f>
        <v>EMEA</v>
      </c>
      <c r="I907" t="s">
        <v>225</v>
      </c>
      <c r="J907" t="s">
        <v>226</v>
      </c>
      <c r="K907" t="str">
        <f>TRIM('Raw RetailSalesData'!K907)</f>
        <v>Sales Rep 4</v>
      </c>
      <c r="L907" t="s">
        <v>21</v>
      </c>
    </row>
    <row r="908" spans="1:12" x14ac:dyDescent="0.3">
      <c r="A908" t="str">
        <f>IF(COUNTIF('Raw RetailSalesData'!$A:$L,'Raw RetailSalesData'!A908)=1,'Raw RetailSalesData'!A908,"")</f>
        <v>ORD-10989</v>
      </c>
      <c r="B908" t="str">
        <f>IF('Raw RetailSalesData'!B908="","UNKNOWN",'Raw RetailSalesData'!B908)</f>
        <v xml:space="preserve"> 2024-03-03 </v>
      </c>
      <c r="C908" t="str">
        <f>IF('Raw RetailSalesData'!C908="","UNKNOW",'Raw RetailSalesData'!C908)</f>
        <v>CUST-1185</v>
      </c>
      <c r="D908" t="str">
        <f>IF('Raw RetailSalesData'!D908="","UNKNOW",'Raw RetailSalesData'!D908)</f>
        <v>P202</v>
      </c>
      <c r="E908" s="5">
        <f>IF('Raw RetailSalesData'!E908="",'Raw RetailSalesData'!F908/'Raw RetailSalesData'!G908,'Raw RetailSalesData'!E908)</f>
        <v>16</v>
      </c>
      <c r="F908" s="7">
        <f>IF('Raw RetailSalesData'!F908="",'Raw RetailSalesData'!G908/'Raw RetailSalesData'!E908,'Raw RetailSalesData'!F908)</f>
        <v>65</v>
      </c>
      <c r="G908" s="7">
        <f t="shared" si="14"/>
        <v>1040</v>
      </c>
      <c r="H908" s="5" t="str">
        <f>IF('Raw RetailSalesData'!H908="","Unknown",'Raw RetailSalesData'!H908)</f>
        <v>EMEA</v>
      </c>
      <c r="I908" t="s">
        <v>38</v>
      </c>
      <c r="J908" t="s">
        <v>39</v>
      </c>
      <c r="K908" t="str">
        <f>TRIM('Raw RetailSalesData'!K908)</f>
        <v>Sales Rep 3</v>
      </c>
      <c r="L908" t="s">
        <v>31</v>
      </c>
    </row>
    <row r="909" spans="1:12" x14ac:dyDescent="0.3">
      <c r="A909" t="str">
        <f>IF(COUNTIF('Raw RetailSalesData'!$A:$L,'Raw RetailSalesData'!A909)=1,'Raw RetailSalesData'!A909,"")</f>
        <v>ORD-10990</v>
      </c>
      <c r="B909" t="str">
        <f>IF('Raw RetailSalesData'!B909="","UNKNOWN",'Raw RetailSalesData'!B909)</f>
        <v>2026-04-10</v>
      </c>
      <c r="C909" t="str">
        <f>IF('Raw RetailSalesData'!C909="","UNKNOW",'Raw RetailSalesData'!C909)</f>
        <v>CUST-1152</v>
      </c>
      <c r="D909" t="str">
        <f>IF('Raw RetailSalesData'!D909="","UNKNOW",'Raw RetailSalesData'!D909)</f>
        <v>C301</v>
      </c>
      <c r="E909" s="5">
        <f>IF('Raw RetailSalesData'!E909="",'Raw RetailSalesData'!F909/'Raw RetailSalesData'!G909,'Raw RetailSalesData'!E909)</f>
        <v>15</v>
      </c>
      <c r="F909" s="7">
        <f>IF('Raw RetailSalesData'!F909="",'Raw RetailSalesData'!G909/'Raw RetailSalesData'!E909,'Raw RetailSalesData'!F909)</f>
        <v>60</v>
      </c>
      <c r="G909" s="7">
        <f t="shared" si="14"/>
        <v>900</v>
      </c>
      <c r="H909" s="5" t="str">
        <f>IF('Raw RetailSalesData'!H909="","Unknown",'Raw RetailSalesData'!H909)</f>
        <v>NA</v>
      </c>
      <c r="I909" t="s">
        <v>100</v>
      </c>
      <c r="J909" t="s">
        <v>101</v>
      </c>
      <c r="K909" t="str">
        <f>TRIM('Raw RetailSalesData'!K909)</f>
        <v>Sales Rep 2</v>
      </c>
      <c r="L909" t="s">
        <v>46</v>
      </c>
    </row>
    <row r="910" spans="1:12" x14ac:dyDescent="0.3">
      <c r="A910" t="str">
        <f>IF(COUNTIF('Raw RetailSalesData'!$A:$L,'Raw RetailSalesData'!A910)=1,'Raw RetailSalesData'!A910,"")</f>
        <v>ORD-10991</v>
      </c>
      <c r="B910" t="str">
        <f>IF('Raw RetailSalesData'!B910="","UNKNOWN",'Raw RetailSalesData'!B910)</f>
        <v>2024-05-02</v>
      </c>
      <c r="C910" t="str">
        <f>IF('Raw RetailSalesData'!C910="","UNKNOW",'Raw RetailSalesData'!C910)</f>
        <v>CUST-1082</v>
      </c>
      <c r="D910" t="str">
        <f>IF('Raw RetailSalesData'!D910="","UNKNOW",'Raw RetailSalesData'!D910)</f>
        <v>P201</v>
      </c>
      <c r="E910" s="5">
        <f>IF('Raw RetailSalesData'!E910="",'Raw RetailSalesData'!F910/'Raw RetailSalesData'!G910,'Raw RetailSalesData'!E910)</f>
        <v>3</v>
      </c>
      <c r="F910" s="7">
        <f>IF('Raw RetailSalesData'!F910="",'Raw RetailSalesData'!G910/'Raw RetailSalesData'!E910,'Raw RetailSalesData'!F910)</f>
        <v>70</v>
      </c>
      <c r="G910" s="7">
        <f t="shared" si="14"/>
        <v>210</v>
      </c>
      <c r="H910" s="5" t="str">
        <f>IF('Raw RetailSalesData'!H910="","Unknown",'Raw RetailSalesData'!H910)</f>
        <v>EMEA</v>
      </c>
      <c r="I910" t="s">
        <v>225</v>
      </c>
      <c r="J910" t="s">
        <v>226</v>
      </c>
      <c r="K910" t="str">
        <f>TRIM('Raw RetailSalesData'!K910)</f>
        <v>Sales Rep 3</v>
      </c>
      <c r="L910" t="s">
        <v>31</v>
      </c>
    </row>
    <row r="911" spans="1:12" x14ac:dyDescent="0.3">
      <c r="A911" t="str">
        <f>IF(COUNTIF('Raw RetailSalesData'!$A:$L,'Raw RetailSalesData'!A912)=1,'Raw RetailSalesData'!A912,"")</f>
        <v>ORD-10993</v>
      </c>
      <c r="B911" t="str">
        <f>IF('Raw RetailSalesData'!B912="","UNKNOWN",'Raw RetailSalesData'!B912)</f>
        <v>2025-04-26</v>
      </c>
      <c r="C911" t="str">
        <f>IF('Raw RetailSalesData'!C912="","UNKNOW",'Raw RetailSalesData'!C912)</f>
        <v>CUST-1083</v>
      </c>
      <c r="D911" t="str">
        <f>IF('Raw RetailSalesData'!D912="","UNKNOW",'Raw RetailSalesData'!D912)</f>
        <v xml:space="preserve"> P201 </v>
      </c>
      <c r="E911" s="5">
        <f>IF('Raw RetailSalesData'!E912="",'Raw RetailSalesData'!F912/'Raw RetailSalesData'!G912,'Raw RetailSalesData'!E912)</f>
        <v>7</v>
      </c>
      <c r="F911" s="7">
        <f>IF('Raw RetailSalesData'!F912="",'Raw RetailSalesData'!G912/'Raw RetailSalesData'!E912,'Raw RetailSalesData'!F912)</f>
        <v>65</v>
      </c>
      <c r="G911" s="7">
        <f t="shared" si="14"/>
        <v>455</v>
      </c>
      <c r="H911" s="5" t="str">
        <f>IF('Raw RetailSalesData'!H912="","Unknown",'Raw RetailSalesData'!H912)</f>
        <v>LATAM</v>
      </c>
      <c r="I911" t="s">
        <v>90</v>
      </c>
      <c r="J911" t="s">
        <v>2198</v>
      </c>
      <c r="K911" t="str">
        <f>TRIM('Raw RetailSalesData'!K911)</f>
        <v>John Smith</v>
      </c>
      <c r="L911" t="s">
        <v>2190</v>
      </c>
    </row>
    <row r="912" spans="1:12" x14ac:dyDescent="0.3">
      <c r="A912" t="str">
        <f>IF(COUNTIF('Raw RetailSalesData'!$A:$L,'Raw RetailSalesData'!A913)=1,'Raw RetailSalesData'!A913,"")</f>
        <v>ORD-10994</v>
      </c>
      <c r="B912" t="str">
        <f>IF('Raw RetailSalesData'!B913="","UNKNOWN",'Raw RetailSalesData'!B913)</f>
        <v>2026-01-16</v>
      </c>
      <c r="C912" t="str">
        <f>IF('Raw RetailSalesData'!C913="","UNKNOW",'Raw RetailSalesData'!C913)</f>
        <v>CUST-1143</v>
      </c>
      <c r="D912" t="str">
        <f>IF('Raw RetailSalesData'!D913="","UNKNOW",'Raw RetailSalesData'!D913)</f>
        <v>UNKNOW</v>
      </c>
      <c r="E912" s="5">
        <f>IF('Raw RetailSalesData'!E913="",'Raw RetailSalesData'!F913/'Raw RetailSalesData'!G913,'Raw RetailSalesData'!E913)</f>
        <v>20</v>
      </c>
      <c r="F912" s="7">
        <f>IF('Raw RetailSalesData'!F913="",'Raw RetailSalesData'!G913/'Raw RetailSalesData'!E913,'Raw RetailSalesData'!F913)</f>
        <v>53</v>
      </c>
      <c r="G912" s="7">
        <f t="shared" si="14"/>
        <v>1060</v>
      </c>
      <c r="H912" s="5" t="str">
        <f>IF('Raw RetailSalesData'!H913="","Unknown",'Raw RetailSalesData'!H913)</f>
        <v>LATAM</v>
      </c>
      <c r="I912" t="s">
        <v>18</v>
      </c>
      <c r="J912" t="s">
        <v>2197</v>
      </c>
      <c r="K912" t="str">
        <f>TRIM('Raw RetailSalesData'!K912)</f>
        <v>Sales Rep 4</v>
      </c>
      <c r="L912" t="s">
        <v>21</v>
      </c>
    </row>
    <row r="913" spans="1:12" x14ac:dyDescent="0.3">
      <c r="A913" t="str">
        <f>IF(COUNTIF('Raw RetailSalesData'!$A:$L,'Raw RetailSalesData'!A914)=1,'Raw RetailSalesData'!A914,"")</f>
        <v>ORD-10995</v>
      </c>
      <c r="B913" t="str">
        <f>IF('Raw RetailSalesData'!B914="","UNKNOWN",'Raw RetailSalesData'!B914)</f>
        <v>2026-01-16</v>
      </c>
      <c r="C913" t="str">
        <f>IF('Raw RetailSalesData'!C914="","UNKNOW",'Raw RetailSalesData'!C914)</f>
        <v>CUST-1143</v>
      </c>
      <c r="D913" t="str">
        <f>IF('Raw RetailSalesData'!D914="","UNKNOW",'Raw RetailSalesData'!D914)</f>
        <v>C304</v>
      </c>
      <c r="E913" s="5">
        <f>IF('Raw RetailSalesData'!E914="",'Raw RetailSalesData'!F914/'Raw RetailSalesData'!G914,'Raw RetailSalesData'!E914)</f>
        <v>20</v>
      </c>
      <c r="F913" s="7">
        <f>IF('Raw RetailSalesData'!F914="",'Raw RetailSalesData'!G914/'Raw RetailSalesData'!E914,'Raw RetailSalesData'!F914)</f>
        <v>53</v>
      </c>
      <c r="G913" s="7">
        <f t="shared" si="14"/>
        <v>1060</v>
      </c>
      <c r="H913" s="5" t="str">
        <f>IF('Raw RetailSalesData'!H914="","Unknown",'Raw RetailSalesData'!H914)</f>
        <v>LATAM</v>
      </c>
      <c r="I913" t="s">
        <v>18</v>
      </c>
      <c r="J913" t="s">
        <v>2197</v>
      </c>
      <c r="K913" t="str">
        <f>TRIM('Raw RetailSalesData'!K913)</f>
        <v>Sales Rep 4</v>
      </c>
      <c r="L913" t="s">
        <v>21</v>
      </c>
    </row>
    <row r="914" spans="1:12" x14ac:dyDescent="0.3">
      <c r="A914" t="str">
        <f>IF(COUNTIF('Raw RetailSalesData'!$A:$L,'Raw RetailSalesData'!A915)=1,'Raw RetailSalesData'!A915,"")</f>
        <v>ORD-10996</v>
      </c>
      <c r="B914" t="str">
        <f>IF('Raw RetailSalesData'!B915="","UNKNOWN",'Raw RetailSalesData'!B915)</f>
        <v>2025-08-08</v>
      </c>
      <c r="C914" t="str">
        <f>IF('Raw RetailSalesData'!C915="","UNKNOW",'Raw RetailSalesData'!C915)</f>
        <v>CUST-1077</v>
      </c>
      <c r="D914" t="str">
        <f>IF('Raw RetailSalesData'!D915="","UNKNOW",'Raw RetailSalesData'!D915)</f>
        <v xml:space="preserve"> P101 </v>
      </c>
      <c r="E914" s="5">
        <f>IF('Raw RetailSalesData'!E915="",'Raw RetailSalesData'!F915/'Raw RetailSalesData'!G915,'Raw RetailSalesData'!E915)</f>
        <v>9</v>
      </c>
      <c r="F914" s="7">
        <f>IF('Raw RetailSalesData'!F915="",'Raw RetailSalesData'!G915/'Raw RetailSalesData'!E915,'Raw RetailSalesData'!F915)</f>
        <v>90</v>
      </c>
      <c r="G914" s="7">
        <f t="shared" si="14"/>
        <v>810</v>
      </c>
      <c r="H914" s="5" t="str">
        <f>IF('Raw RetailSalesData'!H915="","Unknown",'Raw RetailSalesData'!H915)</f>
        <v>NA</v>
      </c>
      <c r="I914" t="s">
        <v>28</v>
      </c>
      <c r="J914" t="s">
        <v>2196</v>
      </c>
      <c r="K914" t="str">
        <f>TRIM('Raw RetailSalesData'!K914)</f>
        <v>Sales Rep 4</v>
      </c>
      <c r="L914" t="s">
        <v>31</v>
      </c>
    </row>
    <row r="915" spans="1:12" x14ac:dyDescent="0.3">
      <c r="A915" t="str">
        <f>IF(COUNTIF('Raw RetailSalesData'!$A:$L,'Raw RetailSalesData'!A916)=1,'Raw RetailSalesData'!A916,"")</f>
        <v>ORD-10997</v>
      </c>
      <c r="B915" t="str">
        <f>IF('Raw RetailSalesData'!B916="","UNKNOWN",'Raw RetailSalesData'!B916)</f>
        <v>2024-02-17</v>
      </c>
      <c r="C915" t="str">
        <f>IF('Raw RetailSalesData'!C916="","UNKNOW",'Raw RetailSalesData'!C916)</f>
        <v>CUST-1128</v>
      </c>
      <c r="D915" t="str">
        <f>IF('Raw RetailSalesData'!D916="","UNKNOW",'Raw RetailSalesData'!D916)</f>
        <v>C301</v>
      </c>
      <c r="E915" s="5">
        <f>IF('Raw RetailSalesData'!E916="",'Raw RetailSalesData'!F916/'Raw RetailSalesData'!G916,'Raw RetailSalesData'!E916)</f>
        <v>9</v>
      </c>
      <c r="F915" s="7">
        <f>IF('Raw RetailSalesData'!F916="",'Raw RetailSalesData'!G916/'Raw RetailSalesData'!E916,'Raw RetailSalesData'!F916)</f>
        <v>55</v>
      </c>
      <c r="G915" s="7">
        <f t="shared" si="14"/>
        <v>495</v>
      </c>
      <c r="H915" s="5" t="str">
        <f>IF('Raw RetailSalesData'!H916="","Unknown",'Raw RetailSalesData'!H916)</f>
        <v>EMEA</v>
      </c>
      <c r="I915" t="s">
        <v>38</v>
      </c>
      <c r="J915" t="s">
        <v>39</v>
      </c>
      <c r="K915" t="str">
        <f>TRIM('Raw RetailSalesData'!K915)</f>
        <v>Michael Johnson</v>
      </c>
      <c r="L915" t="s">
        <v>31</v>
      </c>
    </row>
    <row r="916" spans="1:12" x14ac:dyDescent="0.3">
      <c r="A916" t="str">
        <f>IF(COUNTIF('Raw RetailSalesData'!$A:$L,'Raw RetailSalesData'!A917)=1,'Raw RetailSalesData'!A917,"")</f>
        <v>ORD-10998</v>
      </c>
      <c r="B916" t="str">
        <f>IF('Raw RetailSalesData'!B917="","UNKNOWN",'Raw RetailSalesData'!B917)</f>
        <v>2025-05-13</v>
      </c>
      <c r="C916" t="str">
        <f>IF('Raw RetailSalesData'!C917="","UNKNOW",'Raw RetailSalesData'!C917)</f>
        <v>CUST-1138</v>
      </c>
      <c r="D916" t="str">
        <f>IF('Raw RetailSalesData'!D917="","UNKNOW",'Raw RetailSalesData'!D917)</f>
        <v>P101</v>
      </c>
      <c r="E916" s="5">
        <f>IF('Raw RetailSalesData'!E917="",'Raw RetailSalesData'!F917/'Raw RetailSalesData'!G917,'Raw RetailSalesData'!E917)</f>
        <v>12</v>
      </c>
      <c r="F916" s="7">
        <f>IF('Raw RetailSalesData'!F917="",'Raw RetailSalesData'!G917/'Raw RetailSalesData'!E917,'Raw RetailSalesData'!F917)</f>
        <v>85</v>
      </c>
      <c r="G916" s="7">
        <f t="shared" si="14"/>
        <v>1020</v>
      </c>
      <c r="H916" s="5" t="str">
        <f>IF('Raw RetailSalesData'!H917="","Unknown",'Raw RetailSalesData'!H917)</f>
        <v>APAC</v>
      </c>
      <c r="I916" t="s">
        <v>71</v>
      </c>
      <c r="J916" t="s">
        <v>72</v>
      </c>
      <c r="K916" t="str">
        <f>TRIM('Raw RetailSalesData'!K916)</f>
        <v>Sales Rep 5</v>
      </c>
      <c r="L916" t="s">
        <v>31</v>
      </c>
    </row>
    <row r="917" spans="1:12" x14ac:dyDescent="0.3">
      <c r="A917" t="str">
        <f>IF(COUNTIF('Raw RetailSalesData'!$A:$L,'Raw RetailSalesData'!A918)=1,'Raw RetailSalesData'!A918,"")</f>
        <v>ORD-10999</v>
      </c>
      <c r="B917" t="str">
        <f>IF('Raw RetailSalesData'!B918="","UNKNOWN",'Raw RetailSalesData'!B918)</f>
        <v>2026-03-23</v>
      </c>
      <c r="C917" t="str">
        <f>IF('Raw RetailSalesData'!C918="","UNKNOW",'Raw RetailSalesData'!C918)</f>
        <v>CUST-1040</v>
      </c>
      <c r="D917" t="str">
        <f>IF('Raw RetailSalesData'!D918="","UNKNOW",'Raw RetailSalesData'!D918)</f>
        <v>P101</v>
      </c>
      <c r="E917" s="5">
        <f>IF('Raw RetailSalesData'!E918="",'Raw RetailSalesData'!F918/'Raw RetailSalesData'!G918,'Raw RetailSalesData'!E918)</f>
        <v>1</v>
      </c>
      <c r="F917" s="7">
        <f>IF('Raw RetailSalesData'!F918="",'Raw RetailSalesData'!G918/'Raw RetailSalesData'!E918,'Raw RetailSalesData'!F918)</f>
        <v>90</v>
      </c>
      <c r="G917" s="7">
        <f t="shared" si="14"/>
        <v>90</v>
      </c>
      <c r="H917" s="5" t="str">
        <f>IF('Raw RetailSalesData'!H918="","Unknown",'Raw RetailSalesData'!H918)</f>
        <v xml:space="preserve"> NA </v>
      </c>
      <c r="I917" t="s">
        <v>28</v>
      </c>
      <c r="J917" t="s">
        <v>29</v>
      </c>
      <c r="K917" t="str">
        <f>TRIM('Raw RetailSalesData'!K917)</f>
        <v>Hiroshi Tanaka</v>
      </c>
      <c r="L917" t="s">
        <v>46</v>
      </c>
    </row>
    <row r="918" spans="1:12" x14ac:dyDescent="0.3">
      <c r="A918" t="str">
        <f>IF(COUNTIF('Raw RetailSalesData'!$A:$L,'Raw RetailSalesData'!A919)=1,'Raw RetailSalesData'!A919,"")</f>
        <v>ORD-11000</v>
      </c>
      <c r="B918" t="str">
        <f>IF('Raw RetailSalesData'!B919="","UNKNOWN",'Raw RetailSalesData'!B919)</f>
        <v>2024-12-26</v>
      </c>
      <c r="C918" t="str">
        <f>IF('Raw RetailSalesData'!C919="","UNKNOW",'Raw RetailSalesData'!C919)</f>
        <v>CUST-1133</v>
      </c>
      <c r="D918" t="str">
        <f>IF('Raw RetailSalesData'!D919="","UNKNOW",'Raw RetailSalesData'!D919)</f>
        <v>P101</v>
      </c>
      <c r="E918" s="5">
        <f>IF('Raw RetailSalesData'!E919="",'Raw RetailSalesData'!F919/'Raw RetailSalesData'!G919,'Raw RetailSalesData'!E919)</f>
        <v>20</v>
      </c>
      <c r="F918" s="7">
        <f>IF('Raw RetailSalesData'!F919="",'Raw RetailSalesData'!G919/'Raw RetailSalesData'!E919,'Raw RetailSalesData'!F919)</f>
        <v>80</v>
      </c>
      <c r="G918" s="7">
        <f t="shared" si="14"/>
        <v>1600</v>
      </c>
      <c r="H918" s="5" t="str">
        <f>IF('Raw RetailSalesData'!H919="","Unknown",'Raw RetailSalesData'!H919)</f>
        <v>LATAM</v>
      </c>
      <c r="I918" t="s">
        <v>90</v>
      </c>
      <c r="J918" t="s">
        <v>2198</v>
      </c>
      <c r="K918" t="str">
        <f>TRIM('Raw RetailSalesData'!K918)</f>
        <v>Sales Rep 1</v>
      </c>
      <c r="L918" t="s">
        <v>46</v>
      </c>
    </row>
  </sheetData>
  <conditionalFormatting sqref="A9">
    <cfRule type="duplicateValues" dxfId="4" priority="1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35"/>
  <sheetViews>
    <sheetView workbookViewId="0">
      <selection activeCell="E28" sqref="E28"/>
    </sheetView>
  </sheetViews>
  <sheetFormatPr defaultRowHeight="15.6" x14ac:dyDescent="0.3"/>
  <cols>
    <col min="1" max="1" width="15" customWidth="1"/>
    <col min="2" max="2" width="19.3984375" style="7" customWidth="1"/>
    <col min="3" max="3" width="16.09765625" style="4" customWidth="1"/>
    <col min="4" max="4" width="14.3984375" customWidth="1"/>
    <col min="5" max="5" width="20" style="7" customWidth="1"/>
    <col min="6" max="6" width="19.3984375" customWidth="1"/>
    <col min="7" max="7" width="20.8984375" customWidth="1"/>
    <col min="8" max="15" width="15.19921875" customWidth="1"/>
    <col min="16" max="921" width="15.19921875" bestFit="1" customWidth="1"/>
    <col min="922" max="922" width="10.8984375" bestFit="1" customWidth="1"/>
  </cols>
  <sheetData>
    <row r="1" spans="1:6" x14ac:dyDescent="0.3">
      <c r="A1" s="8" t="s">
        <v>2205</v>
      </c>
      <c r="B1" t="s">
        <v>2203</v>
      </c>
      <c r="C1"/>
      <c r="D1" s="8" t="s">
        <v>2206</v>
      </c>
      <c r="E1" s="7" t="s">
        <v>2203</v>
      </c>
    </row>
    <row r="2" spans="1:6" x14ac:dyDescent="0.3">
      <c r="A2" s="9" t="s">
        <v>140</v>
      </c>
      <c r="B2">
        <v>7592.8</v>
      </c>
      <c r="C2"/>
      <c r="D2" s="9" t="s">
        <v>140</v>
      </c>
      <c r="E2" s="7">
        <v>3119</v>
      </c>
    </row>
    <row r="3" spans="1:6" x14ac:dyDescent="0.3">
      <c r="A3" s="9" t="s">
        <v>153</v>
      </c>
      <c r="B3">
        <v>34746.153846153844</v>
      </c>
      <c r="C3"/>
      <c r="D3" s="9" t="s">
        <v>46</v>
      </c>
      <c r="E3" s="7">
        <v>227438.40634920634</v>
      </c>
    </row>
    <row r="4" spans="1:6" x14ac:dyDescent="0.3">
      <c r="A4" s="9" t="s">
        <v>73</v>
      </c>
      <c r="B4">
        <v>51322.958333333328</v>
      </c>
      <c r="C4"/>
      <c r="D4" s="9" t="s">
        <v>21</v>
      </c>
      <c r="E4" s="7">
        <v>201708.43325791854</v>
      </c>
    </row>
    <row r="5" spans="1:6" x14ac:dyDescent="0.3">
      <c r="A5" s="9" t="s">
        <v>158</v>
      </c>
      <c r="B5">
        <v>60178.25</v>
      </c>
      <c r="C5"/>
      <c r="D5" s="9" t="s">
        <v>2190</v>
      </c>
      <c r="E5" s="7">
        <v>18097</v>
      </c>
    </row>
    <row r="6" spans="1:6" x14ac:dyDescent="0.3">
      <c r="A6" s="9" t="s">
        <v>54</v>
      </c>
      <c r="B6">
        <v>50346.437343358404</v>
      </c>
      <c r="C6"/>
      <c r="D6" s="9" t="s">
        <v>31</v>
      </c>
      <c r="E6" s="7">
        <v>214282.46154970757</v>
      </c>
    </row>
    <row r="7" spans="1:6" x14ac:dyDescent="0.3">
      <c r="A7" s="9" t="s">
        <v>60</v>
      </c>
      <c r="B7">
        <v>84237.666666666672</v>
      </c>
      <c r="C7"/>
      <c r="D7" s="9" t="s">
        <v>2201</v>
      </c>
    </row>
    <row r="8" spans="1:6" x14ac:dyDescent="0.3">
      <c r="A8" s="9" t="s">
        <v>66</v>
      </c>
      <c r="B8">
        <v>89326.95</v>
      </c>
      <c r="C8"/>
      <c r="D8" s="9" t="s">
        <v>2202</v>
      </c>
      <c r="E8" s="7">
        <v>664645.30115683249</v>
      </c>
    </row>
    <row r="9" spans="1:6" x14ac:dyDescent="0.3">
      <c r="A9" s="9" t="s">
        <v>45</v>
      </c>
      <c r="B9">
        <v>79126.777777777781</v>
      </c>
      <c r="C9"/>
    </row>
    <row r="10" spans="1:6" x14ac:dyDescent="0.3">
      <c r="A10" s="9" t="s">
        <v>20</v>
      </c>
      <c r="B10">
        <v>94784.027777777781</v>
      </c>
      <c r="C10"/>
    </row>
    <row r="11" spans="1:6" x14ac:dyDescent="0.3">
      <c r="A11" s="9" t="s">
        <v>30</v>
      </c>
      <c r="B11">
        <v>94493.279411764699</v>
      </c>
      <c r="C11"/>
    </row>
    <row r="12" spans="1:6" x14ac:dyDescent="0.3">
      <c r="A12" s="9" t="s">
        <v>2190</v>
      </c>
      <c r="B12">
        <v>18490</v>
      </c>
      <c r="C12"/>
    </row>
    <row r="13" spans="1:6" x14ac:dyDescent="0.3">
      <c r="A13" s="9" t="s">
        <v>2201</v>
      </c>
      <c r="B13"/>
      <c r="C13"/>
    </row>
    <row r="14" spans="1:6" x14ac:dyDescent="0.3">
      <c r="A14" s="9" t="s">
        <v>2202</v>
      </c>
      <c r="B14">
        <v>664645.30115683249</v>
      </c>
      <c r="C14"/>
      <c r="E14"/>
    </row>
    <row r="16" spans="1:6" x14ac:dyDescent="0.3">
      <c r="A16" s="8" t="s">
        <v>7</v>
      </c>
      <c r="B16" t="s">
        <v>2204</v>
      </c>
      <c r="D16" s="8" t="s">
        <v>2206</v>
      </c>
      <c r="E16" t="s">
        <v>2204</v>
      </c>
      <c r="F16" s="11" t="s">
        <v>2203</v>
      </c>
    </row>
    <row r="17" spans="1:6" x14ac:dyDescent="0.3">
      <c r="A17" s="9" t="s">
        <v>231</v>
      </c>
      <c r="B17" s="10">
        <v>12</v>
      </c>
      <c r="D17" s="9" t="s">
        <v>140</v>
      </c>
      <c r="E17">
        <v>5</v>
      </c>
      <c r="F17" s="11">
        <v>3119</v>
      </c>
    </row>
    <row r="18" spans="1:6" x14ac:dyDescent="0.3">
      <c r="A18" s="9" t="s">
        <v>585</v>
      </c>
      <c r="B18" s="10">
        <v>10</v>
      </c>
      <c r="D18" s="9" t="s">
        <v>46</v>
      </c>
      <c r="E18">
        <v>301</v>
      </c>
      <c r="F18" s="11">
        <v>227438.40634920634</v>
      </c>
    </row>
    <row r="19" spans="1:6" x14ac:dyDescent="0.3">
      <c r="A19" s="9" t="s">
        <v>405</v>
      </c>
      <c r="B19" s="10">
        <v>10</v>
      </c>
      <c r="D19" s="9" t="s">
        <v>21</v>
      </c>
      <c r="E19">
        <v>290</v>
      </c>
      <c r="F19" s="11">
        <v>201708.43325791854</v>
      </c>
    </row>
    <row r="20" spans="1:6" x14ac:dyDescent="0.3">
      <c r="A20" s="9" t="s">
        <v>846</v>
      </c>
      <c r="B20" s="10">
        <v>8</v>
      </c>
      <c r="D20" s="9" t="s">
        <v>2190</v>
      </c>
      <c r="E20">
        <v>30</v>
      </c>
      <c r="F20" s="11">
        <v>18097</v>
      </c>
    </row>
    <row r="21" spans="1:6" x14ac:dyDescent="0.3">
      <c r="A21" s="9" t="s">
        <v>140</v>
      </c>
      <c r="B21" s="10">
        <v>5</v>
      </c>
      <c r="D21" s="9" t="s">
        <v>31</v>
      </c>
      <c r="E21">
        <v>291</v>
      </c>
      <c r="F21" s="11">
        <v>214282.46154970757</v>
      </c>
    </row>
    <row r="22" spans="1:6" x14ac:dyDescent="0.3">
      <c r="A22" s="9" t="s">
        <v>70</v>
      </c>
      <c r="B22" s="10">
        <v>224</v>
      </c>
      <c r="D22" s="9" t="s">
        <v>2201</v>
      </c>
      <c r="E22"/>
      <c r="F22" s="11"/>
    </row>
    <row r="23" spans="1:6" x14ac:dyDescent="0.3">
      <c r="A23" s="9" t="s">
        <v>37</v>
      </c>
      <c r="B23" s="10">
        <v>186</v>
      </c>
      <c r="D23" s="9" t="s">
        <v>2202</v>
      </c>
      <c r="E23">
        <v>917</v>
      </c>
      <c r="F23" s="11">
        <v>664645.3011568326</v>
      </c>
    </row>
    <row r="24" spans="1:6" x14ac:dyDescent="0.3">
      <c r="A24" s="9" t="s">
        <v>17</v>
      </c>
      <c r="B24" s="10">
        <v>216</v>
      </c>
      <c r="E24"/>
    </row>
    <row r="25" spans="1:6" x14ac:dyDescent="0.3">
      <c r="A25" s="9" t="s">
        <v>27</v>
      </c>
      <c r="B25" s="10">
        <v>214</v>
      </c>
      <c r="E25"/>
    </row>
    <row r="26" spans="1:6" x14ac:dyDescent="0.3">
      <c r="A26" s="9" t="s">
        <v>2190</v>
      </c>
      <c r="B26" s="10">
        <v>32</v>
      </c>
      <c r="E26"/>
    </row>
    <row r="27" spans="1:6" x14ac:dyDescent="0.3">
      <c r="A27" s="9" t="s">
        <v>2201</v>
      </c>
      <c r="B27" s="10"/>
      <c r="E27"/>
    </row>
    <row r="28" spans="1:6" x14ac:dyDescent="0.3">
      <c r="A28" s="9" t="s">
        <v>2202</v>
      </c>
      <c r="B28" s="10">
        <v>917</v>
      </c>
      <c r="E28"/>
    </row>
    <row r="29" spans="1:6" x14ac:dyDescent="0.3">
      <c r="B29"/>
      <c r="E29"/>
    </row>
    <row r="30" spans="1:6" x14ac:dyDescent="0.3">
      <c r="B30"/>
      <c r="E30"/>
    </row>
    <row r="31" spans="1:6" x14ac:dyDescent="0.3">
      <c r="B31"/>
      <c r="E31"/>
    </row>
    <row r="32" spans="1:6" x14ac:dyDescent="0.3">
      <c r="B32"/>
      <c r="E32"/>
    </row>
    <row r="33" spans="2:5" x14ac:dyDescent="0.3">
      <c r="B33"/>
      <c r="E33"/>
    </row>
    <row r="34" spans="2:5" x14ac:dyDescent="0.3">
      <c r="B34"/>
      <c r="E34"/>
    </row>
    <row r="35" spans="2:5" x14ac:dyDescent="0.3">
      <c r="B35"/>
      <c r="E35"/>
    </row>
    <row r="36" spans="2:5" x14ac:dyDescent="0.3">
      <c r="B36"/>
      <c r="E36"/>
    </row>
    <row r="37" spans="2:5" x14ac:dyDescent="0.3">
      <c r="B37"/>
      <c r="E37"/>
    </row>
    <row r="38" spans="2:5" x14ac:dyDescent="0.3">
      <c r="B38"/>
      <c r="E38"/>
    </row>
    <row r="39" spans="2:5" x14ac:dyDescent="0.3">
      <c r="B39"/>
      <c r="E39"/>
    </row>
    <row r="40" spans="2:5" x14ac:dyDescent="0.3">
      <c r="B40"/>
      <c r="E40"/>
    </row>
    <row r="41" spans="2:5" x14ac:dyDescent="0.3">
      <c r="B41"/>
      <c r="E41"/>
    </row>
    <row r="42" spans="2:5" x14ac:dyDescent="0.3">
      <c r="B42"/>
      <c r="E42"/>
    </row>
    <row r="43" spans="2:5" x14ac:dyDescent="0.3">
      <c r="B43"/>
      <c r="E43"/>
    </row>
    <row r="44" spans="2:5" x14ac:dyDescent="0.3">
      <c r="B44"/>
      <c r="E44"/>
    </row>
    <row r="45" spans="2:5" x14ac:dyDescent="0.3">
      <c r="B45"/>
      <c r="E45"/>
    </row>
    <row r="46" spans="2:5" x14ac:dyDescent="0.3">
      <c r="B46"/>
      <c r="E46"/>
    </row>
    <row r="47" spans="2:5" x14ac:dyDescent="0.3">
      <c r="B47"/>
      <c r="E47"/>
    </row>
    <row r="48" spans="2:5" x14ac:dyDescent="0.3">
      <c r="B48"/>
      <c r="E48"/>
    </row>
    <row r="49" spans="2:5" x14ac:dyDescent="0.3">
      <c r="B49"/>
      <c r="E49"/>
    </row>
    <row r="50" spans="2:5" x14ac:dyDescent="0.3">
      <c r="B50"/>
      <c r="E50"/>
    </row>
    <row r="51" spans="2:5" x14ac:dyDescent="0.3">
      <c r="B51"/>
      <c r="E51"/>
    </row>
    <row r="52" spans="2:5" x14ac:dyDescent="0.3">
      <c r="B52"/>
      <c r="E52"/>
    </row>
    <row r="53" spans="2:5" x14ac:dyDescent="0.3">
      <c r="B53"/>
      <c r="E53"/>
    </row>
    <row r="54" spans="2:5" x14ac:dyDescent="0.3">
      <c r="B54"/>
      <c r="E54"/>
    </row>
    <row r="55" spans="2:5" x14ac:dyDescent="0.3">
      <c r="B55"/>
      <c r="E55"/>
    </row>
    <row r="56" spans="2:5" x14ac:dyDescent="0.3">
      <c r="B56"/>
      <c r="E56"/>
    </row>
    <row r="57" spans="2:5" x14ac:dyDescent="0.3">
      <c r="B57"/>
      <c r="E57"/>
    </row>
    <row r="58" spans="2:5" x14ac:dyDescent="0.3">
      <c r="B58"/>
      <c r="E58"/>
    </row>
    <row r="59" spans="2:5" x14ac:dyDescent="0.3">
      <c r="B59"/>
      <c r="E59"/>
    </row>
    <row r="60" spans="2:5" x14ac:dyDescent="0.3">
      <c r="B60"/>
      <c r="E60"/>
    </row>
    <row r="61" spans="2:5" x14ac:dyDescent="0.3">
      <c r="B61"/>
      <c r="E61"/>
    </row>
    <row r="62" spans="2:5" x14ac:dyDescent="0.3">
      <c r="B62"/>
      <c r="E62"/>
    </row>
    <row r="63" spans="2:5" x14ac:dyDescent="0.3">
      <c r="B63"/>
      <c r="E63"/>
    </row>
    <row r="64" spans="2:5" x14ac:dyDescent="0.3">
      <c r="B64"/>
      <c r="E64"/>
    </row>
    <row r="65" spans="2:5" x14ac:dyDescent="0.3">
      <c r="B65"/>
      <c r="E65"/>
    </row>
    <row r="66" spans="2:5" x14ac:dyDescent="0.3">
      <c r="B66"/>
      <c r="E66"/>
    </row>
    <row r="67" spans="2:5" x14ac:dyDescent="0.3">
      <c r="B67"/>
      <c r="E67"/>
    </row>
    <row r="68" spans="2:5" x14ac:dyDescent="0.3">
      <c r="B68"/>
      <c r="E68"/>
    </row>
    <row r="69" spans="2:5" x14ac:dyDescent="0.3">
      <c r="B69"/>
      <c r="E69"/>
    </row>
    <row r="70" spans="2:5" x14ac:dyDescent="0.3">
      <c r="B70"/>
      <c r="E70"/>
    </row>
    <row r="71" spans="2:5" x14ac:dyDescent="0.3">
      <c r="B71"/>
      <c r="E71"/>
    </row>
    <row r="72" spans="2:5" x14ac:dyDescent="0.3">
      <c r="B72"/>
      <c r="E72"/>
    </row>
    <row r="73" spans="2:5" x14ac:dyDescent="0.3">
      <c r="B73"/>
      <c r="E73"/>
    </row>
    <row r="74" spans="2:5" x14ac:dyDescent="0.3">
      <c r="B74"/>
      <c r="E74"/>
    </row>
    <row r="75" spans="2:5" x14ac:dyDescent="0.3">
      <c r="B75"/>
      <c r="E75"/>
    </row>
    <row r="76" spans="2:5" x14ac:dyDescent="0.3">
      <c r="B76"/>
      <c r="E76"/>
    </row>
    <row r="77" spans="2:5" x14ac:dyDescent="0.3">
      <c r="B77"/>
      <c r="E77"/>
    </row>
    <row r="78" spans="2:5" x14ac:dyDescent="0.3">
      <c r="B78"/>
      <c r="E78"/>
    </row>
    <row r="79" spans="2:5" x14ac:dyDescent="0.3">
      <c r="B79"/>
      <c r="E79"/>
    </row>
    <row r="80" spans="2:5" x14ac:dyDescent="0.3">
      <c r="B80"/>
      <c r="E80"/>
    </row>
    <row r="81" spans="2:5" x14ac:dyDescent="0.3">
      <c r="B81"/>
      <c r="E81"/>
    </row>
    <row r="82" spans="2:5" x14ac:dyDescent="0.3">
      <c r="B82"/>
      <c r="E82"/>
    </row>
    <row r="83" spans="2:5" x14ac:dyDescent="0.3">
      <c r="B83"/>
      <c r="E83"/>
    </row>
    <row r="84" spans="2:5" x14ac:dyDescent="0.3">
      <c r="B84"/>
      <c r="E84"/>
    </row>
    <row r="85" spans="2:5" x14ac:dyDescent="0.3">
      <c r="B85"/>
      <c r="E85"/>
    </row>
    <row r="86" spans="2:5" x14ac:dyDescent="0.3">
      <c r="B86"/>
      <c r="E86"/>
    </row>
    <row r="87" spans="2:5" x14ac:dyDescent="0.3">
      <c r="B87"/>
      <c r="E87"/>
    </row>
    <row r="88" spans="2:5" x14ac:dyDescent="0.3">
      <c r="B88"/>
      <c r="E88"/>
    </row>
    <row r="89" spans="2:5" x14ac:dyDescent="0.3">
      <c r="B89"/>
      <c r="E89"/>
    </row>
    <row r="90" spans="2:5" x14ac:dyDescent="0.3">
      <c r="B90"/>
      <c r="E90"/>
    </row>
    <row r="91" spans="2:5" x14ac:dyDescent="0.3">
      <c r="B91"/>
      <c r="E91"/>
    </row>
    <row r="92" spans="2:5" x14ac:dyDescent="0.3">
      <c r="B92"/>
      <c r="E92"/>
    </row>
    <row r="93" spans="2:5" x14ac:dyDescent="0.3">
      <c r="B93"/>
      <c r="E93"/>
    </row>
    <row r="94" spans="2:5" x14ac:dyDescent="0.3">
      <c r="B94"/>
      <c r="E94"/>
    </row>
    <row r="95" spans="2:5" x14ac:dyDescent="0.3">
      <c r="B95"/>
      <c r="E95"/>
    </row>
    <row r="96" spans="2:5" x14ac:dyDescent="0.3">
      <c r="B96"/>
      <c r="E96"/>
    </row>
    <row r="97" spans="2:5" x14ac:dyDescent="0.3">
      <c r="B97"/>
      <c r="E97"/>
    </row>
    <row r="98" spans="2:5" x14ac:dyDescent="0.3">
      <c r="B98"/>
      <c r="E98"/>
    </row>
    <row r="99" spans="2:5" x14ac:dyDescent="0.3">
      <c r="B99"/>
      <c r="E99"/>
    </row>
    <row r="100" spans="2:5" x14ac:dyDescent="0.3">
      <c r="B100"/>
      <c r="E100"/>
    </row>
    <row r="101" spans="2:5" x14ac:dyDescent="0.3">
      <c r="B101"/>
      <c r="E101"/>
    </row>
    <row r="102" spans="2:5" x14ac:dyDescent="0.3">
      <c r="B102"/>
      <c r="E102"/>
    </row>
    <row r="103" spans="2:5" x14ac:dyDescent="0.3">
      <c r="B103"/>
      <c r="E103"/>
    </row>
    <row r="104" spans="2:5" x14ac:dyDescent="0.3">
      <c r="B104"/>
      <c r="E104"/>
    </row>
    <row r="105" spans="2:5" x14ac:dyDescent="0.3">
      <c r="B105"/>
      <c r="E105"/>
    </row>
    <row r="106" spans="2:5" x14ac:dyDescent="0.3">
      <c r="B106"/>
      <c r="E106"/>
    </row>
    <row r="107" spans="2:5" x14ac:dyDescent="0.3">
      <c r="B107"/>
      <c r="E107"/>
    </row>
    <row r="108" spans="2:5" x14ac:dyDescent="0.3">
      <c r="B108"/>
      <c r="E108"/>
    </row>
    <row r="109" spans="2:5" x14ac:dyDescent="0.3">
      <c r="B109"/>
      <c r="E109"/>
    </row>
    <row r="110" spans="2:5" x14ac:dyDescent="0.3">
      <c r="B110"/>
      <c r="E110"/>
    </row>
    <row r="111" spans="2:5" x14ac:dyDescent="0.3">
      <c r="B111"/>
      <c r="E111"/>
    </row>
    <row r="112" spans="2:5" x14ac:dyDescent="0.3">
      <c r="B112"/>
      <c r="E112"/>
    </row>
    <row r="113" spans="2:5" x14ac:dyDescent="0.3">
      <c r="B113"/>
      <c r="E113"/>
    </row>
    <row r="114" spans="2:5" x14ac:dyDescent="0.3">
      <c r="B114"/>
      <c r="E114"/>
    </row>
    <row r="115" spans="2:5" x14ac:dyDescent="0.3">
      <c r="B115"/>
      <c r="E115"/>
    </row>
    <row r="116" spans="2:5" x14ac:dyDescent="0.3">
      <c r="B116"/>
      <c r="E116"/>
    </row>
    <row r="117" spans="2:5" x14ac:dyDescent="0.3">
      <c r="B117"/>
      <c r="E117"/>
    </row>
    <row r="118" spans="2:5" x14ac:dyDescent="0.3">
      <c r="B118"/>
      <c r="E118"/>
    </row>
    <row r="119" spans="2:5" x14ac:dyDescent="0.3">
      <c r="B119"/>
      <c r="E119"/>
    </row>
    <row r="120" spans="2:5" x14ac:dyDescent="0.3">
      <c r="B120"/>
      <c r="E120"/>
    </row>
    <row r="121" spans="2:5" x14ac:dyDescent="0.3">
      <c r="B121"/>
      <c r="E121"/>
    </row>
    <row r="122" spans="2:5" x14ac:dyDescent="0.3">
      <c r="B122"/>
      <c r="E122"/>
    </row>
    <row r="123" spans="2:5" x14ac:dyDescent="0.3">
      <c r="B123"/>
      <c r="E123"/>
    </row>
    <row r="124" spans="2:5" x14ac:dyDescent="0.3">
      <c r="B124"/>
      <c r="E124"/>
    </row>
    <row r="125" spans="2:5" x14ac:dyDescent="0.3">
      <c r="B125"/>
      <c r="E125"/>
    </row>
    <row r="126" spans="2:5" x14ac:dyDescent="0.3">
      <c r="B126"/>
      <c r="E126"/>
    </row>
    <row r="127" spans="2:5" x14ac:dyDescent="0.3">
      <c r="B127"/>
      <c r="E127"/>
    </row>
    <row r="128" spans="2:5" x14ac:dyDescent="0.3">
      <c r="B128"/>
      <c r="E128"/>
    </row>
    <row r="129" spans="2:5" x14ac:dyDescent="0.3">
      <c r="B129"/>
      <c r="E129"/>
    </row>
    <row r="130" spans="2:5" x14ac:dyDescent="0.3">
      <c r="B130"/>
      <c r="E130"/>
    </row>
    <row r="131" spans="2:5" x14ac:dyDescent="0.3">
      <c r="B131"/>
      <c r="E131"/>
    </row>
    <row r="132" spans="2:5" x14ac:dyDescent="0.3">
      <c r="B132"/>
      <c r="E132"/>
    </row>
    <row r="133" spans="2:5" x14ac:dyDescent="0.3">
      <c r="B133"/>
      <c r="E133"/>
    </row>
    <row r="134" spans="2:5" x14ac:dyDescent="0.3">
      <c r="B134"/>
      <c r="E134"/>
    </row>
    <row r="135" spans="2:5" x14ac:dyDescent="0.3">
      <c r="B135"/>
      <c r="E135"/>
    </row>
    <row r="136" spans="2:5" x14ac:dyDescent="0.3">
      <c r="B136"/>
      <c r="E136"/>
    </row>
    <row r="137" spans="2:5" x14ac:dyDescent="0.3">
      <c r="B137"/>
      <c r="E137"/>
    </row>
    <row r="138" spans="2:5" x14ac:dyDescent="0.3">
      <c r="B138"/>
      <c r="E138"/>
    </row>
    <row r="139" spans="2:5" x14ac:dyDescent="0.3">
      <c r="B139"/>
      <c r="E139"/>
    </row>
    <row r="140" spans="2:5" x14ac:dyDescent="0.3">
      <c r="E140"/>
    </row>
    <row r="141" spans="2:5" x14ac:dyDescent="0.3">
      <c r="E141"/>
    </row>
    <row r="142" spans="2:5" x14ac:dyDescent="0.3">
      <c r="E142"/>
    </row>
    <row r="143" spans="2:5" x14ac:dyDescent="0.3">
      <c r="E143"/>
    </row>
    <row r="144" spans="2:5" x14ac:dyDescent="0.3">
      <c r="E144"/>
    </row>
    <row r="145" spans="5:5" x14ac:dyDescent="0.3">
      <c r="E145"/>
    </row>
    <row r="146" spans="5:5" x14ac:dyDescent="0.3">
      <c r="E146"/>
    </row>
    <row r="147" spans="5:5" x14ac:dyDescent="0.3">
      <c r="E147"/>
    </row>
    <row r="148" spans="5:5" x14ac:dyDescent="0.3">
      <c r="E148"/>
    </row>
    <row r="149" spans="5:5" x14ac:dyDescent="0.3">
      <c r="E149"/>
    </row>
    <row r="150" spans="5:5" x14ac:dyDescent="0.3">
      <c r="E150"/>
    </row>
    <row r="151" spans="5:5" x14ac:dyDescent="0.3">
      <c r="E151"/>
    </row>
    <row r="152" spans="5:5" x14ac:dyDescent="0.3">
      <c r="E152"/>
    </row>
    <row r="153" spans="5:5" x14ac:dyDescent="0.3">
      <c r="E153"/>
    </row>
    <row r="154" spans="5:5" x14ac:dyDescent="0.3">
      <c r="E154"/>
    </row>
    <row r="155" spans="5:5" x14ac:dyDescent="0.3">
      <c r="E155"/>
    </row>
    <row r="156" spans="5:5" x14ac:dyDescent="0.3">
      <c r="E156"/>
    </row>
    <row r="157" spans="5:5" x14ac:dyDescent="0.3">
      <c r="E157"/>
    </row>
    <row r="158" spans="5:5" x14ac:dyDescent="0.3">
      <c r="E158"/>
    </row>
    <row r="159" spans="5:5" x14ac:dyDescent="0.3">
      <c r="E159"/>
    </row>
    <row r="160" spans="5:5" x14ac:dyDescent="0.3">
      <c r="E160"/>
    </row>
    <row r="161" spans="5:5" x14ac:dyDescent="0.3">
      <c r="E161"/>
    </row>
    <row r="162" spans="5:5" x14ac:dyDescent="0.3">
      <c r="E162"/>
    </row>
    <row r="163" spans="5:5" x14ac:dyDescent="0.3">
      <c r="E163"/>
    </row>
    <row r="164" spans="5:5" x14ac:dyDescent="0.3">
      <c r="E164"/>
    </row>
    <row r="165" spans="5:5" x14ac:dyDescent="0.3">
      <c r="E165"/>
    </row>
    <row r="166" spans="5:5" x14ac:dyDescent="0.3">
      <c r="E166"/>
    </row>
    <row r="167" spans="5:5" x14ac:dyDescent="0.3">
      <c r="E167"/>
    </row>
    <row r="168" spans="5:5" x14ac:dyDescent="0.3">
      <c r="E168"/>
    </row>
    <row r="169" spans="5:5" x14ac:dyDescent="0.3">
      <c r="E169"/>
    </row>
    <row r="170" spans="5:5" x14ac:dyDescent="0.3">
      <c r="E170"/>
    </row>
    <row r="171" spans="5:5" x14ac:dyDescent="0.3">
      <c r="E171"/>
    </row>
    <row r="172" spans="5:5" x14ac:dyDescent="0.3">
      <c r="E172"/>
    </row>
    <row r="173" spans="5:5" x14ac:dyDescent="0.3">
      <c r="E173"/>
    </row>
    <row r="174" spans="5:5" x14ac:dyDescent="0.3">
      <c r="E174"/>
    </row>
    <row r="175" spans="5:5" x14ac:dyDescent="0.3">
      <c r="E175"/>
    </row>
    <row r="176" spans="5:5" x14ac:dyDescent="0.3">
      <c r="E176"/>
    </row>
    <row r="177" spans="5:5" x14ac:dyDescent="0.3">
      <c r="E177"/>
    </row>
    <row r="178" spans="5:5" x14ac:dyDescent="0.3">
      <c r="E178"/>
    </row>
    <row r="179" spans="5:5" x14ac:dyDescent="0.3">
      <c r="E179"/>
    </row>
    <row r="180" spans="5:5" x14ac:dyDescent="0.3">
      <c r="E180"/>
    </row>
    <row r="181" spans="5:5" x14ac:dyDescent="0.3">
      <c r="E181"/>
    </row>
    <row r="182" spans="5:5" x14ac:dyDescent="0.3">
      <c r="E182"/>
    </row>
    <row r="183" spans="5:5" x14ac:dyDescent="0.3">
      <c r="E183"/>
    </row>
    <row r="184" spans="5:5" x14ac:dyDescent="0.3">
      <c r="E184"/>
    </row>
    <row r="185" spans="5:5" x14ac:dyDescent="0.3">
      <c r="E185"/>
    </row>
    <row r="186" spans="5:5" x14ac:dyDescent="0.3">
      <c r="E186"/>
    </row>
    <row r="187" spans="5:5" x14ac:dyDescent="0.3">
      <c r="E187"/>
    </row>
    <row r="188" spans="5:5" x14ac:dyDescent="0.3">
      <c r="E188"/>
    </row>
    <row r="189" spans="5:5" x14ac:dyDescent="0.3">
      <c r="E189"/>
    </row>
    <row r="190" spans="5:5" x14ac:dyDescent="0.3">
      <c r="E190"/>
    </row>
    <row r="191" spans="5:5" x14ac:dyDescent="0.3">
      <c r="E191"/>
    </row>
    <row r="192" spans="5:5" x14ac:dyDescent="0.3">
      <c r="E192"/>
    </row>
    <row r="193" spans="5:5" x14ac:dyDescent="0.3">
      <c r="E193"/>
    </row>
    <row r="194" spans="5:5" x14ac:dyDescent="0.3">
      <c r="E194"/>
    </row>
    <row r="195" spans="5:5" x14ac:dyDescent="0.3">
      <c r="E195"/>
    </row>
    <row r="196" spans="5:5" x14ac:dyDescent="0.3">
      <c r="E196"/>
    </row>
    <row r="197" spans="5:5" x14ac:dyDescent="0.3">
      <c r="E197"/>
    </row>
    <row r="198" spans="5:5" x14ac:dyDescent="0.3">
      <c r="E198"/>
    </row>
    <row r="199" spans="5:5" x14ac:dyDescent="0.3">
      <c r="E199"/>
    </row>
    <row r="200" spans="5:5" x14ac:dyDescent="0.3">
      <c r="E200"/>
    </row>
    <row r="201" spans="5:5" x14ac:dyDescent="0.3">
      <c r="E201"/>
    </row>
    <row r="202" spans="5:5" x14ac:dyDescent="0.3">
      <c r="E202"/>
    </row>
    <row r="203" spans="5:5" x14ac:dyDescent="0.3">
      <c r="E203"/>
    </row>
    <row r="204" spans="5:5" x14ac:dyDescent="0.3">
      <c r="E204"/>
    </row>
    <row r="205" spans="5:5" x14ac:dyDescent="0.3">
      <c r="E205"/>
    </row>
    <row r="206" spans="5:5" x14ac:dyDescent="0.3">
      <c r="E206"/>
    </row>
    <row r="207" spans="5:5" x14ac:dyDescent="0.3">
      <c r="E207"/>
    </row>
    <row r="208" spans="5:5" x14ac:dyDescent="0.3">
      <c r="E208"/>
    </row>
    <row r="209" spans="5:5" x14ac:dyDescent="0.3">
      <c r="E209"/>
    </row>
    <row r="210" spans="5:5" x14ac:dyDescent="0.3">
      <c r="E210"/>
    </row>
    <row r="211" spans="5:5" x14ac:dyDescent="0.3">
      <c r="E211"/>
    </row>
    <row r="212" spans="5:5" x14ac:dyDescent="0.3">
      <c r="E212"/>
    </row>
    <row r="213" spans="5:5" x14ac:dyDescent="0.3">
      <c r="E213"/>
    </row>
    <row r="214" spans="5:5" x14ac:dyDescent="0.3">
      <c r="E214"/>
    </row>
    <row r="215" spans="5:5" x14ac:dyDescent="0.3">
      <c r="E215"/>
    </row>
    <row r="216" spans="5:5" x14ac:dyDescent="0.3">
      <c r="E216"/>
    </row>
    <row r="217" spans="5:5" x14ac:dyDescent="0.3">
      <c r="E217"/>
    </row>
    <row r="218" spans="5:5" x14ac:dyDescent="0.3">
      <c r="E218"/>
    </row>
    <row r="219" spans="5:5" x14ac:dyDescent="0.3">
      <c r="E219"/>
    </row>
    <row r="220" spans="5:5" x14ac:dyDescent="0.3">
      <c r="E220"/>
    </row>
    <row r="221" spans="5:5" x14ac:dyDescent="0.3">
      <c r="E221"/>
    </row>
    <row r="222" spans="5:5" x14ac:dyDescent="0.3">
      <c r="E222"/>
    </row>
    <row r="223" spans="5:5" x14ac:dyDescent="0.3">
      <c r="E223"/>
    </row>
    <row r="224" spans="5:5" x14ac:dyDescent="0.3">
      <c r="E224"/>
    </row>
    <row r="225" spans="5:5" x14ac:dyDescent="0.3">
      <c r="E225"/>
    </row>
    <row r="226" spans="5:5" x14ac:dyDescent="0.3">
      <c r="E226"/>
    </row>
    <row r="227" spans="5:5" x14ac:dyDescent="0.3">
      <c r="E227"/>
    </row>
    <row r="228" spans="5:5" x14ac:dyDescent="0.3">
      <c r="E228"/>
    </row>
    <row r="229" spans="5:5" x14ac:dyDescent="0.3">
      <c r="E229"/>
    </row>
    <row r="230" spans="5:5" x14ac:dyDescent="0.3">
      <c r="E230"/>
    </row>
    <row r="231" spans="5:5" x14ac:dyDescent="0.3">
      <c r="E231"/>
    </row>
    <row r="232" spans="5:5" x14ac:dyDescent="0.3">
      <c r="E232"/>
    </row>
    <row r="233" spans="5:5" x14ac:dyDescent="0.3">
      <c r="E233"/>
    </row>
    <row r="234" spans="5:5" x14ac:dyDescent="0.3">
      <c r="E234"/>
    </row>
    <row r="235" spans="5:5" x14ac:dyDescent="0.3">
      <c r="E235"/>
    </row>
    <row r="236" spans="5:5" x14ac:dyDescent="0.3">
      <c r="E236"/>
    </row>
    <row r="237" spans="5:5" x14ac:dyDescent="0.3">
      <c r="E237"/>
    </row>
    <row r="238" spans="5:5" x14ac:dyDescent="0.3">
      <c r="E238"/>
    </row>
    <row r="239" spans="5:5" x14ac:dyDescent="0.3">
      <c r="E239"/>
    </row>
    <row r="240" spans="5:5" x14ac:dyDescent="0.3">
      <c r="E240"/>
    </row>
    <row r="241" spans="5:5" x14ac:dyDescent="0.3">
      <c r="E241"/>
    </row>
    <row r="242" spans="5:5" x14ac:dyDescent="0.3">
      <c r="E242"/>
    </row>
    <row r="243" spans="5:5" x14ac:dyDescent="0.3">
      <c r="E243"/>
    </row>
    <row r="244" spans="5:5" x14ac:dyDescent="0.3">
      <c r="E244"/>
    </row>
    <row r="245" spans="5:5" x14ac:dyDescent="0.3">
      <c r="E245"/>
    </row>
    <row r="246" spans="5:5" x14ac:dyDescent="0.3">
      <c r="E246"/>
    </row>
    <row r="247" spans="5:5" x14ac:dyDescent="0.3">
      <c r="E247"/>
    </row>
    <row r="248" spans="5:5" x14ac:dyDescent="0.3">
      <c r="E248"/>
    </row>
    <row r="249" spans="5:5" x14ac:dyDescent="0.3">
      <c r="E249"/>
    </row>
    <row r="250" spans="5:5" x14ac:dyDescent="0.3">
      <c r="E250"/>
    </row>
    <row r="251" spans="5:5" x14ac:dyDescent="0.3">
      <c r="E251"/>
    </row>
    <row r="252" spans="5:5" x14ac:dyDescent="0.3">
      <c r="E252"/>
    </row>
    <row r="253" spans="5:5" x14ac:dyDescent="0.3">
      <c r="E253"/>
    </row>
    <row r="254" spans="5:5" x14ac:dyDescent="0.3">
      <c r="E254"/>
    </row>
    <row r="255" spans="5:5" x14ac:dyDescent="0.3">
      <c r="E255"/>
    </row>
    <row r="256" spans="5:5" x14ac:dyDescent="0.3">
      <c r="E256"/>
    </row>
    <row r="257" spans="5:5" x14ac:dyDescent="0.3">
      <c r="E257"/>
    </row>
    <row r="258" spans="5:5" x14ac:dyDescent="0.3">
      <c r="E258"/>
    </row>
    <row r="259" spans="5:5" x14ac:dyDescent="0.3">
      <c r="E259"/>
    </row>
    <row r="260" spans="5:5" x14ac:dyDescent="0.3">
      <c r="E260"/>
    </row>
    <row r="261" spans="5:5" x14ac:dyDescent="0.3">
      <c r="E261"/>
    </row>
    <row r="262" spans="5:5" x14ac:dyDescent="0.3">
      <c r="E262"/>
    </row>
    <row r="263" spans="5:5" x14ac:dyDescent="0.3">
      <c r="E263"/>
    </row>
    <row r="264" spans="5:5" x14ac:dyDescent="0.3">
      <c r="E264"/>
    </row>
    <row r="265" spans="5:5" x14ac:dyDescent="0.3">
      <c r="E265"/>
    </row>
    <row r="266" spans="5:5" x14ac:dyDescent="0.3">
      <c r="E266"/>
    </row>
    <row r="267" spans="5:5" x14ac:dyDescent="0.3">
      <c r="E267"/>
    </row>
    <row r="268" spans="5:5" x14ac:dyDescent="0.3">
      <c r="E268"/>
    </row>
    <row r="269" spans="5:5" x14ac:dyDescent="0.3">
      <c r="E269"/>
    </row>
    <row r="270" spans="5:5" x14ac:dyDescent="0.3">
      <c r="E270"/>
    </row>
    <row r="271" spans="5:5" x14ac:dyDescent="0.3">
      <c r="E271"/>
    </row>
    <row r="272" spans="5:5" x14ac:dyDescent="0.3">
      <c r="E272"/>
    </row>
    <row r="273" spans="5:5" x14ac:dyDescent="0.3">
      <c r="E273"/>
    </row>
    <row r="274" spans="5:5" x14ac:dyDescent="0.3">
      <c r="E274"/>
    </row>
    <row r="275" spans="5:5" x14ac:dyDescent="0.3">
      <c r="E275"/>
    </row>
    <row r="276" spans="5:5" x14ac:dyDescent="0.3">
      <c r="E276"/>
    </row>
    <row r="277" spans="5:5" x14ac:dyDescent="0.3">
      <c r="E277"/>
    </row>
    <row r="278" spans="5:5" x14ac:dyDescent="0.3">
      <c r="E278"/>
    </row>
    <row r="279" spans="5:5" x14ac:dyDescent="0.3">
      <c r="E279"/>
    </row>
    <row r="280" spans="5:5" x14ac:dyDescent="0.3">
      <c r="E280"/>
    </row>
    <row r="281" spans="5:5" x14ac:dyDescent="0.3">
      <c r="E281"/>
    </row>
    <row r="282" spans="5:5" x14ac:dyDescent="0.3">
      <c r="E282"/>
    </row>
    <row r="283" spans="5:5" x14ac:dyDescent="0.3">
      <c r="E283"/>
    </row>
    <row r="284" spans="5:5" x14ac:dyDescent="0.3">
      <c r="E284"/>
    </row>
    <row r="285" spans="5:5" x14ac:dyDescent="0.3">
      <c r="E285"/>
    </row>
    <row r="286" spans="5:5" x14ac:dyDescent="0.3">
      <c r="E286"/>
    </row>
    <row r="287" spans="5:5" x14ac:dyDescent="0.3">
      <c r="E287"/>
    </row>
    <row r="288" spans="5:5" x14ac:dyDescent="0.3">
      <c r="E288"/>
    </row>
    <row r="289" spans="5:5" x14ac:dyDescent="0.3">
      <c r="E289"/>
    </row>
    <row r="290" spans="5:5" x14ac:dyDescent="0.3">
      <c r="E290"/>
    </row>
    <row r="291" spans="5:5" x14ac:dyDescent="0.3">
      <c r="E291"/>
    </row>
    <row r="292" spans="5:5" x14ac:dyDescent="0.3">
      <c r="E292"/>
    </row>
    <row r="293" spans="5:5" x14ac:dyDescent="0.3">
      <c r="E293"/>
    </row>
    <row r="294" spans="5:5" x14ac:dyDescent="0.3">
      <c r="E294"/>
    </row>
    <row r="295" spans="5:5" x14ac:dyDescent="0.3">
      <c r="E295"/>
    </row>
    <row r="296" spans="5:5" x14ac:dyDescent="0.3">
      <c r="E296"/>
    </row>
    <row r="297" spans="5:5" x14ac:dyDescent="0.3">
      <c r="E297"/>
    </row>
    <row r="298" spans="5:5" x14ac:dyDescent="0.3">
      <c r="E298"/>
    </row>
    <row r="299" spans="5:5" x14ac:dyDescent="0.3">
      <c r="E299"/>
    </row>
    <row r="300" spans="5:5" x14ac:dyDescent="0.3">
      <c r="E300"/>
    </row>
    <row r="301" spans="5:5" x14ac:dyDescent="0.3">
      <c r="E301"/>
    </row>
    <row r="302" spans="5:5" x14ac:dyDescent="0.3">
      <c r="E302"/>
    </row>
    <row r="303" spans="5:5" x14ac:dyDescent="0.3">
      <c r="E303"/>
    </row>
    <row r="304" spans="5:5" x14ac:dyDescent="0.3">
      <c r="E304"/>
    </row>
    <row r="305" spans="5:5" x14ac:dyDescent="0.3">
      <c r="E305"/>
    </row>
    <row r="306" spans="5:5" x14ac:dyDescent="0.3">
      <c r="E306"/>
    </row>
    <row r="307" spans="5:5" x14ac:dyDescent="0.3">
      <c r="E307"/>
    </row>
    <row r="308" spans="5:5" x14ac:dyDescent="0.3">
      <c r="E308"/>
    </row>
    <row r="309" spans="5:5" x14ac:dyDescent="0.3">
      <c r="E309"/>
    </row>
    <row r="310" spans="5:5" x14ac:dyDescent="0.3">
      <c r="E310"/>
    </row>
    <row r="311" spans="5:5" x14ac:dyDescent="0.3">
      <c r="E311"/>
    </row>
    <row r="312" spans="5:5" x14ac:dyDescent="0.3">
      <c r="E312"/>
    </row>
    <row r="313" spans="5:5" x14ac:dyDescent="0.3">
      <c r="E313"/>
    </row>
    <row r="314" spans="5:5" x14ac:dyDescent="0.3">
      <c r="E314"/>
    </row>
    <row r="315" spans="5:5" x14ac:dyDescent="0.3">
      <c r="E315"/>
    </row>
    <row r="316" spans="5:5" x14ac:dyDescent="0.3">
      <c r="E316"/>
    </row>
    <row r="317" spans="5:5" x14ac:dyDescent="0.3">
      <c r="E317"/>
    </row>
    <row r="318" spans="5:5" x14ac:dyDescent="0.3">
      <c r="E318"/>
    </row>
    <row r="319" spans="5:5" x14ac:dyDescent="0.3">
      <c r="E319"/>
    </row>
    <row r="320" spans="5:5" x14ac:dyDescent="0.3">
      <c r="E320"/>
    </row>
    <row r="321" spans="5:5" x14ac:dyDescent="0.3">
      <c r="E321"/>
    </row>
    <row r="322" spans="5:5" x14ac:dyDescent="0.3">
      <c r="E322"/>
    </row>
    <row r="323" spans="5:5" x14ac:dyDescent="0.3">
      <c r="E323"/>
    </row>
    <row r="324" spans="5:5" x14ac:dyDescent="0.3">
      <c r="E324"/>
    </row>
    <row r="325" spans="5:5" x14ac:dyDescent="0.3">
      <c r="E325"/>
    </row>
    <row r="326" spans="5:5" x14ac:dyDescent="0.3">
      <c r="E326"/>
    </row>
    <row r="327" spans="5:5" x14ac:dyDescent="0.3">
      <c r="E327"/>
    </row>
    <row r="328" spans="5:5" x14ac:dyDescent="0.3">
      <c r="E328"/>
    </row>
    <row r="329" spans="5:5" x14ac:dyDescent="0.3">
      <c r="E329"/>
    </row>
    <row r="330" spans="5:5" x14ac:dyDescent="0.3">
      <c r="E330"/>
    </row>
    <row r="331" spans="5:5" x14ac:dyDescent="0.3">
      <c r="E331"/>
    </row>
    <row r="332" spans="5:5" x14ac:dyDescent="0.3">
      <c r="E332"/>
    </row>
    <row r="333" spans="5:5" x14ac:dyDescent="0.3">
      <c r="E333"/>
    </row>
    <row r="334" spans="5:5" x14ac:dyDescent="0.3">
      <c r="E334"/>
    </row>
    <row r="335" spans="5:5" x14ac:dyDescent="0.3">
      <c r="E335"/>
    </row>
    <row r="336" spans="5:5" x14ac:dyDescent="0.3">
      <c r="E336"/>
    </row>
    <row r="337" spans="5:5" x14ac:dyDescent="0.3">
      <c r="E337"/>
    </row>
    <row r="338" spans="5:5" x14ac:dyDescent="0.3">
      <c r="E338"/>
    </row>
    <row r="339" spans="5:5" x14ac:dyDescent="0.3">
      <c r="E339"/>
    </row>
    <row r="340" spans="5:5" x14ac:dyDescent="0.3">
      <c r="E340"/>
    </row>
    <row r="341" spans="5:5" x14ac:dyDescent="0.3">
      <c r="E341"/>
    </row>
    <row r="342" spans="5:5" x14ac:dyDescent="0.3">
      <c r="E342"/>
    </row>
    <row r="343" spans="5:5" x14ac:dyDescent="0.3">
      <c r="E343"/>
    </row>
    <row r="344" spans="5:5" x14ac:dyDescent="0.3">
      <c r="E344"/>
    </row>
    <row r="345" spans="5:5" x14ac:dyDescent="0.3">
      <c r="E345"/>
    </row>
    <row r="346" spans="5:5" x14ac:dyDescent="0.3">
      <c r="E346"/>
    </row>
    <row r="347" spans="5:5" x14ac:dyDescent="0.3">
      <c r="E347"/>
    </row>
    <row r="348" spans="5:5" x14ac:dyDescent="0.3">
      <c r="E348"/>
    </row>
    <row r="349" spans="5:5" x14ac:dyDescent="0.3">
      <c r="E349"/>
    </row>
    <row r="350" spans="5:5" x14ac:dyDescent="0.3">
      <c r="E350"/>
    </row>
    <row r="351" spans="5:5" x14ac:dyDescent="0.3">
      <c r="E351"/>
    </row>
    <row r="352" spans="5:5" x14ac:dyDescent="0.3">
      <c r="E352"/>
    </row>
    <row r="353" spans="5:5" x14ac:dyDescent="0.3">
      <c r="E353"/>
    </row>
    <row r="354" spans="5:5" x14ac:dyDescent="0.3">
      <c r="E354"/>
    </row>
    <row r="355" spans="5:5" x14ac:dyDescent="0.3">
      <c r="E355"/>
    </row>
    <row r="356" spans="5:5" x14ac:dyDescent="0.3">
      <c r="E356"/>
    </row>
    <row r="357" spans="5:5" x14ac:dyDescent="0.3">
      <c r="E357"/>
    </row>
    <row r="358" spans="5:5" x14ac:dyDescent="0.3">
      <c r="E358"/>
    </row>
    <row r="359" spans="5:5" x14ac:dyDescent="0.3">
      <c r="E359"/>
    </row>
    <row r="360" spans="5:5" x14ac:dyDescent="0.3">
      <c r="E360"/>
    </row>
    <row r="361" spans="5:5" x14ac:dyDescent="0.3">
      <c r="E361"/>
    </row>
    <row r="362" spans="5:5" x14ac:dyDescent="0.3">
      <c r="E362"/>
    </row>
    <row r="363" spans="5:5" x14ac:dyDescent="0.3">
      <c r="E363"/>
    </row>
    <row r="364" spans="5:5" x14ac:dyDescent="0.3">
      <c r="E364"/>
    </row>
    <row r="365" spans="5:5" x14ac:dyDescent="0.3">
      <c r="E365"/>
    </row>
    <row r="366" spans="5:5" x14ac:dyDescent="0.3">
      <c r="E366"/>
    </row>
    <row r="367" spans="5:5" x14ac:dyDescent="0.3">
      <c r="E367"/>
    </row>
    <row r="368" spans="5:5" x14ac:dyDescent="0.3">
      <c r="E368"/>
    </row>
    <row r="369" spans="5:5" x14ac:dyDescent="0.3">
      <c r="E369"/>
    </row>
    <row r="370" spans="5:5" x14ac:dyDescent="0.3">
      <c r="E370"/>
    </row>
    <row r="371" spans="5:5" x14ac:dyDescent="0.3">
      <c r="E371"/>
    </row>
    <row r="372" spans="5:5" x14ac:dyDescent="0.3">
      <c r="E372"/>
    </row>
    <row r="373" spans="5:5" x14ac:dyDescent="0.3">
      <c r="E373"/>
    </row>
    <row r="374" spans="5:5" x14ac:dyDescent="0.3">
      <c r="E374"/>
    </row>
    <row r="375" spans="5:5" x14ac:dyDescent="0.3">
      <c r="E375"/>
    </row>
    <row r="376" spans="5:5" x14ac:dyDescent="0.3">
      <c r="E376"/>
    </row>
    <row r="377" spans="5:5" x14ac:dyDescent="0.3">
      <c r="E377"/>
    </row>
    <row r="378" spans="5:5" x14ac:dyDescent="0.3">
      <c r="E378"/>
    </row>
    <row r="379" spans="5:5" x14ac:dyDescent="0.3">
      <c r="E379"/>
    </row>
    <row r="380" spans="5:5" x14ac:dyDescent="0.3">
      <c r="E380"/>
    </row>
    <row r="381" spans="5:5" x14ac:dyDescent="0.3">
      <c r="E381"/>
    </row>
    <row r="382" spans="5:5" x14ac:dyDescent="0.3">
      <c r="E382"/>
    </row>
    <row r="383" spans="5:5" x14ac:dyDescent="0.3">
      <c r="E383"/>
    </row>
    <row r="384" spans="5:5" x14ac:dyDescent="0.3">
      <c r="E384"/>
    </row>
    <row r="385" spans="5:5" x14ac:dyDescent="0.3">
      <c r="E385"/>
    </row>
    <row r="386" spans="5:5" x14ac:dyDescent="0.3">
      <c r="E386"/>
    </row>
    <row r="387" spans="5:5" x14ac:dyDescent="0.3">
      <c r="E387"/>
    </row>
    <row r="388" spans="5:5" x14ac:dyDescent="0.3">
      <c r="E388"/>
    </row>
    <row r="389" spans="5:5" x14ac:dyDescent="0.3">
      <c r="E389"/>
    </row>
    <row r="390" spans="5:5" x14ac:dyDescent="0.3">
      <c r="E390"/>
    </row>
    <row r="391" spans="5:5" x14ac:dyDescent="0.3">
      <c r="E391"/>
    </row>
    <row r="392" spans="5:5" x14ac:dyDescent="0.3">
      <c r="E392"/>
    </row>
    <row r="393" spans="5:5" x14ac:dyDescent="0.3">
      <c r="E393"/>
    </row>
    <row r="394" spans="5:5" x14ac:dyDescent="0.3">
      <c r="E394"/>
    </row>
    <row r="395" spans="5:5" x14ac:dyDescent="0.3">
      <c r="E395"/>
    </row>
    <row r="396" spans="5:5" x14ac:dyDescent="0.3">
      <c r="E396"/>
    </row>
    <row r="397" spans="5:5" x14ac:dyDescent="0.3">
      <c r="E397"/>
    </row>
    <row r="398" spans="5:5" x14ac:dyDescent="0.3">
      <c r="E398"/>
    </row>
    <row r="399" spans="5:5" x14ac:dyDescent="0.3">
      <c r="E399"/>
    </row>
    <row r="400" spans="5:5" x14ac:dyDescent="0.3">
      <c r="E400"/>
    </row>
    <row r="401" spans="5:5" x14ac:dyDescent="0.3">
      <c r="E401"/>
    </row>
    <row r="402" spans="5:5" x14ac:dyDescent="0.3">
      <c r="E402"/>
    </row>
    <row r="403" spans="5:5" x14ac:dyDescent="0.3">
      <c r="E403"/>
    </row>
    <row r="404" spans="5:5" x14ac:dyDescent="0.3">
      <c r="E404"/>
    </row>
    <row r="405" spans="5:5" x14ac:dyDescent="0.3">
      <c r="E405"/>
    </row>
    <row r="406" spans="5:5" x14ac:dyDescent="0.3">
      <c r="E406"/>
    </row>
    <row r="407" spans="5:5" x14ac:dyDescent="0.3">
      <c r="E407"/>
    </row>
    <row r="408" spans="5:5" x14ac:dyDescent="0.3">
      <c r="E408"/>
    </row>
    <row r="409" spans="5:5" x14ac:dyDescent="0.3">
      <c r="E409"/>
    </row>
    <row r="410" spans="5:5" x14ac:dyDescent="0.3">
      <c r="E410"/>
    </row>
    <row r="411" spans="5:5" x14ac:dyDescent="0.3">
      <c r="E411"/>
    </row>
    <row r="412" spans="5:5" x14ac:dyDescent="0.3">
      <c r="E412"/>
    </row>
    <row r="413" spans="5:5" x14ac:dyDescent="0.3">
      <c r="E413"/>
    </row>
    <row r="414" spans="5:5" x14ac:dyDescent="0.3">
      <c r="E414"/>
    </row>
    <row r="415" spans="5:5" x14ac:dyDescent="0.3">
      <c r="E415"/>
    </row>
    <row r="416" spans="5:5" x14ac:dyDescent="0.3">
      <c r="E416"/>
    </row>
    <row r="417" spans="5:5" x14ac:dyDescent="0.3">
      <c r="E417"/>
    </row>
    <row r="418" spans="5:5" x14ac:dyDescent="0.3">
      <c r="E418"/>
    </row>
    <row r="419" spans="5:5" x14ac:dyDescent="0.3">
      <c r="E419"/>
    </row>
    <row r="420" spans="5:5" x14ac:dyDescent="0.3">
      <c r="E420"/>
    </row>
    <row r="421" spans="5:5" x14ac:dyDescent="0.3">
      <c r="E421"/>
    </row>
    <row r="422" spans="5:5" x14ac:dyDescent="0.3">
      <c r="E422"/>
    </row>
    <row r="423" spans="5:5" x14ac:dyDescent="0.3">
      <c r="E423"/>
    </row>
    <row r="424" spans="5:5" x14ac:dyDescent="0.3">
      <c r="E424"/>
    </row>
    <row r="425" spans="5:5" x14ac:dyDescent="0.3">
      <c r="E425"/>
    </row>
    <row r="426" spans="5:5" x14ac:dyDescent="0.3">
      <c r="E426"/>
    </row>
    <row r="427" spans="5:5" x14ac:dyDescent="0.3">
      <c r="E427"/>
    </row>
    <row r="428" spans="5:5" x14ac:dyDescent="0.3">
      <c r="E428"/>
    </row>
    <row r="429" spans="5:5" x14ac:dyDescent="0.3">
      <c r="E429"/>
    </row>
    <row r="430" spans="5:5" x14ac:dyDescent="0.3">
      <c r="E430"/>
    </row>
    <row r="431" spans="5:5" x14ac:dyDescent="0.3">
      <c r="E431"/>
    </row>
    <row r="432" spans="5:5" x14ac:dyDescent="0.3">
      <c r="E432"/>
    </row>
    <row r="433" spans="5:5" x14ac:dyDescent="0.3">
      <c r="E433"/>
    </row>
    <row r="434" spans="5:5" x14ac:dyDescent="0.3">
      <c r="E434"/>
    </row>
    <row r="435" spans="5:5" x14ac:dyDescent="0.3">
      <c r="E435"/>
    </row>
    <row r="436" spans="5:5" x14ac:dyDescent="0.3">
      <c r="E436"/>
    </row>
    <row r="437" spans="5:5" x14ac:dyDescent="0.3">
      <c r="E437"/>
    </row>
    <row r="438" spans="5:5" x14ac:dyDescent="0.3">
      <c r="E438"/>
    </row>
    <row r="439" spans="5:5" x14ac:dyDescent="0.3">
      <c r="E439"/>
    </row>
    <row r="440" spans="5:5" x14ac:dyDescent="0.3">
      <c r="E440"/>
    </row>
    <row r="441" spans="5:5" x14ac:dyDescent="0.3">
      <c r="E441"/>
    </row>
    <row r="442" spans="5:5" x14ac:dyDescent="0.3">
      <c r="E442"/>
    </row>
    <row r="443" spans="5:5" x14ac:dyDescent="0.3">
      <c r="E443"/>
    </row>
    <row r="444" spans="5:5" x14ac:dyDescent="0.3">
      <c r="E444"/>
    </row>
    <row r="445" spans="5:5" x14ac:dyDescent="0.3">
      <c r="E445"/>
    </row>
    <row r="446" spans="5:5" x14ac:dyDescent="0.3">
      <c r="E446"/>
    </row>
    <row r="447" spans="5:5" x14ac:dyDescent="0.3">
      <c r="E447"/>
    </row>
    <row r="448" spans="5:5" x14ac:dyDescent="0.3">
      <c r="E448"/>
    </row>
    <row r="449" spans="5:5" x14ac:dyDescent="0.3">
      <c r="E449"/>
    </row>
    <row r="450" spans="5:5" x14ac:dyDescent="0.3">
      <c r="E450"/>
    </row>
    <row r="451" spans="5:5" x14ac:dyDescent="0.3">
      <c r="E451"/>
    </row>
    <row r="452" spans="5:5" x14ac:dyDescent="0.3">
      <c r="E452"/>
    </row>
    <row r="453" spans="5:5" x14ac:dyDescent="0.3">
      <c r="E453"/>
    </row>
    <row r="454" spans="5:5" x14ac:dyDescent="0.3">
      <c r="E454"/>
    </row>
    <row r="455" spans="5:5" x14ac:dyDescent="0.3">
      <c r="E455"/>
    </row>
    <row r="456" spans="5:5" x14ac:dyDescent="0.3">
      <c r="E456"/>
    </row>
    <row r="457" spans="5:5" x14ac:dyDescent="0.3">
      <c r="E457"/>
    </row>
    <row r="458" spans="5:5" x14ac:dyDescent="0.3">
      <c r="E458"/>
    </row>
    <row r="459" spans="5:5" x14ac:dyDescent="0.3">
      <c r="E459"/>
    </row>
    <row r="460" spans="5:5" x14ac:dyDescent="0.3">
      <c r="E460"/>
    </row>
    <row r="461" spans="5:5" x14ac:dyDescent="0.3">
      <c r="E461"/>
    </row>
    <row r="462" spans="5:5" x14ac:dyDescent="0.3">
      <c r="E462"/>
    </row>
    <row r="463" spans="5:5" x14ac:dyDescent="0.3">
      <c r="E463"/>
    </row>
    <row r="464" spans="5:5" x14ac:dyDescent="0.3">
      <c r="E464"/>
    </row>
    <row r="465" spans="5:5" x14ac:dyDescent="0.3">
      <c r="E465"/>
    </row>
    <row r="466" spans="5:5" x14ac:dyDescent="0.3">
      <c r="E466"/>
    </row>
    <row r="467" spans="5:5" x14ac:dyDescent="0.3">
      <c r="E467"/>
    </row>
    <row r="468" spans="5:5" x14ac:dyDescent="0.3">
      <c r="E468"/>
    </row>
    <row r="469" spans="5:5" x14ac:dyDescent="0.3">
      <c r="E469"/>
    </row>
    <row r="470" spans="5:5" x14ac:dyDescent="0.3">
      <c r="E470"/>
    </row>
    <row r="471" spans="5:5" x14ac:dyDescent="0.3">
      <c r="E471"/>
    </row>
    <row r="472" spans="5:5" x14ac:dyDescent="0.3">
      <c r="E472"/>
    </row>
    <row r="473" spans="5:5" x14ac:dyDescent="0.3">
      <c r="E473"/>
    </row>
    <row r="474" spans="5:5" x14ac:dyDescent="0.3">
      <c r="E474"/>
    </row>
    <row r="475" spans="5:5" x14ac:dyDescent="0.3">
      <c r="E475"/>
    </row>
    <row r="476" spans="5:5" x14ac:dyDescent="0.3">
      <c r="E476"/>
    </row>
    <row r="477" spans="5:5" x14ac:dyDescent="0.3">
      <c r="E477"/>
    </row>
    <row r="478" spans="5:5" x14ac:dyDescent="0.3">
      <c r="E478"/>
    </row>
    <row r="479" spans="5:5" x14ac:dyDescent="0.3">
      <c r="E479"/>
    </row>
    <row r="480" spans="5:5" x14ac:dyDescent="0.3">
      <c r="E480"/>
    </row>
    <row r="481" spans="5:5" x14ac:dyDescent="0.3">
      <c r="E481"/>
    </row>
    <row r="482" spans="5:5" x14ac:dyDescent="0.3">
      <c r="E482"/>
    </row>
    <row r="483" spans="5:5" x14ac:dyDescent="0.3">
      <c r="E483"/>
    </row>
    <row r="484" spans="5:5" x14ac:dyDescent="0.3">
      <c r="E484"/>
    </row>
    <row r="485" spans="5:5" x14ac:dyDescent="0.3">
      <c r="E485"/>
    </row>
    <row r="486" spans="5:5" x14ac:dyDescent="0.3">
      <c r="E486"/>
    </row>
    <row r="487" spans="5:5" x14ac:dyDescent="0.3">
      <c r="E487"/>
    </row>
    <row r="488" spans="5:5" x14ac:dyDescent="0.3">
      <c r="E488"/>
    </row>
    <row r="489" spans="5:5" x14ac:dyDescent="0.3">
      <c r="E489"/>
    </row>
    <row r="490" spans="5:5" x14ac:dyDescent="0.3">
      <c r="E490"/>
    </row>
    <row r="491" spans="5:5" x14ac:dyDescent="0.3">
      <c r="E491"/>
    </row>
    <row r="492" spans="5:5" x14ac:dyDescent="0.3">
      <c r="E492"/>
    </row>
    <row r="493" spans="5:5" x14ac:dyDescent="0.3">
      <c r="E493"/>
    </row>
    <row r="494" spans="5:5" x14ac:dyDescent="0.3">
      <c r="E494"/>
    </row>
    <row r="495" spans="5:5" x14ac:dyDescent="0.3">
      <c r="E495"/>
    </row>
    <row r="496" spans="5:5" x14ac:dyDescent="0.3">
      <c r="E496"/>
    </row>
    <row r="497" spans="5:5" x14ac:dyDescent="0.3">
      <c r="E497"/>
    </row>
    <row r="498" spans="5:5" x14ac:dyDescent="0.3">
      <c r="E498"/>
    </row>
    <row r="499" spans="5:5" x14ac:dyDescent="0.3">
      <c r="E499"/>
    </row>
    <row r="500" spans="5:5" x14ac:dyDescent="0.3">
      <c r="E500"/>
    </row>
    <row r="501" spans="5:5" x14ac:dyDescent="0.3">
      <c r="E501"/>
    </row>
    <row r="502" spans="5:5" x14ac:dyDescent="0.3">
      <c r="E502"/>
    </row>
    <row r="503" spans="5:5" x14ac:dyDescent="0.3">
      <c r="E503"/>
    </row>
    <row r="504" spans="5:5" x14ac:dyDescent="0.3">
      <c r="E504"/>
    </row>
    <row r="505" spans="5:5" x14ac:dyDescent="0.3">
      <c r="E505"/>
    </row>
    <row r="506" spans="5:5" x14ac:dyDescent="0.3">
      <c r="E506"/>
    </row>
    <row r="507" spans="5:5" x14ac:dyDescent="0.3">
      <c r="E507"/>
    </row>
    <row r="508" spans="5:5" x14ac:dyDescent="0.3">
      <c r="E508"/>
    </row>
    <row r="509" spans="5:5" x14ac:dyDescent="0.3">
      <c r="E509"/>
    </row>
    <row r="510" spans="5:5" x14ac:dyDescent="0.3">
      <c r="E510"/>
    </row>
    <row r="511" spans="5:5" x14ac:dyDescent="0.3">
      <c r="E511"/>
    </row>
    <row r="512" spans="5:5" x14ac:dyDescent="0.3">
      <c r="E512"/>
    </row>
    <row r="513" spans="5:5" x14ac:dyDescent="0.3">
      <c r="E513"/>
    </row>
    <row r="514" spans="5:5" x14ac:dyDescent="0.3">
      <c r="E514"/>
    </row>
    <row r="515" spans="5:5" x14ac:dyDescent="0.3">
      <c r="E515"/>
    </row>
    <row r="516" spans="5:5" x14ac:dyDescent="0.3">
      <c r="E516"/>
    </row>
    <row r="517" spans="5:5" x14ac:dyDescent="0.3">
      <c r="E517"/>
    </row>
    <row r="518" spans="5:5" x14ac:dyDescent="0.3">
      <c r="E518"/>
    </row>
    <row r="519" spans="5:5" x14ac:dyDescent="0.3">
      <c r="E519"/>
    </row>
    <row r="520" spans="5:5" x14ac:dyDescent="0.3">
      <c r="E520"/>
    </row>
    <row r="521" spans="5:5" x14ac:dyDescent="0.3">
      <c r="E521"/>
    </row>
    <row r="522" spans="5:5" x14ac:dyDescent="0.3">
      <c r="E522"/>
    </row>
    <row r="523" spans="5:5" x14ac:dyDescent="0.3">
      <c r="E523"/>
    </row>
    <row r="524" spans="5:5" x14ac:dyDescent="0.3">
      <c r="E524"/>
    </row>
    <row r="525" spans="5:5" x14ac:dyDescent="0.3">
      <c r="E525"/>
    </row>
    <row r="526" spans="5:5" x14ac:dyDescent="0.3">
      <c r="E526"/>
    </row>
    <row r="527" spans="5:5" x14ac:dyDescent="0.3">
      <c r="E527"/>
    </row>
    <row r="528" spans="5:5" x14ac:dyDescent="0.3">
      <c r="E528"/>
    </row>
    <row r="529" spans="5:5" x14ac:dyDescent="0.3">
      <c r="E529"/>
    </row>
    <row r="530" spans="5:5" x14ac:dyDescent="0.3">
      <c r="E530"/>
    </row>
    <row r="531" spans="5:5" x14ac:dyDescent="0.3">
      <c r="E531"/>
    </row>
    <row r="532" spans="5:5" x14ac:dyDescent="0.3">
      <c r="E532"/>
    </row>
    <row r="533" spans="5:5" x14ac:dyDescent="0.3">
      <c r="E533"/>
    </row>
    <row r="534" spans="5:5" x14ac:dyDescent="0.3">
      <c r="E534"/>
    </row>
    <row r="535" spans="5:5" x14ac:dyDescent="0.3">
      <c r="E535"/>
    </row>
    <row r="536" spans="5:5" x14ac:dyDescent="0.3">
      <c r="E536"/>
    </row>
    <row r="537" spans="5:5" x14ac:dyDescent="0.3">
      <c r="E537"/>
    </row>
    <row r="538" spans="5:5" x14ac:dyDescent="0.3">
      <c r="E538"/>
    </row>
    <row r="539" spans="5:5" x14ac:dyDescent="0.3">
      <c r="E539"/>
    </row>
    <row r="540" spans="5:5" x14ac:dyDescent="0.3">
      <c r="E540"/>
    </row>
    <row r="541" spans="5:5" x14ac:dyDescent="0.3">
      <c r="E541"/>
    </row>
    <row r="542" spans="5:5" x14ac:dyDescent="0.3">
      <c r="E542"/>
    </row>
    <row r="543" spans="5:5" x14ac:dyDescent="0.3">
      <c r="E543"/>
    </row>
    <row r="544" spans="5:5" x14ac:dyDescent="0.3">
      <c r="E544"/>
    </row>
    <row r="545" spans="5:5" x14ac:dyDescent="0.3">
      <c r="E545"/>
    </row>
    <row r="546" spans="5:5" x14ac:dyDescent="0.3">
      <c r="E546"/>
    </row>
    <row r="547" spans="5:5" x14ac:dyDescent="0.3">
      <c r="E547"/>
    </row>
    <row r="548" spans="5:5" x14ac:dyDescent="0.3">
      <c r="E548"/>
    </row>
    <row r="549" spans="5:5" x14ac:dyDescent="0.3">
      <c r="E549"/>
    </row>
    <row r="550" spans="5:5" x14ac:dyDescent="0.3">
      <c r="E550"/>
    </row>
    <row r="551" spans="5:5" x14ac:dyDescent="0.3">
      <c r="E551"/>
    </row>
    <row r="552" spans="5:5" x14ac:dyDescent="0.3">
      <c r="E552"/>
    </row>
    <row r="553" spans="5:5" x14ac:dyDescent="0.3">
      <c r="E553"/>
    </row>
    <row r="554" spans="5:5" x14ac:dyDescent="0.3">
      <c r="E554"/>
    </row>
    <row r="555" spans="5:5" x14ac:dyDescent="0.3">
      <c r="E555"/>
    </row>
    <row r="556" spans="5:5" x14ac:dyDescent="0.3">
      <c r="E556"/>
    </row>
    <row r="557" spans="5:5" x14ac:dyDescent="0.3">
      <c r="E557"/>
    </row>
    <row r="558" spans="5:5" x14ac:dyDescent="0.3">
      <c r="E558"/>
    </row>
    <row r="559" spans="5:5" x14ac:dyDescent="0.3">
      <c r="E559"/>
    </row>
    <row r="560" spans="5:5" x14ac:dyDescent="0.3">
      <c r="E560"/>
    </row>
    <row r="561" spans="5:5" x14ac:dyDescent="0.3">
      <c r="E561"/>
    </row>
    <row r="562" spans="5:5" x14ac:dyDescent="0.3">
      <c r="E562"/>
    </row>
    <row r="563" spans="5:5" x14ac:dyDescent="0.3">
      <c r="E563"/>
    </row>
    <row r="564" spans="5:5" x14ac:dyDescent="0.3">
      <c r="E564"/>
    </row>
    <row r="565" spans="5:5" x14ac:dyDescent="0.3">
      <c r="E565"/>
    </row>
    <row r="566" spans="5:5" x14ac:dyDescent="0.3">
      <c r="E566"/>
    </row>
    <row r="567" spans="5:5" x14ac:dyDescent="0.3">
      <c r="E567"/>
    </row>
    <row r="568" spans="5:5" x14ac:dyDescent="0.3">
      <c r="E568"/>
    </row>
    <row r="569" spans="5:5" x14ac:dyDescent="0.3">
      <c r="E569"/>
    </row>
    <row r="570" spans="5:5" x14ac:dyDescent="0.3">
      <c r="E570"/>
    </row>
    <row r="571" spans="5:5" x14ac:dyDescent="0.3">
      <c r="E571"/>
    </row>
    <row r="572" spans="5:5" x14ac:dyDescent="0.3">
      <c r="E572"/>
    </row>
    <row r="573" spans="5:5" x14ac:dyDescent="0.3">
      <c r="E573"/>
    </row>
    <row r="574" spans="5:5" x14ac:dyDescent="0.3">
      <c r="E574"/>
    </row>
    <row r="575" spans="5:5" x14ac:dyDescent="0.3">
      <c r="E575"/>
    </row>
    <row r="576" spans="5:5" x14ac:dyDescent="0.3">
      <c r="E576"/>
    </row>
    <row r="577" spans="5:5" x14ac:dyDescent="0.3">
      <c r="E577"/>
    </row>
    <row r="578" spans="5:5" x14ac:dyDescent="0.3">
      <c r="E578"/>
    </row>
    <row r="579" spans="5:5" x14ac:dyDescent="0.3">
      <c r="E579"/>
    </row>
    <row r="580" spans="5:5" x14ac:dyDescent="0.3">
      <c r="E580"/>
    </row>
    <row r="581" spans="5:5" x14ac:dyDescent="0.3">
      <c r="E581"/>
    </row>
    <row r="582" spans="5:5" x14ac:dyDescent="0.3">
      <c r="E582"/>
    </row>
    <row r="583" spans="5:5" x14ac:dyDescent="0.3">
      <c r="E583"/>
    </row>
    <row r="584" spans="5:5" x14ac:dyDescent="0.3">
      <c r="E584"/>
    </row>
    <row r="585" spans="5:5" x14ac:dyDescent="0.3">
      <c r="E585"/>
    </row>
    <row r="586" spans="5:5" x14ac:dyDescent="0.3">
      <c r="E586"/>
    </row>
    <row r="587" spans="5:5" x14ac:dyDescent="0.3">
      <c r="E587"/>
    </row>
    <row r="588" spans="5:5" x14ac:dyDescent="0.3">
      <c r="E588"/>
    </row>
    <row r="589" spans="5:5" x14ac:dyDescent="0.3">
      <c r="E589"/>
    </row>
    <row r="590" spans="5:5" x14ac:dyDescent="0.3">
      <c r="E590"/>
    </row>
    <row r="591" spans="5:5" x14ac:dyDescent="0.3">
      <c r="E591"/>
    </row>
    <row r="592" spans="5:5" x14ac:dyDescent="0.3">
      <c r="E592"/>
    </row>
    <row r="593" spans="5:5" x14ac:dyDescent="0.3">
      <c r="E593"/>
    </row>
    <row r="594" spans="5:5" x14ac:dyDescent="0.3">
      <c r="E594"/>
    </row>
    <row r="595" spans="5:5" x14ac:dyDescent="0.3">
      <c r="E595"/>
    </row>
    <row r="596" spans="5:5" x14ac:dyDescent="0.3">
      <c r="E596"/>
    </row>
    <row r="597" spans="5:5" x14ac:dyDescent="0.3">
      <c r="E597"/>
    </row>
    <row r="598" spans="5:5" x14ac:dyDescent="0.3">
      <c r="E598"/>
    </row>
    <row r="599" spans="5:5" x14ac:dyDescent="0.3">
      <c r="E599"/>
    </row>
    <row r="600" spans="5:5" x14ac:dyDescent="0.3">
      <c r="E600"/>
    </row>
    <row r="601" spans="5:5" x14ac:dyDescent="0.3">
      <c r="E601"/>
    </row>
    <row r="602" spans="5:5" x14ac:dyDescent="0.3">
      <c r="E602"/>
    </row>
    <row r="603" spans="5:5" x14ac:dyDescent="0.3">
      <c r="E603"/>
    </row>
    <row r="604" spans="5:5" x14ac:dyDescent="0.3">
      <c r="E604"/>
    </row>
    <row r="605" spans="5:5" x14ac:dyDescent="0.3">
      <c r="E605"/>
    </row>
    <row r="606" spans="5:5" x14ac:dyDescent="0.3">
      <c r="E606"/>
    </row>
    <row r="607" spans="5:5" x14ac:dyDescent="0.3">
      <c r="E607"/>
    </row>
    <row r="608" spans="5:5" x14ac:dyDescent="0.3">
      <c r="E608"/>
    </row>
    <row r="609" spans="5:5" x14ac:dyDescent="0.3">
      <c r="E609"/>
    </row>
    <row r="610" spans="5:5" x14ac:dyDescent="0.3">
      <c r="E610"/>
    </row>
    <row r="611" spans="5:5" x14ac:dyDescent="0.3">
      <c r="E611"/>
    </row>
    <row r="612" spans="5:5" x14ac:dyDescent="0.3">
      <c r="E612"/>
    </row>
    <row r="613" spans="5:5" x14ac:dyDescent="0.3">
      <c r="E613"/>
    </row>
    <row r="614" spans="5:5" x14ac:dyDescent="0.3">
      <c r="E614"/>
    </row>
    <row r="615" spans="5:5" x14ac:dyDescent="0.3">
      <c r="E615"/>
    </row>
    <row r="616" spans="5:5" x14ac:dyDescent="0.3">
      <c r="E616"/>
    </row>
    <row r="617" spans="5:5" x14ac:dyDescent="0.3">
      <c r="E617"/>
    </row>
    <row r="618" spans="5:5" x14ac:dyDescent="0.3">
      <c r="E618"/>
    </row>
    <row r="619" spans="5:5" x14ac:dyDescent="0.3">
      <c r="E619"/>
    </row>
    <row r="620" spans="5:5" x14ac:dyDescent="0.3">
      <c r="E620"/>
    </row>
    <row r="621" spans="5:5" x14ac:dyDescent="0.3">
      <c r="E621"/>
    </row>
    <row r="622" spans="5:5" x14ac:dyDescent="0.3">
      <c r="E622"/>
    </row>
    <row r="623" spans="5:5" x14ac:dyDescent="0.3">
      <c r="E623"/>
    </row>
    <row r="624" spans="5:5" x14ac:dyDescent="0.3">
      <c r="E624"/>
    </row>
    <row r="625" spans="5:5" x14ac:dyDescent="0.3">
      <c r="E625"/>
    </row>
    <row r="626" spans="5:5" x14ac:dyDescent="0.3">
      <c r="E626"/>
    </row>
    <row r="627" spans="5:5" x14ac:dyDescent="0.3">
      <c r="E627"/>
    </row>
    <row r="628" spans="5:5" x14ac:dyDescent="0.3">
      <c r="E628"/>
    </row>
    <row r="629" spans="5:5" x14ac:dyDescent="0.3">
      <c r="E629"/>
    </row>
    <row r="630" spans="5:5" x14ac:dyDescent="0.3">
      <c r="E630"/>
    </row>
    <row r="631" spans="5:5" x14ac:dyDescent="0.3">
      <c r="E631"/>
    </row>
    <row r="632" spans="5:5" x14ac:dyDescent="0.3">
      <c r="E632"/>
    </row>
    <row r="633" spans="5:5" x14ac:dyDescent="0.3">
      <c r="E633"/>
    </row>
    <row r="634" spans="5:5" x14ac:dyDescent="0.3">
      <c r="E634"/>
    </row>
    <row r="635" spans="5:5" x14ac:dyDescent="0.3">
      <c r="E635"/>
    </row>
    <row r="636" spans="5:5" x14ac:dyDescent="0.3">
      <c r="E636"/>
    </row>
    <row r="637" spans="5:5" x14ac:dyDescent="0.3">
      <c r="E637"/>
    </row>
    <row r="638" spans="5:5" x14ac:dyDescent="0.3">
      <c r="E638"/>
    </row>
    <row r="639" spans="5:5" x14ac:dyDescent="0.3">
      <c r="E639"/>
    </row>
    <row r="640" spans="5:5" x14ac:dyDescent="0.3">
      <c r="E640"/>
    </row>
    <row r="641" spans="5:5" x14ac:dyDescent="0.3">
      <c r="E641"/>
    </row>
    <row r="642" spans="5:5" x14ac:dyDescent="0.3">
      <c r="E642"/>
    </row>
    <row r="643" spans="5:5" x14ac:dyDescent="0.3">
      <c r="E643"/>
    </row>
    <row r="644" spans="5:5" x14ac:dyDescent="0.3">
      <c r="E644"/>
    </row>
    <row r="645" spans="5:5" x14ac:dyDescent="0.3">
      <c r="E645"/>
    </row>
    <row r="646" spans="5:5" x14ac:dyDescent="0.3">
      <c r="E646"/>
    </row>
    <row r="647" spans="5:5" x14ac:dyDescent="0.3">
      <c r="E647"/>
    </row>
    <row r="648" spans="5:5" x14ac:dyDescent="0.3">
      <c r="E648"/>
    </row>
    <row r="649" spans="5:5" x14ac:dyDescent="0.3">
      <c r="E649"/>
    </row>
    <row r="650" spans="5:5" x14ac:dyDescent="0.3">
      <c r="E650"/>
    </row>
    <row r="651" spans="5:5" x14ac:dyDescent="0.3">
      <c r="E651"/>
    </row>
    <row r="652" spans="5:5" x14ac:dyDescent="0.3">
      <c r="E652"/>
    </row>
    <row r="653" spans="5:5" x14ac:dyDescent="0.3">
      <c r="E653"/>
    </row>
    <row r="654" spans="5:5" x14ac:dyDescent="0.3">
      <c r="E654"/>
    </row>
    <row r="655" spans="5:5" x14ac:dyDescent="0.3">
      <c r="E655"/>
    </row>
    <row r="656" spans="5:5" x14ac:dyDescent="0.3">
      <c r="E656"/>
    </row>
    <row r="657" spans="5:5" x14ac:dyDescent="0.3">
      <c r="E657"/>
    </row>
    <row r="658" spans="5:5" x14ac:dyDescent="0.3">
      <c r="E658"/>
    </row>
    <row r="659" spans="5:5" x14ac:dyDescent="0.3">
      <c r="E659"/>
    </row>
    <row r="660" spans="5:5" x14ac:dyDescent="0.3">
      <c r="E660"/>
    </row>
    <row r="661" spans="5:5" x14ac:dyDescent="0.3">
      <c r="E661"/>
    </row>
    <row r="662" spans="5:5" x14ac:dyDescent="0.3">
      <c r="E662"/>
    </row>
    <row r="663" spans="5:5" x14ac:dyDescent="0.3">
      <c r="E663"/>
    </row>
    <row r="664" spans="5:5" x14ac:dyDescent="0.3">
      <c r="E664"/>
    </row>
    <row r="665" spans="5:5" x14ac:dyDescent="0.3">
      <c r="E665"/>
    </row>
    <row r="666" spans="5:5" x14ac:dyDescent="0.3">
      <c r="E666"/>
    </row>
    <row r="667" spans="5:5" x14ac:dyDescent="0.3">
      <c r="E667"/>
    </row>
    <row r="668" spans="5:5" x14ac:dyDescent="0.3">
      <c r="E668"/>
    </row>
    <row r="669" spans="5:5" x14ac:dyDescent="0.3">
      <c r="E669"/>
    </row>
    <row r="670" spans="5:5" x14ac:dyDescent="0.3">
      <c r="E670"/>
    </row>
    <row r="671" spans="5:5" x14ac:dyDescent="0.3">
      <c r="E671"/>
    </row>
    <row r="672" spans="5:5" x14ac:dyDescent="0.3">
      <c r="E672"/>
    </row>
    <row r="673" spans="5:5" x14ac:dyDescent="0.3">
      <c r="E673"/>
    </row>
    <row r="674" spans="5:5" x14ac:dyDescent="0.3">
      <c r="E674"/>
    </row>
    <row r="675" spans="5:5" x14ac:dyDescent="0.3">
      <c r="E675"/>
    </row>
    <row r="676" spans="5:5" x14ac:dyDescent="0.3">
      <c r="E676"/>
    </row>
    <row r="677" spans="5:5" x14ac:dyDescent="0.3">
      <c r="E677"/>
    </row>
    <row r="678" spans="5:5" x14ac:dyDescent="0.3">
      <c r="E678"/>
    </row>
    <row r="679" spans="5:5" x14ac:dyDescent="0.3">
      <c r="E679"/>
    </row>
    <row r="680" spans="5:5" x14ac:dyDescent="0.3">
      <c r="E680"/>
    </row>
    <row r="681" spans="5:5" x14ac:dyDescent="0.3">
      <c r="E681"/>
    </row>
    <row r="682" spans="5:5" x14ac:dyDescent="0.3">
      <c r="E682"/>
    </row>
    <row r="683" spans="5:5" x14ac:dyDescent="0.3">
      <c r="E683"/>
    </row>
    <row r="684" spans="5:5" x14ac:dyDescent="0.3">
      <c r="E684"/>
    </row>
    <row r="685" spans="5:5" x14ac:dyDescent="0.3">
      <c r="E685"/>
    </row>
    <row r="686" spans="5:5" x14ac:dyDescent="0.3">
      <c r="E686"/>
    </row>
    <row r="687" spans="5:5" x14ac:dyDescent="0.3">
      <c r="E687"/>
    </row>
    <row r="688" spans="5:5" x14ac:dyDescent="0.3">
      <c r="E688"/>
    </row>
    <row r="689" spans="5:5" x14ac:dyDescent="0.3">
      <c r="E689"/>
    </row>
    <row r="690" spans="5:5" x14ac:dyDescent="0.3">
      <c r="E690"/>
    </row>
    <row r="691" spans="5:5" x14ac:dyDescent="0.3">
      <c r="E691"/>
    </row>
    <row r="692" spans="5:5" x14ac:dyDescent="0.3">
      <c r="E692"/>
    </row>
    <row r="693" spans="5:5" x14ac:dyDescent="0.3">
      <c r="E693"/>
    </row>
    <row r="694" spans="5:5" x14ac:dyDescent="0.3">
      <c r="E694"/>
    </row>
    <row r="695" spans="5:5" x14ac:dyDescent="0.3">
      <c r="E695"/>
    </row>
    <row r="696" spans="5:5" x14ac:dyDescent="0.3">
      <c r="E696"/>
    </row>
    <row r="697" spans="5:5" x14ac:dyDescent="0.3">
      <c r="E697"/>
    </row>
    <row r="698" spans="5:5" x14ac:dyDescent="0.3">
      <c r="E698"/>
    </row>
    <row r="699" spans="5:5" x14ac:dyDescent="0.3">
      <c r="E699"/>
    </row>
    <row r="700" spans="5:5" x14ac:dyDescent="0.3">
      <c r="E700"/>
    </row>
    <row r="701" spans="5:5" x14ac:dyDescent="0.3">
      <c r="E701"/>
    </row>
    <row r="702" spans="5:5" x14ac:dyDescent="0.3">
      <c r="E702"/>
    </row>
    <row r="703" spans="5:5" x14ac:dyDescent="0.3">
      <c r="E703"/>
    </row>
    <row r="704" spans="5:5" x14ac:dyDescent="0.3">
      <c r="E704"/>
    </row>
    <row r="705" spans="5:5" x14ac:dyDescent="0.3">
      <c r="E705"/>
    </row>
    <row r="706" spans="5:5" x14ac:dyDescent="0.3">
      <c r="E706"/>
    </row>
    <row r="707" spans="5:5" x14ac:dyDescent="0.3">
      <c r="E707"/>
    </row>
    <row r="708" spans="5:5" x14ac:dyDescent="0.3">
      <c r="E708"/>
    </row>
    <row r="709" spans="5:5" x14ac:dyDescent="0.3">
      <c r="E709"/>
    </row>
    <row r="710" spans="5:5" x14ac:dyDescent="0.3">
      <c r="E710"/>
    </row>
    <row r="711" spans="5:5" x14ac:dyDescent="0.3">
      <c r="E711"/>
    </row>
    <row r="712" spans="5:5" x14ac:dyDescent="0.3">
      <c r="E712"/>
    </row>
    <row r="713" spans="5:5" x14ac:dyDescent="0.3">
      <c r="E713"/>
    </row>
    <row r="714" spans="5:5" x14ac:dyDescent="0.3">
      <c r="E714"/>
    </row>
    <row r="715" spans="5:5" x14ac:dyDescent="0.3">
      <c r="E715"/>
    </row>
    <row r="716" spans="5:5" x14ac:dyDescent="0.3">
      <c r="E716"/>
    </row>
    <row r="717" spans="5:5" x14ac:dyDescent="0.3">
      <c r="E717"/>
    </row>
    <row r="718" spans="5:5" x14ac:dyDescent="0.3">
      <c r="E718"/>
    </row>
    <row r="719" spans="5:5" x14ac:dyDescent="0.3">
      <c r="E719"/>
    </row>
    <row r="720" spans="5:5" x14ac:dyDescent="0.3">
      <c r="E720"/>
    </row>
    <row r="721" spans="5:5" x14ac:dyDescent="0.3">
      <c r="E721"/>
    </row>
    <row r="722" spans="5:5" x14ac:dyDescent="0.3">
      <c r="E722"/>
    </row>
    <row r="723" spans="5:5" x14ac:dyDescent="0.3">
      <c r="E723"/>
    </row>
    <row r="724" spans="5:5" x14ac:dyDescent="0.3">
      <c r="E724"/>
    </row>
    <row r="725" spans="5:5" x14ac:dyDescent="0.3">
      <c r="E725"/>
    </row>
    <row r="726" spans="5:5" x14ac:dyDescent="0.3">
      <c r="E726"/>
    </row>
    <row r="727" spans="5:5" x14ac:dyDescent="0.3">
      <c r="E727"/>
    </row>
    <row r="728" spans="5:5" x14ac:dyDescent="0.3">
      <c r="E728"/>
    </row>
    <row r="729" spans="5:5" x14ac:dyDescent="0.3">
      <c r="E729"/>
    </row>
    <row r="730" spans="5:5" x14ac:dyDescent="0.3">
      <c r="E730"/>
    </row>
    <row r="731" spans="5:5" x14ac:dyDescent="0.3">
      <c r="E731"/>
    </row>
    <row r="732" spans="5:5" x14ac:dyDescent="0.3">
      <c r="E732"/>
    </row>
    <row r="733" spans="5:5" x14ac:dyDescent="0.3">
      <c r="E733"/>
    </row>
    <row r="734" spans="5:5" x14ac:dyDescent="0.3">
      <c r="E734"/>
    </row>
    <row r="735" spans="5:5" x14ac:dyDescent="0.3">
      <c r="E735"/>
    </row>
    <row r="736" spans="5:5" x14ac:dyDescent="0.3">
      <c r="E736"/>
    </row>
    <row r="737" spans="5:5" x14ac:dyDescent="0.3">
      <c r="E737"/>
    </row>
    <row r="738" spans="5:5" x14ac:dyDescent="0.3">
      <c r="E738"/>
    </row>
    <row r="739" spans="5:5" x14ac:dyDescent="0.3">
      <c r="E739"/>
    </row>
    <row r="740" spans="5:5" x14ac:dyDescent="0.3">
      <c r="E740"/>
    </row>
    <row r="741" spans="5:5" x14ac:dyDescent="0.3">
      <c r="E741"/>
    </row>
    <row r="742" spans="5:5" x14ac:dyDescent="0.3">
      <c r="E742"/>
    </row>
    <row r="743" spans="5:5" x14ac:dyDescent="0.3">
      <c r="E743"/>
    </row>
    <row r="744" spans="5:5" x14ac:dyDescent="0.3">
      <c r="E744"/>
    </row>
    <row r="745" spans="5:5" x14ac:dyDescent="0.3">
      <c r="E745"/>
    </row>
    <row r="746" spans="5:5" x14ac:dyDescent="0.3">
      <c r="E746"/>
    </row>
    <row r="747" spans="5:5" x14ac:dyDescent="0.3">
      <c r="E747"/>
    </row>
    <row r="748" spans="5:5" x14ac:dyDescent="0.3">
      <c r="E748"/>
    </row>
    <row r="749" spans="5:5" x14ac:dyDescent="0.3">
      <c r="E749"/>
    </row>
    <row r="750" spans="5:5" x14ac:dyDescent="0.3">
      <c r="E750"/>
    </row>
    <row r="751" spans="5:5" x14ac:dyDescent="0.3">
      <c r="E751"/>
    </row>
    <row r="752" spans="5:5" x14ac:dyDescent="0.3">
      <c r="E752"/>
    </row>
    <row r="753" spans="5:5" x14ac:dyDescent="0.3">
      <c r="E753"/>
    </row>
    <row r="754" spans="5:5" x14ac:dyDescent="0.3">
      <c r="E754"/>
    </row>
    <row r="755" spans="5:5" x14ac:dyDescent="0.3">
      <c r="E755"/>
    </row>
    <row r="756" spans="5:5" x14ac:dyDescent="0.3">
      <c r="E756"/>
    </row>
    <row r="757" spans="5:5" x14ac:dyDescent="0.3">
      <c r="E757"/>
    </row>
    <row r="758" spans="5:5" x14ac:dyDescent="0.3">
      <c r="E758"/>
    </row>
    <row r="759" spans="5:5" x14ac:dyDescent="0.3">
      <c r="E759"/>
    </row>
    <row r="760" spans="5:5" x14ac:dyDescent="0.3">
      <c r="E760"/>
    </row>
    <row r="761" spans="5:5" x14ac:dyDescent="0.3">
      <c r="E761"/>
    </row>
    <row r="762" spans="5:5" x14ac:dyDescent="0.3">
      <c r="E762"/>
    </row>
    <row r="763" spans="5:5" x14ac:dyDescent="0.3">
      <c r="E763"/>
    </row>
    <row r="764" spans="5:5" x14ac:dyDescent="0.3">
      <c r="E764"/>
    </row>
    <row r="765" spans="5:5" x14ac:dyDescent="0.3">
      <c r="E765"/>
    </row>
    <row r="766" spans="5:5" x14ac:dyDescent="0.3">
      <c r="E766"/>
    </row>
    <row r="767" spans="5:5" x14ac:dyDescent="0.3">
      <c r="E767"/>
    </row>
    <row r="768" spans="5:5" x14ac:dyDescent="0.3">
      <c r="E768"/>
    </row>
    <row r="769" spans="5:5" x14ac:dyDescent="0.3">
      <c r="E769"/>
    </row>
    <row r="770" spans="5:5" x14ac:dyDescent="0.3">
      <c r="E770"/>
    </row>
    <row r="771" spans="5:5" x14ac:dyDescent="0.3">
      <c r="E771"/>
    </row>
    <row r="772" spans="5:5" x14ac:dyDescent="0.3">
      <c r="E772"/>
    </row>
    <row r="773" spans="5:5" x14ac:dyDescent="0.3">
      <c r="E773"/>
    </row>
    <row r="774" spans="5:5" x14ac:dyDescent="0.3">
      <c r="E774"/>
    </row>
    <row r="775" spans="5:5" x14ac:dyDescent="0.3">
      <c r="E775"/>
    </row>
    <row r="776" spans="5:5" x14ac:dyDescent="0.3">
      <c r="E776"/>
    </row>
    <row r="777" spans="5:5" x14ac:dyDescent="0.3">
      <c r="E777"/>
    </row>
    <row r="778" spans="5:5" x14ac:dyDescent="0.3">
      <c r="E778"/>
    </row>
    <row r="779" spans="5:5" x14ac:dyDescent="0.3">
      <c r="E779"/>
    </row>
    <row r="780" spans="5:5" x14ac:dyDescent="0.3">
      <c r="E780"/>
    </row>
    <row r="781" spans="5:5" x14ac:dyDescent="0.3">
      <c r="E781"/>
    </row>
    <row r="782" spans="5:5" x14ac:dyDescent="0.3">
      <c r="E782"/>
    </row>
    <row r="783" spans="5:5" x14ac:dyDescent="0.3">
      <c r="E783"/>
    </row>
    <row r="784" spans="5:5" x14ac:dyDescent="0.3">
      <c r="E784"/>
    </row>
    <row r="785" spans="5:5" x14ac:dyDescent="0.3">
      <c r="E785"/>
    </row>
    <row r="786" spans="5:5" x14ac:dyDescent="0.3">
      <c r="E786"/>
    </row>
    <row r="787" spans="5:5" x14ac:dyDescent="0.3">
      <c r="E787"/>
    </row>
    <row r="788" spans="5:5" x14ac:dyDescent="0.3">
      <c r="E788"/>
    </row>
    <row r="789" spans="5:5" x14ac:dyDescent="0.3">
      <c r="E789"/>
    </row>
    <row r="790" spans="5:5" x14ac:dyDescent="0.3">
      <c r="E790"/>
    </row>
    <row r="791" spans="5:5" x14ac:dyDescent="0.3">
      <c r="E791"/>
    </row>
    <row r="792" spans="5:5" x14ac:dyDescent="0.3">
      <c r="E792"/>
    </row>
    <row r="793" spans="5:5" x14ac:dyDescent="0.3">
      <c r="E793"/>
    </row>
    <row r="794" spans="5:5" x14ac:dyDescent="0.3">
      <c r="E794"/>
    </row>
    <row r="795" spans="5:5" x14ac:dyDescent="0.3">
      <c r="E795"/>
    </row>
    <row r="796" spans="5:5" x14ac:dyDescent="0.3">
      <c r="E796"/>
    </row>
    <row r="797" spans="5:5" x14ac:dyDescent="0.3">
      <c r="E797"/>
    </row>
    <row r="798" spans="5:5" x14ac:dyDescent="0.3">
      <c r="E798"/>
    </row>
    <row r="799" spans="5:5" x14ac:dyDescent="0.3">
      <c r="E799"/>
    </row>
    <row r="800" spans="5:5" x14ac:dyDescent="0.3">
      <c r="E800"/>
    </row>
    <row r="801" spans="5:5" x14ac:dyDescent="0.3">
      <c r="E801"/>
    </row>
    <row r="802" spans="5:5" x14ac:dyDescent="0.3">
      <c r="E802"/>
    </row>
    <row r="803" spans="5:5" x14ac:dyDescent="0.3">
      <c r="E803"/>
    </row>
    <row r="804" spans="5:5" x14ac:dyDescent="0.3">
      <c r="E804"/>
    </row>
    <row r="805" spans="5:5" x14ac:dyDescent="0.3">
      <c r="E805"/>
    </row>
    <row r="806" spans="5:5" x14ac:dyDescent="0.3">
      <c r="E806"/>
    </row>
    <row r="807" spans="5:5" x14ac:dyDescent="0.3">
      <c r="E807"/>
    </row>
    <row r="808" spans="5:5" x14ac:dyDescent="0.3">
      <c r="E808"/>
    </row>
    <row r="809" spans="5:5" x14ac:dyDescent="0.3">
      <c r="E809"/>
    </row>
    <row r="810" spans="5:5" x14ac:dyDescent="0.3">
      <c r="E810"/>
    </row>
    <row r="811" spans="5:5" x14ac:dyDescent="0.3">
      <c r="E811"/>
    </row>
    <row r="812" spans="5:5" x14ac:dyDescent="0.3">
      <c r="E812"/>
    </row>
    <row r="813" spans="5:5" x14ac:dyDescent="0.3">
      <c r="E813"/>
    </row>
    <row r="814" spans="5:5" x14ac:dyDescent="0.3">
      <c r="E814"/>
    </row>
    <row r="815" spans="5:5" x14ac:dyDescent="0.3">
      <c r="E815"/>
    </row>
    <row r="816" spans="5:5" x14ac:dyDescent="0.3">
      <c r="E816"/>
    </row>
    <row r="817" spans="5:5" x14ac:dyDescent="0.3">
      <c r="E817"/>
    </row>
    <row r="818" spans="5:5" x14ac:dyDescent="0.3">
      <c r="E818"/>
    </row>
    <row r="819" spans="5:5" x14ac:dyDescent="0.3">
      <c r="E819"/>
    </row>
    <row r="820" spans="5:5" x14ac:dyDescent="0.3">
      <c r="E820"/>
    </row>
    <row r="821" spans="5:5" x14ac:dyDescent="0.3">
      <c r="E821"/>
    </row>
    <row r="822" spans="5:5" x14ac:dyDescent="0.3">
      <c r="E822"/>
    </row>
    <row r="823" spans="5:5" x14ac:dyDescent="0.3">
      <c r="E823"/>
    </row>
    <row r="824" spans="5:5" x14ac:dyDescent="0.3">
      <c r="E824"/>
    </row>
    <row r="825" spans="5:5" x14ac:dyDescent="0.3">
      <c r="E825"/>
    </row>
    <row r="826" spans="5:5" x14ac:dyDescent="0.3">
      <c r="E826"/>
    </row>
    <row r="827" spans="5:5" x14ac:dyDescent="0.3">
      <c r="E827"/>
    </row>
    <row r="828" spans="5:5" x14ac:dyDescent="0.3">
      <c r="E828"/>
    </row>
    <row r="829" spans="5:5" x14ac:dyDescent="0.3">
      <c r="E829"/>
    </row>
    <row r="830" spans="5:5" x14ac:dyDescent="0.3">
      <c r="E830"/>
    </row>
    <row r="831" spans="5:5" x14ac:dyDescent="0.3">
      <c r="E831"/>
    </row>
    <row r="832" spans="5:5" x14ac:dyDescent="0.3">
      <c r="E832"/>
    </row>
    <row r="833" spans="5:5" x14ac:dyDescent="0.3">
      <c r="E833"/>
    </row>
    <row r="834" spans="5:5" x14ac:dyDescent="0.3">
      <c r="E834"/>
    </row>
    <row r="835" spans="5:5" x14ac:dyDescent="0.3">
      <c r="E835"/>
    </row>
    <row r="836" spans="5:5" x14ac:dyDescent="0.3">
      <c r="E836"/>
    </row>
    <row r="837" spans="5:5" x14ac:dyDescent="0.3">
      <c r="E837"/>
    </row>
    <row r="838" spans="5:5" x14ac:dyDescent="0.3">
      <c r="E838"/>
    </row>
    <row r="839" spans="5:5" x14ac:dyDescent="0.3">
      <c r="E839"/>
    </row>
    <row r="840" spans="5:5" x14ac:dyDescent="0.3">
      <c r="E840"/>
    </row>
    <row r="841" spans="5:5" x14ac:dyDescent="0.3">
      <c r="E841"/>
    </row>
    <row r="842" spans="5:5" x14ac:dyDescent="0.3">
      <c r="E842"/>
    </row>
    <row r="843" spans="5:5" x14ac:dyDescent="0.3">
      <c r="E843"/>
    </row>
    <row r="844" spans="5:5" x14ac:dyDescent="0.3">
      <c r="E844"/>
    </row>
    <row r="845" spans="5:5" x14ac:dyDescent="0.3">
      <c r="E845"/>
    </row>
    <row r="846" spans="5:5" x14ac:dyDescent="0.3">
      <c r="E846"/>
    </row>
    <row r="847" spans="5:5" x14ac:dyDescent="0.3">
      <c r="E847"/>
    </row>
    <row r="848" spans="5:5" x14ac:dyDescent="0.3">
      <c r="E848"/>
    </row>
    <row r="849" spans="5:5" x14ac:dyDescent="0.3">
      <c r="E849"/>
    </row>
    <row r="850" spans="5:5" x14ac:dyDescent="0.3">
      <c r="E850"/>
    </row>
    <row r="851" spans="5:5" x14ac:dyDescent="0.3">
      <c r="E851"/>
    </row>
    <row r="852" spans="5:5" x14ac:dyDescent="0.3">
      <c r="E852"/>
    </row>
    <row r="853" spans="5:5" x14ac:dyDescent="0.3">
      <c r="E853"/>
    </row>
    <row r="854" spans="5:5" x14ac:dyDescent="0.3">
      <c r="E854"/>
    </row>
    <row r="855" spans="5:5" x14ac:dyDescent="0.3">
      <c r="E855"/>
    </row>
    <row r="856" spans="5:5" x14ac:dyDescent="0.3">
      <c r="E856"/>
    </row>
    <row r="857" spans="5:5" x14ac:dyDescent="0.3">
      <c r="E857"/>
    </row>
    <row r="858" spans="5:5" x14ac:dyDescent="0.3">
      <c r="E858"/>
    </row>
    <row r="859" spans="5:5" x14ac:dyDescent="0.3">
      <c r="E859"/>
    </row>
    <row r="860" spans="5:5" x14ac:dyDescent="0.3">
      <c r="E860"/>
    </row>
    <row r="861" spans="5:5" x14ac:dyDescent="0.3">
      <c r="E861"/>
    </row>
    <row r="862" spans="5:5" x14ac:dyDescent="0.3">
      <c r="E862"/>
    </row>
    <row r="863" spans="5:5" x14ac:dyDescent="0.3">
      <c r="E863"/>
    </row>
    <row r="864" spans="5:5" x14ac:dyDescent="0.3">
      <c r="E864"/>
    </row>
    <row r="865" spans="5:5" x14ac:dyDescent="0.3">
      <c r="E865"/>
    </row>
    <row r="866" spans="5:5" x14ac:dyDescent="0.3">
      <c r="E866"/>
    </row>
    <row r="867" spans="5:5" x14ac:dyDescent="0.3">
      <c r="E867"/>
    </row>
    <row r="868" spans="5:5" x14ac:dyDescent="0.3">
      <c r="E868"/>
    </row>
    <row r="869" spans="5:5" x14ac:dyDescent="0.3">
      <c r="E869"/>
    </row>
    <row r="870" spans="5:5" x14ac:dyDescent="0.3">
      <c r="E870"/>
    </row>
    <row r="871" spans="5:5" x14ac:dyDescent="0.3">
      <c r="E871"/>
    </row>
    <row r="872" spans="5:5" x14ac:dyDescent="0.3">
      <c r="E872"/>
    </row>
    <row r="873" spans="5:5" x14ac:dyDescent="0.3">
      <c r="E873"/>
    </row>
    <row r="874" spans="5:5" x14ac:dyDescent="0.3">
      <c r="E874"/>
    </row>
    <row r="875" spans="5:5" x14ac:dyDescent="0.3">
      <c r="E875"/>
    </row>
    <row r="876" spans="5:5" x14ac:dyDescent="0.3">
      <c r="E876"/>
    </row>
    <row r="877" spans="5:5" x14ac:dyDescent="0.3">
      <c r="E877"/>
    </row>
    <row r="878" spans="5:5" x14ac:dyDescent="0.3">
      <c r="E878"/>
    </row>
    <row r="879" spans="5:5" x14ac:dyDescent="0.3">
      <c r="E879"/>
    </row>
    <row r="880" spans="5:5" x14ac:dyDescent="0.3">
      <c r="E880"/>
    </row>
    <row r="881" spans="5:5" x14ac:dyDescent="0.3">
      <c r="E881"/>
    </row>
    <row r="882" spans="5:5" x14ac:dyDescent="0.3">
      <c r="E882"/>
    </row>
    <row r="883" spans="5:5" x14ac:dyDescent="0.3">
      <c r="E883"/>
    </row>
    <row r="884" spans="5:5" x14ac:dyDescent="0.3">
      <c r="E884"/>
    </row>
    <row r="885" spans="5:5" x14ac:dyDescent="0.3">
      <c r="E885"/>
    </row>
    <row r="886" spans="5:5" x14ac:dyDescent="0.3">
      <c r="E886"/>
    </row>
    <row r="887" spans="5:5" x14ac:dyDescent="0.3">
      <c r="E887"/>
    </row>
    <row r="888" spans="5:5" x14ac:dyDescent="0.3">
      <c r="E888"/>
    </row>
    <row r="889" spans="5:5" x14ac:dyDescent="0.3">
      <c r="E889"/>
    </row>
    <row r="890" spans="5:5" x14ac:dyDescent="0.3">
      <c r="E890"/>
    </row>
    <row r="891" spans="5:5" x14ac:dyDescent="0.3">
      <c r="E891"/>
    </row>
    <row r="892" spans="5:5" x14ac:dyDescent="0.3">
      <c r="E892"/>
    </row>
    <row r="893" spans="5:5" x14ac:dyDescent="0.3">
      <c r="E893"/>
    </row>
    <row r="894" spans="5:5" x14ac:dyDescent="0.3">
      <c r="E894"/>
    </row>
    <row r="895" spans="5:5" x14ac:dyDescent="0.3">
      <c r="E895"/>
    </row>
    <row r="896" spans="5:5" x14ac:dyDescent="0.3">
      <c r="E896"/>
    </row>
    <row r="897" spans="5:5" x14ac:dyDescent="0.3">
      <c r="E897"/>
    </row>
    <row r="898" spans="5:5" x14ac:dyDescent="0.3">
      <c r="E898"/>
    </row>
    <row r="899" spans="5:5" x14ac:dyDescent="0.3">
      <c r="E899"/>
    </row>
    <row r="900" spans="5:5" x14ac:dyDescent="0.3">
      <c r="E900"/>
    </row>
    <row r="901" spans="5:5" x14ac:dyDescent="0.3">
      <c r="E901"/>
    </row>
    <row r="902" spans="5:5" x14ac:dyDescent="0.3">
      <c r="E902"/>
    </row>
    <row r="903" spans="5:5" x14ac:dyDescent="0.3">
      <c r="E903"/>
    </row>
    <row r="904" spans="5:5" x14ac:dyDescent="0.3">
      <c r="E904"/>
    </row>
    <row r="905" spans="5:5" x14ac:dyDescent="0.3">
      <c r="E905"/>
    </row>
    <row r="906" spans="5:5" x14ac:dyDescent="0.3">
      <c r="E906"/>
    </row>
    <row r="907" spans="5:5" x14ac:dyDescent="0.3">
      <c r="E907"/>
    </row>
    <row r="908" spans="5:5" x14ac:dyDescent="0.3">
      <c r="E908"/>
    </row>
    <row r="909" spans="5:5" x14ac:dyDescent="0.3">
      <c r="E909"/>
    </row>
    <row r="910" spans="5:5" x14ac:dyDescent="0.3">
      <c r="E910"/>
    </row>
    <row r="911" spans="5:5" x14ac:dyDescent="0.3">
      <c r="E911"/>
    </row>
    <row r="912" spans="5:5" x14ac:dyDescent="0.3">
      <c r="E912"/>
    </row>
    <row r="913" spans="5:5" x14ac:dyDescent="0.3">
      <c r="E913"/>
    </row>
    <row r="914" spans="5:5" x14ac:dyDescent="0.3">
      <c r="E914"/>
    </row>
    <row r="915" spans="5:5" x14ac:dyDescent="0.3">
      <c r="E915"/>
    </row>
    <row r="916" spans="5:5" x14ac:dyDescent="0.3">
      <c r="E916"/>
    </row>
    <row r="917" spans="5:5" x14ac:dyDescent="0.3">
      <c r="E917"/>
    </row>
    <row r="918" spans="5:5" x14ac:dyDescent="0.3">
      <c r="E918"/>
    </row>
    <row r="919" spans="5:5" x14ac:dyDescent="0.3">
      <c r="E919"/>
    </row>
    <row r="920" spans="5:5" x14ac:dyDescent="0.3">
      <c r="E920"/>
    </row>
    <row r="921" spans="5:5" x14ac:dyDescent="0.3">
      <c r="E921"/>
    </row>
    <row r="922" spans="5:5" x14ac:dyDescent="0.3">
      <c r="E922"/>
    </row>
    <row r="923" spans="5:5" x14ac:dyDescent="0.3">
      <c r="E923"/>
    </row>
    <row r="924" spans="5:5" x14ac:dyDescent="0.3">
      <c r="E924"/>
    </row>
    <row r="925" spans="5:5" x14ac:dyDescent="0.3">
      <c r="E925"/>
    </row>
    <row r="926" spans="5:5" x14ac:dyDescent="0.3">
      <c r="E926"/>
    </row>
    <row r="927" spans="5:5" x14ac:dyDescent="0.3">
      <c r="E927"/>
    </row>
    <row r="928" spans="5:5" x14ac:dyDescent="0.3">
      <c r="E928"/>
    </row>
    <row r="929" spans="5:5" x14ac:dyDescent="0.3">
      <c r="E929"/>
    </row>
    <row r="930" spans="5:5" x14ac:dyDescent="0.3">
      <c r="E930"/>
    </row>
    <row r="931" spans="5:5" x14ac:dyDescent="0.3">
      <c r="E931"/>
    </row>
    <row r="932" spans="5:5" x14ac:dyDescent="0.3">
      <c r="E932"/>
    </row>
    <row r="933" spans="5:5" x14ac:dyDescent="0.3">
      <c r="E933"/>
    </row>
    <row r="934" spans="5:5" x14ac:dyDescent="0.3">
      <c r="E934"/>
    </row>
    <row r="935" spans="5:5" x14ac:dyDescent="0.3">
      <c r="E93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RetailSalesData</vt:lpstr>
      <vt:lpstr>Imputed Retail sales data </vt:lpstr>
      <vt:lpstr>Piovt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2026-10-20T17:21:49Z</dcterms:modified>
</cp:coreProperties>
</file>